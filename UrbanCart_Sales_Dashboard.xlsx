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528cb6289b941d/文档/"/>
    </mc:Choice>
  </mc:AlternateContent>
  <xr:revisionPtr revIDLastSave="2" documentId="8_{66B70F0C-CA62-4F47-B2C5-BB236331667F}" xr6:coauthVersionLast="47" xr6:coauthVersionMax="47" xr10:uidLastSave="{A61A6203-5746-4FBA-8D65-BDB546D572AC}"/>
  <bookViews>
    <workbookView minimized="1" xWindow="1848" yWindow="1848" windowWidth="17280" windowHeight="9960" activeTab="4" xr2:uid="{DFF4BB9B-FEEC-44C4-A6C5-6984952A6E0B}"/>
  </bookViews>
  <sheets>
    <sheet name="Sheet8" sheetId="8" r:id="rId1"/>
    <sheet name="Sheet9" sheetId="9" r:id="rId2"/>
    <sheet name="Raw_Data" sheetId="1" r:id="rId3"/>
    <sheet name="Sheet7" sheetId="7" r:id="rId4"/>
    <sheet name="DASHBOARD" sheetId="6" r:id="rId5"/>
  </sheets>
  <calcPr calcId="191029"/>
  <pivotCaches>
    <pivotCache cacheId="3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H3" i="6"/>
  <c r="E3" i="6"/>
  <c r="C3" i="6"/>
  <c r="O1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N298" i="1"/>
  <c r="N297" i="1"/>
  <c r="N296" i="1"/>
  <c r="N301" i="1" a="1"/>
  <c r="N301" i="1" s="1"/>
  <c r="N10" i="1"/>
  <c r="N11" i="1"/>
  <c r="N9" i="1"/>
  <c r="N7" i="1"/>
  <c r="N5" i="1"/>
  <c r="N8" i="1" l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<sst xmlns="http://schemas.openxmlformats.org/spreadsheetml/2006/main" count="35754" uniqueCount="5964">
  <si>
    <t>Order_ID</t>
  </si>
  <si>
    <t>Order_Date</t>
  </si>
  <si>
    <t>Customer_ID</t>
  </si>
  <si>
    <t>Product</t>
  </si>
  <si>
    <t>Category</t>
  </si>
  <si>
    <t>Quantity</t>
  </si>
  <si>
    <t>Unit_Price</t>
  </si>
  <si>
    <t>Discount</t>
  </si>
  <si>
    <t>Region</t>
  </si>
  <si>
    <t>Payment_Method</t>
  </si>
  <si>
    <t>Order_Status</t>
  </si>
  <si>
    <t>ORD00001</t>
  </si>
  <si>
    <t>C1684</t>
  </si>
  <si>
    <t>Laptop Stand</t>
  </si>
  <si>
    <t>Accessories</t>
  </si>
  <si>
    <t>East</t>
  </si>
  <si>
    <t>Debit Card</t>
  </si>
  <si>
    <t>Delivered</t>
  </si>
  <si>
    <t>ORD00002</t>
  </si>
  <si>
    <t>C1259</t>
  </si>
  <si>
    <t>Monitor</t>
  </si>
  <si>
    <t>Electronics</t>
  </si>
  <si>
    <t>Net Banking</t>
  </si>
  <si>
    <t>Returned</t>
  </si>
  <si>
    <t>ORD00003</t>
  </si>
  <si>
    <t>C1541</t>
  </si>
  <si>
    <t>USB-C Hub</t>
  </si>
  <si>
    <t>Audio</t>
  </si>
  <si>
    <t>Credit Card</t>
  </si>
  <si>
    <t>ORD00004</t>
  </si>
  <si>
    <t>C1239</t>
  </si>
  <si>
    <t>Power Bank</t>
  </si>
  <si>
    <t>Central</t>
  </si>
  <si>
    <t>ORD00005</t>
  </si>
  <si>
    <t>C1775</t>
  </si>
  <si>
    <t>Mobile Accessories</t>
  </si>
  <si>
    <t>UPI</t>
  </si>
  <si>
    <t>Cancelled</t>
  </si>
  <si>
    <t>ORD00006</t>
  </si>
  <si>
    <t>C1772</t>
  </si>
  <si>
    <t>Computer Peripherals</t>
  </si>
  <si>
    <t>ORD00007</t>
  </si>
  <si>
    <t>C1052</t>
  </si>
  <si>
    <t>Bluetooth Speaker</t>
  </si>
  <si>
    <t>South</t>
  </si>
  <si>
    <t>ORD00008</t>
  </si>
  <si>
    <t>C1638</t>
  </si>
  <si>
    <t>North</t>
  </si>
  <si>
    <t>ORD00009</t>
  </si>
  <si>
    <t>C1154</t>
  </si>
  <si>
    <t>West</t>
  </si>
  <si>
    <t>COD</t>
  </si>
  <si>
    <t>ORD00010</t>
  </si>
  <si>
    <t>C1646</t>
  </si>
  <si>
    <t>ORD00011</t>
  </si>
  <si>
    <t>C1164</t>
  </si>
  <si>
    <t>Mechanical Keyboard</t>
  </si>
  <si>
    <t>ORD00012</t>
  </si>
  <si>
    <t>C1210</t>
  </si>
  <si>
    <t>Headphones</t>
  </si>
  <si>
    <t>ORD00013</t>
  </si>
  <si>
    <t>C1460</t>
  </si>
  <si>
    <t>Wireless Mouse</t>
  </si>
  <si>
    <t>ORD00014</t>
  </si>
  <si>
    <t>C1113</t>
  </si>
  <si>
    <t>ORD00015</t>
  </si>
  <si>
    <t>C1488</t>
  </si>
  <si>
    <t>ORD00016</t>
  </si>
  <si>
    <t>C1590</t>
  </si>
  <si>
    <t>ORD00017</t>
  </si>
  <si>
    <t>C1705</t>
  </si>
  <si>
    <t>Keyboard</t>
  </si>
  <si>
    <t>ORD00018</t>
  </si>
  <si>
    <t>C1728</t>
  </si>
  <si>
    <t>ORD00019</t>
  </si>
  <si>
    <t>C1556</t>
  </si>
  <si>
    <t>ORD00020</t>
  </si>
  <si>
    <t>C1789</t>
  </si>
  <si>
    <t>Webcam</t>
  </si>
  <si>
    <t>ORD00021</t>
  </si>
  <si>
    <t>C1614</t>
  </si>
  <si>
    <t>ORD00022</t>
  </si>
  <si>
    <t>C1017</t>
  </si>
  <si>
    <t>ORD00023</t>
  </si>
  <si>
    <t>C1688</t>
  </si>
  <si>
    <t>ORD00024</t>
  </si>
  <si>
    <t>C1657</t>
  </si>
  <si>
    <t>ORD00025</t>
  </si>
  <si>
    <t>C1779</t>
  </si>
  <si>
    <t>ORD00026</t>
  </si>
  <si>
    <t>C1317</t>
  </si>
  <si>
    <t>ORD00027</t>
  </si>
  <si>
    <t>C1029</t>
  </si>
  <si>
    <t>ORD00028</t>
  </si>
  <si>
    <t>C1662</t>
  </si>
  <si>
    <t>ORD00029</t>
  </si>
  <si>
    <t>C1180</t>
  </si>
  <si>
    <t>ORD00030</t>
  </si>
  <si>
    <t>C1689</t>
  </si>
  <si>
    <t>ORD00031</t>
  </si>
  <si>
    <t>C1280</t>
  </si>
  <si>
    <t>ORD00032</t>
  </si>
  <si>
    <t>C1423</t>
  </si>
  <si>
    <t>ORD00033</t>
  </si>
  <si>
    <t>C1019</t>
  </si>
  <si>
    <t>ORD00034</t>
  </si>
  <si>
    <t>C1291</t>
  </si>
  <si>
    <t>ORD00035</t>
  </si>
  <si>
    <t>C1434</t>
  </si>
  <si>
    <t>ORD00036</t>
  </si>
  <si>
    <t>C1486</t>
  </si>
  <si>
    <t>ORD00037</t>
  </si>
  <si>
    <t>ORD00038</t>
  </si>
  <si>
    <t>C1414</t>
  </si>
  <si>
    <t>ORD00039</t>
  </si>
  <si>
    <t>C1340</t>
  </si>
  <si>
    <t>ORD00040</t>
  </si>
  <si>
    <t>C1166</t>
  </si>
  <si>
    <t>ORD00041</t>
  </si>
  <si>
    <t>C1223</t>
  </si>
  <si>
    <t>ORD00042</t>
  </si>
  <si>
    <t>C1177</t>
  </si>
  <si>
    <t>ORD00043</t>
  </si>
  <si>
    <t>C1147</t>
  </si>
  <si>
    <t>ORD00044</t>
  </si>
  <si>
    <t>ORD00045</t>
  </si>
  <si>
    <t>C1242</t>
  </si>
  <si>
    <t>ORD00046</t>
  </si>
  <si>
    <t>C1125</t>
  </si>
  <si>
    <t>ORD00047</t>
  </si>
  <si>
    <t>C1755</t>
  </si>
  <si>
    <t>ORD00048</t>
  </si>
  <si>
    <t>C1068</t>
  </si>
  <si>
    <t>ORD00049</t>
  </si>
  <si>
    <t>C1754</t>
  </si>
  <si>
    <t>ORD00050</t>
  </si>
  <si>
    <t>C1099</t>
  </si>
  <si>
    <t>ORD00051</t>
  </si>
  <si>
    <t>C1445</t>
  </si>
  <si>
    <t>ORD00052</t>
  </si>
  <si>
    <t>C1282</t>
  </si>
  <si>
    <t>ORD00053</t>
  </si>
  <si>
    <t>C1729</t>
  </si>
  <si>
    <t>ORD00054</t>
  </si>
  <si>
    <t>C1510</t>
  </si>
  <si>
    <t>ORD00055</t>
  </si>
  <si>
    <t>C1246</t>
  </si>
  <si>
    <t>ORD00056</t>
  </si>
  <si>
    <t>C1485</t>
  </si>
  <si>
    <t>ORD00057</t>
  </si>
  <si>
    <t>C1123</t>
  </si>
  <si>
    <t>ORD00058</t>
  </si>
  <si>
    <t>C1387</t>
  </si>
  <si>
    <t>ORD00059</t>
  </si>
  <si>
    <t>C1311</t>
  </si>
  <si>
    <t>ORD00060</t>
  </si>
  <si>
    <t>C1543</t>
  </si>
  <si>
    <t>ORD00061</t>
  </si>
  <si>
    <t>C1609</t>
  </si>
  <si>
    <t>ORD00062</t>
  </si>
  <si>
    <t>C1707</t>
  </si>
  <si>
    <t>ORD00063</t>
  </si>
  <si>
    <t>C1675</t>
  </si>
  <si>
    <t>ORD00064</t>
  </si>
  <si>
    <t>C1587</t>
  </si>
  <si>
    <t>ORD00065</t>
  </si>
  <si>
    <t>C1517</t>
  </si>
  <si>
    <t>ORD00066</t>
  </si>
  <si>
    <t>C1651</t>
  </si>
  <si>
    <t>ORD00067</t>
  </si>
  <si>
    <t>C1509</t>
  </si>
  <si>
    <t>ORD00068</t>
  </si>
  <si>
    <t>C1328</t>
  </si>
  <si>
    <t>ORD00069</t>
  </si>
  <si>
    <t>C1070</t>
  </si>
  <si>
    <t>ORD00070</t>
  </si>
  <si>
    <t>C1611</t>
  </si>
  <si>
    <t>ORD00071</t>
  </si>
  <si>
    <t>C1581</t>
  </si>
  <si>
    <t>ORD00072</t>
  </si>
  <si>
    <t>C1324</t>
  </si>
  <si>
    <t>ORD00073</t>
  </si>
  <si>
    <t>C1232</t>
  </si>
  <si>
    <t>ORD00074</t>
  </si>
  <si>
    <t>ORD00075</t>
  </si>
  <si>
    <t>C1189</t>
  </si>
  <si>
    <t>ORD00076</t>
  </si>
  <si>
    <t>C1283</t>
  </si>
  <si>
    <t>ORD00077</t>
  </si>
  <si>
    <t>C1503</t>
  </si>
  <si>
    <t>ORD00078</t>
  </si>
  <si>
    <t>C1309</t>
  </si>
  <si>
    <t>ORD00079</t>
  </si>
  <si>
    <t>C1491</t>
  </si>
  <si>
    <t>ORD00080</t>
  </si>
  <si>
    <t>C1088</t>
  </si>
  <si>
    <t>ORD00081</t>
  </si>
  <si>
    <t>C1276</t>
  </si>
  <si>
    <t>ORD00082</t>
  </si>
  <si>
    <t>C1600</t>
  </si>
  <si>
    <t>ORD00083</t>
  </si>
  <si>
    <t>C1256</t>
  </si>
  <si>
    <t>ORD00084</t>
  </si>
  <si>
    <t>C1469</t>
  </si>
  <si>
    <t>ORD00085</t>
  </si>
  <si>
    <t>C1258</t>
  </si>
  <si>
    <t>ORD00086</t>
  </si>
  <si>
    <t>C1717</t>
  </si>
  <si>
    <t>ORD00087</t>
  </si>
  <si>
    <t>C1086</t>
  </si>
  <si>
    <t>ORD00088</t>
  </si>
  <si>
    <t>C1477</t>
  </si>
  <si>
    <t>ORD00089</t>
  </si>
  <si>
    <t>C1557</t>
  </si>
  <si>
    <t>ORD00090</t>
  </si>
  <si>
    <t>C1335</t>
  </si>
  <si>
    <t>ORD00091</t>
  </si>
  <si>
    <t>C1153</t>
  </si>
  <si>
    <t>ORD00092</t>
  </si>
  <si>
    <t>C1095</t>
  </si>
  <si>
    <t>ORD00093</t>
  </si>
  <si>
    <t>C1031</t>
  </si>
  <si>
    <t>ORD00094</t>
  </si>
  <si>
    <t>ORD00095</t>
  </si>
  <si>
    <t>C1726</t>
  </si>
  <si>
    <t>ORD00096</t>
  </si>
  <si>
    <t>C1349</t>
  </si>
  <si>
    <t>ORD00097</t>
  </si>
  <si>
    <t>C1226</t>
  </si>
  <si>
    <t>ORD00098</t>
  </si>
  <si>
    <t>C1681</t>
  </si>
  <si>
    <t>ORD00099</t>
  </si>
  <si>
    <t>ORD00100</t>
  </si>
  <si>
    <t>ORD00101</t>
  </si>
  <si>
    <t>ORD00102</t>
  </si>
  <si>
    <t>C1521</t>
  </si>
  <si>
    <t>ORD00103</t>
  </si>
  <si>
    <t>C1529</t>
  </si>
  <si>
    <t>ORD00104</t>
  </si>
  <si>
    <t>C1157</t>
  </si>
  <si>
    <t>ORD00105</t>
  </si>
  <si>
    <t>C1348</t>
  </si>
  <si>
    <t>ORD00106</t>
  </si>
  <si>
    <t>C1127</t>
  </si>
  <si>
    <t>ORD00107</t>
  </si>
  <si>
    <t>C1422</t>
  </si>
  <si>
    <t>ORD00108</t>
  </si>
  <si>
    <t>C1579</t>
  </si>
  <si>
    <t>ORD00109</t>
  </si>
  <si>
    <t>ORD00110</t>
  </si>
  <si>
    <t>ORD00111</t>
  </si>
  <si>
    <t>C1582</t>
  </si>
  <si>
    <t>ORD00112</t>
  </si>
  <si>
    <t>C1479</t>
  </si>
  <si>
    <t>ORD00113</t>
  </si>
  <si>
    <t>C1111</t>
  </si>
  <si>
    <t>ORD00114</t>
  </si>
  <si>
    <t>C1650</t>
  </si>
  <si>
    <t>ORD00115</t>
  </si>
  <si>
    <t>C1222</t>
  </si>
  <si>
    <t>ORD00116</t>
  </si>
  <si>
    <t>C1224</t>
  </si>
  <si>
    <t>ORD00117</t>
  </si>
  <si>
    <t>C1691</t>
  </si>
  <si>
    <t>ORD00118</t>
  </si>
  <si>
    <t>C1480</t>
  </si>
  <si>
    <t>ORD00119</t>
  </si>
  <si>
    <t>C1406</t>
  </si>
  <si>
    <t>ORD00120</t>
  </si>
  <si>
    <t>C1191</t>
  </si>
  <si>
    <t>ORD00121</t>
  </si>
  <si>
    <t>C1321</t>
  </si>
  <si>
    <t>ORD00122</t>
  </si>
  <si>
    <t>C1710</t>
  </si>
  <si>
    <t>ORD00123</t>
  </si>
  <si>
    <t>C1608</t>
  </si>
  <si>
    <t>ORD00124</t>
  </si>
  <si>
    <t>C1204</t>
  </si>
  <si>
    <t>ORD00125</t>
  </si>
  <si>
    <t>C1310</t>
  </si>
  <si>
    <t>ORD00126</t>
  </si>
  <si>
    <t>C1316</t>
  </si>
  <si>
    <t>ORD00127</t>
  </si>
  <si>
    <t>C1571</t>
  </si>
  <si>
    <t>ORD00128</t>
  </si>
  <si>
    <t>C1184</t>
  </si>
  <si>
    <t>ORD00129</t>
  </si>
  <si>
    <t>C1257</t>
  </si>
  <si>
    <t>ORD00130</t>
  </si>
  <si>
    <t>C1306</t>
  </si>
  <si>
    <t>ORD00131</t>
  </si>
  <si>
    <t>ORD00132</t>
  </si>
  <si>
    <t>C1637</t>
  </si>
  <si>
    <t>ORD00133</t>
  </si>
  <si>
    <t>C1381</t>
  </si>
  <si>
    <t>ORD00134</t>
  </si>
  <si>
    <t>C1526</t>
  </si>
  <si>
    <t>ORD00135</t>
  </si>
  <si>
    <t>C1721</t>
  </si>
  <si>
    <t>ORD00136</t>
  </si>
  <si>
    <t>C1370</t>
  </si>
  <si>
    <t>ORD00137</t>
  </si>
  <si>
    <t>C1589</t>
  </si>
  <si>
    <t>ORD00138</t>
  </si>
  <si>
    <t>C1170</t>
  </si>
  <si>
    <t>ORD00139</t>
  </si>
  <si>
    <t>C1783</t>
  </si>
  <si>
    <t>ORD00140</t>
  </si>
  <si>
    <t>C1403</t>
  </si>
  <si>
    <t>ORD00141</t>
  </si>
  <si>
    <t>C1585</t>
  </si>
  <si>
    <t>ORD00142</t>
  </si>
  <si>
    <t>C1101</t>
  </si>
  <si>
    <t>ORD00143</t>
  </si>
  <si>
    <t>C1740</t>
  </si>
  <si>
    <t>ORD00144</t>
  </si>
  <si>
    <t>C1425</t>
  </si>
  <si>
    <t>ORD00145</t>
  </si>
  <si>
    <t>C1471</t>
  </si>
  <si>
    <t>ORD00146</t>
  </si>
  <si>
    <t>C1344</t>
  </si>
  <si>
    <t>ORD00147</t>
  </si>
  <si>
    <t>C1670</t>
  </si>
  <si>
    <t>ORD00148</t>
  </si>
  <si>
    <t>ORD00149</t>
  </si>
  <si>
    <t>C1565</t>
  </si>
  <si>
    <t>ORD00150</t>
  </si>
  <si>
    <t>C1409</t>
  </si>
  <si>
    <t>ORD00151</t>
  </si>
  <si>
    <t>C1592</t>
  </si>
  <si>
    <t>ORD00152</t>
  </si>
  <si>
    <t>C1548</t>
  </si>
  <si>
    <t>ORD00153</t>
  </si>
  <si>
    <t>C1362</t>
  </si>
  <si>
    <t>ORD00154</t>
  </si>
  <si>
    <t>ORD00155</t>
  </si>
  <si>
    <t>C1610</t>
  </si>
  <si>
    <t>ORD00156</t>
  </si>
  <si>
    <t>C1737</t>
  </si>
  <si>
    <t>ORD00157</t>
  </si>
  <si>
    <t>ORD00158</t>
  </si>
  <si>
    <t>C1443</t>
  </si>
  <si>
    <t>ORD00159</t>
  </si>
  <si>
    <t>C1285</t>
  </si>
  <si>
    <t>ORD00160</t>
  </si>
  <si>
    <t>C1336</t>
  </si>
  <si>
    <t>ORD00161</t>
  </si>
  <si>
    <t>C1598</t>
  </si>
  <si>
    <t>ORD00162</t>
  </si>
  <si>
    <t>C1785</t>
  </si>
  <si>
    <t>ORD00163</t>
  </si>
  <si>
    <t>C1331</t>
  </si>
  <si>
    <t>ORD00164</t>
  </si>
  <si>
    <t>C1661</t>
  </si>
  <si>
    <t>ORD00165</t>
  </si>
  <si>
    <t>C1562</t>
  </si>
  <si>
    <t>ORD00166</t>
  </si>
  <si>
    <t>C1546</t>
  </si>
  <si>
    <t>ORD00167</t>
  </si>
  <si>
    <t>C1446</t>
  </si>
  <si>
    <t>ORD00168</t>
  </si>
  <si>
    <t>C1419</t>
  </si>
  <si>
    <t>ORD00169</t>
  </si>
  <si>
    <t>ORD00170</t>
  </si>
  <si>
    <t>C1199</t>
  </si>
  <si>
    <t>ORD00171</t>
  </si>
  <si>
    <t>C1625</t>
  </si>
  <si>
    <t>ORD00172</t>
  </si>
  <si>
    <t>ORD00173</t>
  </si>
  <si>
    <t>C1623</t>
  </si>
  <si>
    <t>ORD00174</t>
  </si>
  <si>
    <t>ORD00175</t>
  </si>
  <si>
    <t>C1494</t>
  </si>
  <si>
    <t>ORD00176</t>
  </si>
  <si>
    <t>C1377</t>
  </si>
  <si>
    <t>ORD00177</t>
  </si>
  <si>
    <t>C1271</t>
  </si>
  <si>
    <t>ORD00178</t>
  </si>
  <si>
    <t>C1467</t>
  </si>
  <si>
    <t>ORD00179</t>
  </si>
  <si>
    <t>C1453</t>
  </si>
  <si>
    <t>ORD00180</t>
  </si>
  <si>
    <t>C1063</t>
  </si>
  <si>
    <t>ORD00181</t>
  </si>
  <si>
    <t>C1550</t>
  </si>
  <si>
    <t>ORD00182</t>
  </si>
  <si>
    <t>C1003</t>
  </si>
  <si>
    <t>ORD00183</t>
  </si>
  <si>
    <t>ORD00184</t>
  </si>
  <si>
    <t>C1383</t>
  </si>
  <si>
    <t>ORD00185</t>
  </si>
  <si>
    <t>ORD00186</t>
  </si>
  <si>
    <t>C1035</t>
  </si>
  <si>
    <t>ORD00187</t>
  </si>
  <si>
    <t>C1290</t>
  </si>
  <si>
    <t>ORD00188</t>
  </si>
  <si>
    <t>C1663</t>
  </si>
  <si>
    <t>ORD00189</t>
  </si>
  <si>
    <t>ORD00190</t>
  </si>
  <si>
    <t>C1508</t>
  </si>
  <si>
    <t>ORD00191</t>
  </si>
  <si>
    <t>C1763</t>
  </si>
  <si>
    <t>ORD00192</t>
  </si>
  <si>
    <t>C1089</t>
  </si>
  <si>
    <t>ORD00193</t>
  </si>
  <si>
    <t>ORD00194</t>
  </si>
  <si>
    <t>C1380</t>
  </si>
  <si>
    <t>ORD00195</t>
  </si>
  <si>
    <t>C1213</t>
  </si>
  <si>
    <t>ORD00196</t>
  </si>
  <si>
    <t>C1298</t>
  </si>
  <si>
    <t>ORD00197</t>
  </si>
  <si>
    <t>C1694</t>
  </si>
  <si>
    <t>ORD00198</t>
  </si>
  <si>
    <t>ORD00199</t>
  </si>
  <si>
    <t>C1374</t>
  </si>
  <si>
    <t>ORD00200</t>
  </si>
  <si>
    <t>C1393</t>
  </si>
  <si>
    <t>ORD00201</t>
  </si>
  <si>
    <t>C1135</t>
  </si>
  <si>
    <t>ORD00202</t>
  </si>
  <si>
    <t>C1059</t>
  </si>
  <si>
    <t>ORD00203</t>
  </si>
  <si>
    <t>C1501</t>
  </si>
  <si>
    <t>ORD00204</t>
  </si>
  <si>
    <t>ORD00205</t>
  </si>
  <si>
    <t>C1106</t>
  </si>
  <si>
    <t>ORD00206</t>
  </si>
  <si>
    <t>C1077</t>
  </si>
  <si>
    <t>ORD00207</t>
  </si>
  <si>
    <t>C1619</t>
  </si>
  <si>
    <t>ORD00208</t>
  </si>
  <si>
    <t>C1613</t>
  </si>
  <si>
    <t>ORD00209</t>
  </si>
  <si>
    <t>C1211</t>
  </si>
  <si>
    <t>ORD00210</t>
  </si>
  <si>
    <t>ORD00211</t>
  </si>
  <si>
    <t>C1216</t>
  </si>
  <si>
    <t>ORD00212</t>
  </si>
  <si>
    <t>C1373</t>
  </si>
  <si>
    <t>ORD00213</t>
  </si>
  <si>
    <t>ORD00214</t>
  </si>
  <si>
    <t>C1119</t>
  </si>
  <si>
    <t>ORD00215</t>
  </si>
  <si>
    <t>C1739</t>
  </si>
  <si>
    <t>ORD00216</t>
  </si>
  <si>
    <t>C1100</t>
  </si>
  <si>
    <t>ORD00217</t>
  </si>
  <si>
    <t>C1799</t>
  </si>
  <si>
    <t>ORD00218</t>
  </si>
  <si>
    <t>C1732</t>
  </si>
  <si>
    <t>ORD00219</t>
  </si>
  <si>
    <t>C1149</t>
  </si>
  <si>
    <t>ORD00220</t>
  </si>
  <si>
    <t>C1399</t>
  </si>
  <si>
    <t>ORD00221</t>
  </si>
  <si>
    <t>C1376</t>
  </si>
  <si>
    <t>ORD00222</t>
  </si>
  <si>
    <t>C1742</t>
  </si>
  <si>
    <t>ORD00223</t>
  </si>
  <si>
    <t>C1574</t>
  </si>
  <si>
    <t>ORD00224</t>
  </si>
  <si>
    <t>C1194</t>
  </si>
  <si>
    <t>ORD00225</t>
  </si>
  <si>
    <t>C1026</t>
  </si>
  <si>
    <t>ORD00226</t>
  </si>
  <si>
    <t>C1175</t>
  </si>
  <si>
    <t>ORD00227</t>
  </si>
  <si>
    <t>C1072</t>
  </si>
  <si>
    <t>ORD00228</t>
  </si>
  <si>
    <t>C1673</t>
  </si>
  <si>
    <t>ORD00229</t>
  </si>
  <si>
    <t>C1456</t>
  </si>
  <si>
    <t>ORD00230</t>
  </si>
  <si>
    <t>ORD00231</t>
  </si>
  <si>
    <t>C1757</t>
  </si>
  <si>
    <t>ORD00232</t>
  </si>
  <si>
    <t>C1110</t>
  </si>
  <si>
    <t>ORD00233</t>
  </si>
  <si>
    <t>ORD00234</t>
  </si>
  <si>
    <t>ORD00235</t>
  </si>
  <si>
    <t>C1114</t>
  </si>
  <si>
    <t>ORD00236</t>
  </si>
  <si>
    <t>C1087</t>
  </si>
  <si>
    <t>ORD00237</t>
  </si>
  <si>
    <t>C1307</t>
  </si>
  <si>
    <t>ORD00238</t>
  </si>
  <si>
    <t>ORD00239</t>
  </si>
  <si>
    <t>ORD00240</t>
  </si>
  <si>
    <t>C1120</t>
  </si>
  <si>
    <t>ORD00241</t>
  </si>
  <si>
    <t>ORD00242</t>
  </si>
  <si>
    <t>C1778</t>
  </si>
  <si>
    <t>ORD00243</t>
  </si>
  <si>
    <t>C1607</t>
  </si>
  <si>
    <t>ORD00244</t>
  </si>
  <si>
    <t>C1447</t>
  </si>
  <si>
    <t>ORD00245</t>
  </si>
  <si>
    <t>C1679</t>
  </si>
  <si>
    <t>ORD00246</t>
  </si>
  <si>
    <t>C1322</t>
  </si>
  <si>
    <t>ORD00247</t>
  </si>
  <si>
    <t>C1065</t>
  </si>
  <si>
    <t>ORD00248</t>
  </si>
  <si>
    <t>C1269</t>
  </si>
  <si>
    <t>ORD00249</t>
  </si>
  <si>
    <t>C1315</t>
  </si>
  <si>
    <t>ORD00250</t>
  </si>
  <si>
    <t>ORD00251</t>
  </si>
  <si>
    <t>C1010</t>
  </si>
  <si>
    <t>ORD00252</t>
  </si>
  <si>
    <t>ORD00253</t>
  </si>
  <si>
    <t>ORD00254</t>
  </si>
  <si>
    <t>C1286</t>
  </si>
  <si>
    <t>ORD00255</t>
  </si>
  <si>
    <t>C1436</t>
  </si>
  <si>
    <t>ORD00256</t>
  </si>
  <si>
    <t>C1786</t>
  </si>
  <si>
    <t>ORD00257</t>
  </si>
  <si>
    <t>C1392</t>
  </si>
  <si>
    <t>ORD00258</t>
  </si>
  <si>
    <t>C1332</t>
  </si>
  <si>
    <t>ORD00259</t>
  </si>
  <si>
    <t>ORD00260</t>
  </si>
  <si>
    <t>C1152</t>
  </si>
  <si>
    <t>ORD00261</t>
  </si>
  <si>
    <t>C1295</t>
  </si>
  <si>
    <t>ORD00262</t>
  </si>
  <si>
    <t>C1129</t>
  </si>
  <si>
    <t>ORD00263</t>
  </si>
  <si>
    <t>C1174</t>
  </si>
  <si>
    <t>ORD00264</t>
  </si>
  <si>
    <t>C1016</t>
  </si>
  <si>
    <t>ORD00265</t>
  </si>
  <si>
    <t>C1060</t>
  </si>
  <si>
    <t>ORD00266</t>
  </si>
  <si>
    <t>C1220</t>
  </si>
  <si>
    <t>ORD00267</t>
  </si>
  <si>
    <t>ORD00268</t>
  </si>
  <si>
    <t>C1622</t>
  </si>
  <si>
    <t>ORD00269</t>
  </si>
  <si>
    <t>C1069</t>
  </si>
  <si>
    <t>ORD00270</t>
  </si>
  <si>
    <t>C1219</t>
  </si>
  <si>
    <t>ORD00271</t>
  </si>
  <si>
    <t>C1761</t>
  </si>
  <si>
    <t>ORD00272</t>
  </si>
  <si>
    <t>ORD00273</t>
  </si>
  <si>
    <t>C1277</t>
  </si>
  <si>
    <t>ORD00274</t>
  </si>
  <si>
    <t>C1770</t>
  </si>
  <si>
    <t>ORD00275</t>
  </si>
  <si>
    <t>C1420</t>
  </si>
  <si>
    <t>ORD00276</t>
  </si>
  <si>
    <t>ORD00277</t>
  </si>
  <si>
    <t>C1085</t>
  </si>
  <si>
    <t>ORD00278</t>
  </si>
  <si>
    <t>ORD00279</t>
  </si>
  <si>
    <t>ORD00280</t>
  </si>
  <si>
    <t>ORD00281</t>
  </si>
  <si>
    <t>C1198</t>
  </si>
  <si>
    <t>ORD00282</t>
  </si>
  <si>
    <t>ORD00283</t>
  </si>
  <si>
    <t>ORD00284</t>
  </si>
  <si>
    <t>C1108</t>
  </si>
  <si>
    <t>ORD00285</t>
  </si>
  <si>
    <t>ORD00286</t>
  </si>
  <si>
    <t>C1139</t>
  </si>
  <si>
    <t>ORD00287</t>
  </si>
  <si>
    <t>ORD00288</t>
  </si>
  <si>
    <t>C1107</t>
  </si>
  <si>
    <t>ORD00289</t>
  </si>
  <si>
    <t>ORD00290</t>
  </si>
  <si>
    <t>C1183</t>
  </si>
  <si>
    <t>ORD00291</t>
  </si>
  <si>
    <t>C1048</t>
  </si>
  <si>
    <t>ORD00292</t>
  </si>
  <si>
    <t>C1082</t>
  </si>
  <si>
    <t>ORD00293</t>
  </si>
  <si>
    <t>ORD00294</t>
  </si>
  <si>
    <t>ORD00295</t>
  </si>
  <si>
    <t>C1346</t>
  </si>
  <si>
    <t>ORD00296</t>
  </si>
  <si>
    <t>C1155</t>
  </si>
  <si>
    <t>ORD00297</t>
  </si>
  <si>
    <t>ORD00298</t>
  </si>
  <si>
    <t>C1699</t>
  </si>
  <si>
    <t>ORD00299</t>
  </si>
  <si>
    <t>C1738</t>
  </si>
  <si>
    <t>ORD00300</t>
  </si>
  <si>
    <t>C1458</t>
  </si>
  <si>
    <t>ORD00301</t>
  </si>
  <si>
    <t>ORD00302</t>
  </si>
  <si>
    <t>ORD00303</t>
  </si>
  <si>
    <t>C1629</t>
  </si>
  <si>
    <t>ORD00304</t>
  </si>
  <si>
    <t>ORD00305</t>
  </si>
  <si>
    <t>C1203</t>
  </si>
  <si>
    <t>ORD00306</t>
  </si>
  <si>
    <t>ORD00307</t>
  </si>
  <si>
    <t>C1090</t>
  </si>
  <si>
    <t>ORD00308</t>
  </si>
  <si>
    <t>C1482</t>
  </si>
  <si>
    <t>ORD00309</t>
  </si>
  <si>
    <t>C1281</t>
  </si>
  <si>
    <t>ORD00310</t>
  </si>
  <si>
    <t>C1516</t>
  </si>
  <si>
    <t>ORD00311</t>
  </si>
  <si>
    <t>C1020</t>
  </si>
  <si>
    <t>ORD00312</t>
  </si>
  <si>
    <t>C1594</t>
  </si>
  <si>
    <t>ORD00313</t>
  </si>
  <si>
    <t>ORD00314</t>
  </si>
  <si>
    <t>C1554</t>
  </si>
  <si>
    <t>ORD00315</t>
  </si>
  <si>
    <t>C1227</t>
  </si>
  <si>
    <t>ORD00316</t>
  </si>
  <si>
    <t>ORD00317</t>
  </si>
  <si>
    <t>C1207</t>
  </si>
  <si>
    <t>ORD00318</t>
  </si>
  <si>
    <t>C1205</t>
  </si>
  <si>
    <t>ORD00319</t>
  </si>
  <si>
    <t>C1463</t>
  </si>
  <si>
    <t>ORD00320</t>
  </si>
  <si>
    <t>ORD00321</t>
  </si>
  <si>
    <t>ORD00322</t>
  </si>
  <si>
    <t>C1714</t>
  </si>
  <si>
    <t>ORD00323</t>
  </si>
  <si>
    <t>ORD00324</t>
  </si>
  <si>
    <t>ORD00325</t>
  </si>
  <si>
    <t>ORD00326</t>
  </si>
  <si>
    <t>C1635</t>
  </si>
  <si>
    <t>ORD00327</t>
  </si>
  <si>
    <t>C1148</t>
  </si>
  <si>
    <t>ORD00328</t>
  </si>
  <si>
    <t>C1465</t>
  </si>
  <si>
    <t>ORD00329</t>
  </si>
  <si>
    <t>C1279</t>
  </si>
  <si>
    <t>ORD00330</t>
  </si>
  <si>
    <t>C1144</t>
  </si>
  <si>
    <t>ORD00331</t>
  </si>
  <si>
    <t>ORD00332</t>
  </si>
  <si>
    <t>C1024</t>
  </si>
  <si>
    <t>ORD00333</t>
  </si>
  <si>
    <t>C1343</t>
  </si>
  <si>
    <t>ORD00334</t>
  </si>
  <si>
    <t>C1552</t>
  </si>
  <si>
    <t>ORD00335</t>
  </si>
  <si>
    <t>ORD00336</t>
  </si>
  <si>
    <t>C1168</t>
  </si>
  <si>
    <t>ORD00337</t>
  </si>
  <si>
    <t>C1036</t>
  </si>
  <si>
    <t>ORD00338</t>
  </si>
  <si>
    <t>C1221</t>
  </si>
  <si>
    <t>ORD00339</t>
  </si>
  <si>
    <t>ORD00340</t>
  </si>
  <si>
    <t>C1260</t>
  </si>
  <si>
    <t>ORD00341</t>
  </si>
  <si>
    <t>ORD00342</t>
  </si>
  <si>
    <t>ORD00343</t>
  </si>
  <si>
    <t>C1163</t>
  </si>
  <si>
    <t>ORD00344</t>
  </si>
  <si>
    <t>ORD00345</t>
  </si>
  <si>
    <t>C1640</t>
  </si>
  <si>
    <t>ORD00346</t>
  </si>
  <si>
    <t>C1293</t>
  </si>
  <si>
    <t>ORD00347</t>
  </si>
  <si>
    <t>C1452</t>
  </si>
  <si>
    <t>ORD00348</t>
  </si>
  <si>
    <t>C1490</t>
  </si>
  <si>
    <t>ORD00349</t>
  </si>
  <si>
    <t>ORD00350</t>
  </si>
  <si>
    <t>ORD00351</t>
  </si>
  <si>
    <t>C1692</t>
  </si>
  <si>
    <t>ORD00352</t>
  </si>
  <si>
    <t>C1138</t>
  </si>
  <si>
    <t>ORD00353</t>
  </si>
  <si>
    <t>C1777</t>
  </si>
  <si>
    <t>ORD00354</t>
  </si>
  <si>
    <t>ORD00355</t>
  </si>
  <si>
    <t>C1173</t>
  </si>
  <si>
    <t>ORD00356</t>
  </si>
  <si>
    <t>ORD00357</t>
  </si>
  <si>
    <t>C1784</t>
  </si>
  <si>
    <t>ORD00358</t>
  </si>
  <si>
    <t>C1709</t>
  </si>
  <si>
    <t>ORD00359</t>
  </si>
  <si>
    <t>ORD00360</t>
  </si>
  <si>
    <t>C1193</t>
  </si>
  <si>
    <t>ORD00361</t>
  </si>
  <si>
    <t>C1325</t>
  </si>
  <si>
    <t>ORD00362</t>
  </si>
  <si>
    <t>ORD00363</t>
  </si>
  <si>
    <t>ORD00364</t>
  </si>
  <si>
    <t>C1394</t>
  </si>
  <si>
    <t>ORD00365</t>
  </si>
  <si>
    <t>ORD00366</t>
  </si>
  <si>
    <t>C1795</t>
  </si>
  <si>
    <t>ORD00367</t>
  </si>
  <si>
    <t>C1301</t>
  </si>
  <si>
    <t>ORD00368</t>
  </si>
  <si>
    <t>ORD00369</t>
  </si>
  <si>
    <t>ORD00370</t>
  </si>
  <si>
    <t>C1083</t>
  </si>
  <si>
    <t>ORD00371</t>
  </si>
  <si>
    <t>C1449</t>
  </si>
  <si>
    <t>ORD00372</t>
  </si>
  <si>
    <t>ORD00373</t>
  </si>
  <si>
    <t>ORD00374</t>
  </si>
  <si>
    <t>C1075</t>
  </si>
  <si>
    <t>ORD00375</t>
  </si>
  <si>
    <t>C1022</t>
  </si>
  <si>
    <t>ORD00376</t>
  </si>
  <si>
    <t>C1512</t>
  </si>
  <si>
    <t>ORD00377</t>
  </si>
  <si>
    <t>C1424</t>
  </si>
  <si>
    <t>ORD00378</t>
  </si>
  <si>
    <t>C1427</t>
  </si>
  <si>
    <t>ORD00379</t>
  </si>
  <si>
    <t>ORD00380</t>
  </si>
  <si>
    <t>C1375</t>
  </si>
  <si>
    <t>ORD00381</t>
  </si>
  <si>
    <t>C1061</t>
  </si>
  <si>
    <t>ORD00382</t>
  </si>
  <si>
    <t>ORD00383</t>
  </si>
  <si>
    <t>C1237</t>
  </si>
  <si>
    <t>ORD00384</t>
  </si>
  <si>
    <t>C1765</t>
  </si>
  <si>
    <t>ORD00385</t>
  </si>
  <si>
    <t>C1678</t>
  </si>
  <si>
    <t>ORD00386</t>
  </si>
  <si>
    <t>ORD00387</t>
  </si>
  <si>
    <t>ORD00388</t>
  </si>
  <si>
    <t>ORD00389</t>
  </si>
  <si>
    <t>ORD00390</t>
  </si>
  <si>
    <t>ORD00391</t>
  </si>
  <si>
    <t>C1287</t>
  </si>
  <si>
    <t>ORD00392</t>
  </si>
  <si>
    <t>ORD00393</t>
  </si>
  <si>
    <t>ORD00394</t>
  </si>
  <si>
    <t>ORD00395</t>
  </si>
  <si>
    <t>C1577</t>
  </si>
  <si>
    <t>ORD00396</t>
  </si>
  <si>
    <t>C1151</t>
  </si>
  <si>
    <t>ORD00397</t>
  </si>
  <si>
    <t>ORD00398</t>
  </si>
  <si>
    <t>C1551</t>
  </si>
  <si>
    <t>ORD00399</t>
  </si>
  <si>
    <t>ORD00400</t>
  </si>
  <si>
    <t>C1369</t>
  </si>
  <si>
    <t>ORD00401</t>
  </si>
  <si>
    <t>C1570</t>
  </si>
  <si>
    <t>ORD00402</t>
  </si>
  <si>
    <t>C1450</t>
  </si>
  <si>
    <t>ORD00403</t>
  </si>
  <si>
    <t>C1617</t>
  </si>
  <si>
    <t>ORD00404</t>
  </si>
  <si>
    <t>ORD00405</t>
  </si>
  <si>
    <t>ORD00406</t>
  </si>
  <si>
    <t>C1407</t>
  </si>
  <si>
    <t>ORD00407</t>
  </si>
  <si>
    <t>ORD00408</t>
  </si>
  <si>
    <t>ORD00409</t>
  </si>
  <si>
    <t>C1078</t>
  </si>
  <si>
    <t>ORD00410</t>
  </si>
  <si>
    <t>ORD00411</t>
  </si>
  <si>
    <t>ORD00412</t>
  </si>
  <si>
    <t>C1712</t>
  </si>
  <si>
    <t>ORD00413</t>
  </si>
  <si>
    <t>C1161</t>
  </si>
  <si>
    <t>ORD00414</t>
  </si>
  <si>
    <t>C1695</t>
  </si>
  <si>
    <t>ORD00415</t>
  </si>
  <si>
    <t>C1620</t>
  </si>
  <si>
    <t>ORD00416</t>
  </si>
  <si>
    <t>ORD00417</t>
  </si>
  <si>
    <t>ORD00418</t>
  </si>
  <si>
    <t>ORD00419</t>
  </si>
  <si>
    <t>C1337</t>
  </si>
  <si>
    <t>ORD00420</t>
  </si>
  <si>
    <t>C1716</t>
  </si>
  <si>
    <t>ORD00421</t>
  </si>
  <si>
    <t>ORD00422</t>
  </si>
  <si>
    <t>C1523</t>
  </si>
  <si>
    <t>ORD00423</t>
  </si>
  <si>
    <t>ORD00424</t>
  </si>
  <si>
    <t>ORD00425</t>
  </si>
  <si>
    <t>ORD00426</t>
  </si>
  <si>
    <t>ORD00427</t>
  </si>
  <si>
    <t>C1357</t>
  </si>
  <si>
    <t>ORD00428</t>
  </si>
  <si>
    <t>ORD00429</t>
  </si>
  <si>
    <t>C1612</t>
  </si>
  <si>
    <t>ORD00430</t>
  </si>
  <si>
    <t>C1698</t>
  </si>
  <si>
    <t>ORD00431</t>
  </si>
  <si>
    <t>C1492</t>
  </si>
  <si>
    <t>ORD00432</t>
  </si>
  <si>
    <t>ORD00433</t>
  </si>
  <si>
    <t>ORD00434</t>
  </si>
  <si>
    <t>ORD00435</t>
  </si>
  <si>
    <t>C1096</t>
  </si>
  <si>
    <t>ORD00436</t>
  </si>
  <si>
    <t>C1014</t>
  </si>
  <si>
    <t>ORD00437</t>
  </si>
  <si>
    <t>C1385</t>
  </si>
  <si>
    <t>ORD00438</t>
  </si>
  <si>
    <t>ORD00439</t>
  </si>
  <si>
    <t>C1030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</si>
  <si>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</si>
  <si>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</si>
  <si>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</si>
  <si>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</si>
  <si>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</si>
  <si>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</si>
  <si>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</si>
  <si>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</si>
  <si>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</si>
  <si>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C1137</t>
  </si>
  <si>
    <t>ORD00449</t>
  </si>
  <si>
    <t>C1302</t>
  </si>
  <si>
    <t>ORD00450</t>
  </si>
  <si>
    <t>C1621</t>
  </si>
  <si>
    <t>ORD00451</t>
  </si>
  <si>
    <t>ORD00452</t>
  </si>
  <si>
    <t>ORD00453</t>
  </si>
  <si>
    <t>C1347</t>
  </si>
  <si>
    <t>ORD00454</t>
  </si>
  <si>
    <t>ORD00455</t>
  </si>
  <si>
    <t>C1545</t>
  </si>
  <si>
    <t>ORD00456</t>
  </si>
  <si>
    <t>ORD00457</t>
  </si>
  <si>
    <t>C1133</t>
  </si>
  <si>
    <t>ORD00458</t>
  </si>
  <si>
    <t>ORD00459</t>
  </si>
  <si>
    <t>C1182</t>
  </si>
  <si>
    <t>ORD00460</t>
  </si>
  <si>
    <t>C1263</t>
  </si>
  <si>
    <t>ORD00461</t>
  </si>
  <si>
    <t>C1536</t>
  </si>
  <si>
    <t>ORD00462</t>
  </si>
  <si>
    <t>ORD00463</t>
  </si>
  <si>
    <t>ORD00464</t>
  </si>
  <si>
    <t>C1190</t>
  </si>
  <si>
    <t>ORD00465</t>
  </si>
  <si>
    <t>ORD00466</t>
  </si>
  <si>
    <t>C1176</t>
  </si>
  <si>
    <t>ORD00467</t>
  </si>
  <si>
    <t>C1013</t>
  </si>
  <si>
    <t>ORD00468</t>
  </si>
  <si>
    <t>ORD00469</t>
  </si>
  <si>
    <t>C1007</t>
  </si>
  <si>
    <t>ORD00470</t>
  </si>
  <si>
    <t>ORD00471</t>
  </si>
  <si>
    <t>ORD00472</t>
  </si>
  <si>
    <t>ORD00473</t>
  </si>
  <si>
    <t>ORD00474</t>
  </si>
  <si>
    <t>C1192</t>
  </si>
  <si>
    <t>ORD00475</t>
  </si>
  <si>
    <t>ORD00476</t>
  </si>
  <si>
    <t>C1540</t>
  </si>
  <si>
    <t>ORD00477</t>
  </si>
  <si>
    <t>C1102</t>
  </si>
  <si>
    <t>ORD00478</t>
  </si>
  <si>
    <t>C1537</t>
  </si>
  <si>
    <t>ORD00479</t>
  </si>
  <si>
    <t>ORD00480</t>
  </si>
  <si>
    <t>ORD00481</t>
  </si>
  <si>
    <t>ORD00482</t>
  </si>
  <si>
    <t>ORD00483</t>
  </si>
  <si>
    <t>C1011</t>
  </si>
  <si>
    <t>ORD00484</t>
  </si>
  <si>
    <t>C1417</t>
  </si>
  <si>
    <t>ORD00485</t>
  </si>
  <si>
    <t>C1243</t>
  </si>
  <si>
    <t>ORD00486</t>
  </si>
  <si>
    <t>ORD00487</t>
  </si>
  <si>
    <t>C1441</t>
  </si>
  <si>
    <t>ORD00488</t>
  </si>
  <si>
    <t>ORD00489</t>
  </si>
  <si>
    <t>ORD00490</t>
  </si>
  <si>
    <t>C1404</t>
  </si>
  <si>
    <t>ORD00491</t>
  </si>
  <si>
    <t>C1418</t>
  </si>
  <si>
    <t>ORD00492</t>
  </si>
  <si>
    <t>ORD00493</t>
  </si>
  <si>
    <t>C1428</t>
  </si>
  <si>
    <t>ORD00494</t>
  </si>
  <si>
    <t>ORD00495</t>
  </si>
  <si>
    <t>C1049</t>
  </si>
  <si>
    <t>ORD00496</t>
  </si>
  <si>
    <t>C1643</t>
  </si>
  <si>
    <t>ORD00497</t>
  </si>
  <si>
    <t>C1652</t>
  </si>
  <si>
    <t>ORD00498</t>
  </si>
  <si>
    <t>ORD00499</t>
  </si>
  <si>
    <t>C1656</t>
  </si>
  <si>
    <t>ORD00500</t>
  </si>
  <si>
    <t>ORD00501</t>
  </si>
  <si>
    <t>C1534</t>
  </si>
  <si>
    <t>ORD00502</t>
  </si>
  <si>
    <t>ORD00503</t>
  </si>
  <si>
    <t>ORD00504</t>
  </si>
  <si>
    <t>C1410</t>
  </si>
  <si>
    <t>ORD00505</t>
  </si>
  <si>
    <t>C1584</t>
  </si>
  <si>
    <t>ORD00506</t>
  </si>
  <si>
    <t>ORD00507</t>
  </si>
  <si>
    <t>C1185</t>
  </si>
  <si>
    <t>ORD00508</t>
  </si>
  <si>
    <t>C1567</t>
  </si>
  <si>
    <t>ORD00509</t>
  </si>
  <si>
    <t>ORD00510</t>
  </si>
  <si>
    <t>ORD00511</t>
  </si>
  <si>
    <t>ORD00512</t>
  </si>
  <si>
    <t>ORD00513</t>
  </si>
  <si>
    <t>C1363</t>
  </si>
  <si>
    <t>ORD00514</t>
  </si>
  <si>
    <t>ORD00515</t>
  </si>
  <si>
    <t>C1225</t>
  </si>
  <si>
    <t>ORD00516</t>
  </si>
  <si>
    <t>C1165</t>
  </si>
  <si>
    <t>ORD00517</t>
  </si>
  <si>
    <t>C1797</t>
  </si>
  <si>
    <t>ORD00518</t>
  </si>
  <si>
    <t>ORD00519</t>
  </si>
  <si>
    <t>C1215</t>
  </si>
  <si>
    <t>ORD00520</t>
  </si>
  <si>
    <t>ORD00521</t>
  </si>
  <si>
    <t>C1071</t>
  </si>
  <si>
    <t>ORD00522</t>
  </si>
  <si>
    <t>ORD00523</t>
  </si>
  <si>
    <t>ORD00524</t>
  </si>
  <si>
    <t>C1397</t>
  </si>
  <si>
    <t>ORD00525</t>
  </si>
  <si>
    <t>C1566</t>
  </si>
  <si>
    <t>ORD00526</t>
  </si>
  <si>
    <t>ORD00527</t>
  </si>
  <si>
    <t>C1586</t>
  </si>
  <si>
    <t>ORD00528</t>
  </si>
  <si>
    <t>C1553</t>
  </si>
  <si>
    <t>ORD00529</t>
  </si>
  <si>
    <t>C1118</t>
  </si>
  <si>
    <t>ORD00530</t>
  </si>
  <si>
    <t>C1162</t>
  </si>
  <si>
    <t>ORD00531</t>
  </si>
  <si>
    <t>ORD00532</t>
  </si>
  <si>
    <t>ORD00533</t>
  </si>
  <si>
    <t>C1715</t>
  </si>
  <si>
    <t>ORD00534</t>
  </si>
  <si>
    <t>C1044</t>
  </si>
  <si>
    <t>ORD00535</t>
  </si>
  <si>
    <t>C1653</t>
  </si>
  <si>
    <t>ORD00536</t>
  </si>
  <si>
    <t>ORD00537</t>
  </si>
  <si>
    <t>ORD00538</t>
  </si>
  <si>
    <t>C1092</t>
  </si>
  <si>
    <t>ORD00539</t>
  </si>
  <si>
    <t>C1630</t>
  </si>
  <si>
    <t>ORD00540</t>
  </si>
  <si>
    <t>ORD00541</t>
  </si>
  <si>
    <t>C1644</t>
  </si>
  <si>
    <t>ORD00542</t>
  </si>
  <si>
    <t>C1665</t>
  </si>
  <si>
    <t>ORD00543</t>
  </si>
  <si>
    <t>C1505</t>
  </si>
  <si>
    <t>ORD00544</t>
  </si>
  <si>
    <t>ORD00545</t>
  </si>
  <si>
    <t>ORD00546</t>
  </si>
  <si>
    <t>C1062</t>
  </si>
  <si>
    <t>ORD00547</t>
  </si>
  <si>
    <t>ORD00548</t>
  </si>
  <si>
    <t>ORD00549</t>
  </si>
  <si>
    <t>ORD00550</t>
  </si>
  <si>
    <t>C1599</t>
  </si>
  <si>
    <t>ORD00551</t>
  </si>
  <si>
    <t>ORD00552</t>
  </si>
  <si>
    <t>ORD00553</t>
  </si>
  <si>
    <t>ORD00554</t>
  </si>
  <si>
    <t>C1352</t>
  </si>
  <si>
    <t>ORD00555</t>
  </si>
  <si>
    <t>ORD00556</t>
  </si>
  <si>
    <t>C1685</t>
  </si>
  <si>
    <t>ORD00557</t>
  </si>
  <si>
    <t>ORD00558</t>
  </si>
  <si>
    <t>ORD00559</t>
  </si>
  <si>
    <t>ORD00560</t>
  </si>
  <si>
    <t>C1442</t>
  </si>
  <si>
    <t>ORD00561</t>
  </si>
  <si>
    <t>C1702</t>
  </si>
  <si>
    <t>ORD00562</t>
  </si>
  <si>
    <t>C1618</t>
  </si>
  <si>
    <t>ORD00563</t>
  </si>
  <si>
    <t>C1209</t>
  </si>
  <si>
    <t>ORD00564</t>
  </si>
  <si>
    <t>ORD00565</t>
  </si>
  <si>
    <t>ORD00566</t>
  </si>
  <si>
    <t>C1535</t>
  </si>
  <si>
    <t>ORD00567</t>
  </si>
  <si>
    <t>ORD00568</t>
  </si>
  <si>
    <t>ORD00569</t>
  </si>
  <si>
    <t>ORD00570</t>
  </si>
  <si>
    <t>C1538</t>
  </si>
  <si>
    <t>ORD00571</t>
  </si>
  <si>
    <t>C1511</t>
  </si>
  <si>
    <t>ORD00572</t>
  </si>
  <si>
    <t>C1057</t>
  </si>
  <si>
    <t>ORD00573</t>
  </si>
  <si>
    <t>ORD00574</t>
  </si>
  <si>
    <t>C1268</t>
  </si>
  <si>
    <t>ORD00575</t>
  </si>
  <si>
    <t>C1186</t>
  </si>
  <si>
    <t>ORD00576</t>
  </si>
  <si>
    <t>C1093</t>
  </si>
  <si>
    <t>ORD00577</t>
  </si>
  <si>
    <t>ORD00578</t>
  </si>
  <si>
    <t>ORD00579</t>
  </si>
  <si>
    <t>C1560</t>
  </si>
  <si>
    <t>ORD00580</t>
  </si>
  <si>
    <t>ORD00581</t>
  </si>
  <si>
    <t>C1117</t>
  </si>
  <si>
    <t>ORD00582</t>
  </si>
  <si>
    <t>ORD00583</t>
  </si>
  <si>
    <t>ORD00584</t>
  </si>
  <si>
    <t>ORD00585</t>
  </si>
  <si>
    <t>ORD00586</t>
  </si>
  <si>
    <t>C1358</t>
  </si>
  <si>
    <t>ORD00587</t>
  </si>
  <si>
    <t>C1461</t>
  </si>
  <si>
    <t>ORD00588</t>
  </si>
  <si>
    <t>ORD00589</t>
  </si>
  <si>
    <t>C1421</t>
  </si>
  <si>
    <t>ORD00590</t>
  </si>
  <si>
    <t>ORD00591</t>
  </si>
  <si>
    <t>C1487</t>
  </si>
  <si>
    <t>ORD00592</t>
  </si>
  <si>
    <t>C1603</t>
  </si>
  <si>
    <t>ORD00593</t>
  </si>
  <si>
    <t>C1706</t>
  </si>
  <si>
    <t>ORD00594</t>
  </si>
  <si>
    <t>C1561</t>
  </si>
  <si>
    <t>ORD00595</t>
  </si>
  <si>
    <t>C1300</t>
  </si>
  <si>
    <t>ORD00596</t>
  </si>
  <si>
    <t>ORD00597</t>
  </si>
  <si>
    <t>ORD00598</t>
  </si>
  <si>
    <t>C1132</t>
  </si>
  <si>
    <t>ORD00599</t>
  </si>
  <si>
    <t>C1388</t>
  </si>
  <si>
    <t>ORD00600</t>
  </si>
  <si>
    <t>C1296</t>
  </si>
  <si>
    <t>ORD00601</t>
  </si>
  <si>
    <t>C1041</t>
  </si>
  <si>
    <t>ORD00602</t>
  </si>
  <si>
    <t>C1330</t>
  </si>
  <si>
    <t>ORD00603</t>
  </si>
  <si>
    <t>C1448</t>
  </si>
  <si>
    <t>ORD00604</t>
  </si>
  <si>
    <t>C1275</t>
  </si>
  <si>
    <t>ORD00605</t>
  </si>
  <si>
    <t>ORD00606</t>
  </si>
  <si>
    <t>ORD00607</t>
  </si>
  <si>
    <t>C1564</t>
  </si>
  <si>
    <t>ORD00608</t>
  </si>
  <si>
    <t>ORD00609</t>
  </si>
  <si>
    <t>ORD00610</t>
  </si>
  <si>
    <t>C1188</t>
  </si>
  <si>
    <t>ORD00611</t>
  </si>
  <si>
    <t>C1597</t>
  </si>
  <si>
    <t>ORD00612</t>
  </si>
  <si>
    <t>ORD00613</t>
  </si>
  <si>
    <t>C1671</t>
  </si>
  <si>
    <t>ORD00614</t>
  </si>
  <si>
    <t>ORD00615</t>
  </si>
  <si>
    <t>C1131</t>
  </si>
  <si>
    <t>ORD00616</t>
  </si>
  <si>
    <t>ORD00617</t>
  </si>
  <si>
    <t>C1733</t>
  </si>
  <si>
    <t>ORD00618</t>
  </si>
  <si>
    <t>ORD00619</t>
  </si>
  <si>
    <t>C1228</t>
  </si>
  <si>
    <t>ORD00620</t>
  </si>
  <si>
    <t>ORD00621</t>
  </si>
  <si>
    <t>C1796</t>
  </si>
  <si>
    <t>ORD00622</t>
  </si>
  <si>
    <t>C1591</t>
  </si>
  <si>
    <t>ORD00623</t>
  </si>
  <si>
    <t>C1413</t>
  </si>
  <si>
    <t>ORD00624</t>
  </si>
  <si>
    <t>ORD00625</t>
  </si>
  <si>
    <t>C1568</t>
  </si>
  <si>
    <t>ORD00626</t>
  </si>
  <si>
    <t>ORD00627</t>
  </si>
  <si>
    <t>ORD00628</t>
  </si>
  <si>
    <t>C1156</t>
  </si>
  <si>
    <t>ORD00629</t>
  </si>
  <si>
    <t>ORD00630</t>
  </si>
  <si>
    <t>C1140</t>
  </si>
  <si>
    <t>ORD00631</t>
  </si>
  <si>
    <t>ORD00632</t>
  </si>
  <si>
    <t>ORD00633</t>
  </si>
  <si>
    <t>C1668</t>
  </si>
  <si>
    <t>ORD00634</t>
  </si>
  <si>
    <t>C1438</t>
  </si>
  <si>
    <t>ORD00635</t>
  </si>
  <si>
    <t>C1513</t>
  </si>
  <si>
    <t>ORD00636</t>
  </si>
  <si>
    <t>ORD00637</t>
  </si>
  <si>
    <t>ORD00638</t>
  </si>
  <si>
    <t>ORD00639</t>
  </si>
  <si>
    <t>C1033</t>
  </si>
  <si>
    <t>ORD00640</t>
  </si>
  <si>
    <t>C1647</t>
  </si>
  <si>
    <t>ORD00641</t>
  </si>
  <si>
    <t>ORD00642</t>
  </si>
  <si>
    <t>C1533</t>
  </si>
  <si>
    <t>ORD00643</t>
  </si>
  <si>
    <t>ORD00644</t>
  </si>
  <si>
    <t>C1547</t>
  </si>
  <si>
    <t>ORD00645</t>
  </si>
  <si>
    <t>ORD00646</t>
  </si>
  <si>
    <t>C1235</t>
  </si>
  <si>
    <t>ORD00647</t>
  </si>
  <si>
    <t>ORD00648</t>
  </si>
  <si>
    <t>ORD00649</t>
  </si>
  <si>
    <t>C1470</t>
  </si>
  <si>
    <t>ORD00650</t>
  </si>
  <si>
    <t>ORD00651</t>
  </si>
  <si>
    <t>C1334</t>
  </si>
  <si>
    <t>ORD00652</t>
  </si>
  <si>
    <t>C1641</t>
  </si>
  <si>
    <t>ORD00653</t>
  </si>
  <si>
    <t>C1265</t>
  </si>
  <si>
    <t>ORD00654</t>
  </si>
  <si>
    <t>C1289</t>
  </si>
  <si>
    <t>ORD00655</t>
  </si>
  <si>
    <t>C1130</t>
  </si>
  <si>
    <t>ORD00656</t>
  </si>
  <si>
    <t>ORD00657</t>
  </si>
  <si>
    <t>ORD00658</t>
  </si>
  <si>
    <t>ORD00659</t>
  </si>
  <si>
    <t>ORD00660</t>
  </si>
  <si>
    <t>C1196</t>
  </si>
  <si>
    <t>ORD00661</t>
  </si>
  <si>
    <t>ORD00662</t>
  </si>
  <si>
    <t>ORD00663</t>
  </si>
  <si>
    <t>C1229</t>
  </si>
  <si>
    <t>ORD00664</t>
  </si>
  <si>
    <t>ORD00665</t>
  </si>
  <si>
    <t>ORD00666</t>
  </si>
  <si>
    <t>ORD00667</t>
  </si>
  <si>
    <t>C1230</t>
  </si>
  <si>
    <t>ORD00668</t>
  </si>
  <si>
    <t>ORD00669</t>
  </si>
  <si>
    <t>C1032</t>
  </si>
  <si>
    <t>ORD00670</t>
  </si>
  <si>
    <t>C1005</t>
  </si>
  <si>
    <t>ORD00671</t>
  </si>
  <si>
    <t>ORD00672</t>
  </si>
  <si>
    <t>ORD00673</t>
  </si>
  <si>
    <t>C1759</t>
  </si>
  <si>
    <t>ORD00674</t>
  </si>
  <si>
    <t>ORD00675</t>
  </si>
  <si>
    <t>C1247</t>
  </si>
  <si>
    <t>ORD00676</t>
  </si>
  <si>
    <t>C1752</t>
  </si>
  <si>
    <t>ORD00677</t>
  </si>
  <si>
    <t>C1426</t>
  </si>
  <si>
    <t>ORD00678</t>
  </si>
  <si>
    <t>C1605</t>
  </si>
  <si>
    <t>ORD00679</t>
  </si>
  <si>
    <t>C1159</t>
  </si>
  <si>
    <t>ORD00680</t>
  </si>
  <si>
    <t>C1697</t>
  </si>
  <si>
    <t>ORD00681</t>
  </si>
  <si>
    <t>ORD00682</t>
  </si>
  <si>
    <t>C1539</t>
  </si>
  <si>
    <t>ORD00683</t>
  </si>
  <si>
    <t>ORD00684</t>
  </si>
  <si>
    <t>ORD00685</t>
  </si>
  <si>
    <t>ORD00686</t>
  </si>
  <si>
    <t>ORD00687</t>
  </si>
  <si>
    <t>ORD00688</t>
  </si>
  <si>
    <t>ORD00689</t>
  </si>
  <si>
    <t>C1202</t>
  </si>
  <si>
    <t>ORD00690</t>
  </si>
  <si>
    <t>ORD00691</t>
  </si>
  <si>
    <t>ORD00692</t>
  </si>
  <si>
    <t>C1569</t>
  </si>
  <si>
    <t>ORD00693</t>
  </si>
  <si>
    <t>ORD00694</t>
  </si>
  <si>
    <t>ORD00695</t>
  </si>
  <si>
    <t>ORD00696</t>
  </si>
  <si>
    <t>ORD00697</t>
  </si>
  <si>
    <t>C1455</t>
  </si>
  <si>
    <t>ORD00698</t>
  </si>
  <si>
    <t>C1360</t>
  </si>
  <si>
    <t>ORD00699</t>
  </si>
  <si>
    <t>ORD00700</t>
  </si>
  <si>
    <t>ORD00701</t>
  </si>
  <si>
    <t>ORD00702</t>
  </si>
  <si>
    <t>ORD00703</t>
  </si>
  <si>
    <t>ORD00704</t>
  </si>
  <si>
    <t>C1167</t>
  </si>
  <si>
    <t>ORD00705</t>
  </si>
  <si>
    <t>ORD00706</t>
  </si>
  <si>
    <t>ORD00707</t>
  </si>
  <si>
    <t>C1339</t>
  </si>
  <si>
    <t>ORD00708</t>
  </si>
  <si>
    <t>C1274</t>
  </si>
  <si>
    <t>ORD00709</t>
  </si>
  <si>
    <t>C1544</t>
  </si>
  <si>
    <t>ORD00710</t>
  </si>
  <si>
    <t>C1762</t>
  </si>
  <si>
    <t>ORD00711</t>
  </si>
  <si>
    <t>ORD00712</t>
  </si>
  <si>
    <t>C1233</t>
  </si>
  <si>
    <t>ORD00713</t>
  </si>
  <si>
    <t>C1454</t>
  </si>
  <si>
    <t>ORD00714</t>
  </si>
  <si>
    <t>C1299</t>
  </si>
  <si>
    <t>ORD00715</t>
  </si>
  <si>
    <t>ORD00716</t>
  </si>
  <si>
    <t>ORD00717</t>
  </si>
  <si>
    <t>ORD00718</t>
  </si>
  <si>
    <t>C1359</t>
  </si>
  <si>
    <t>ORD00719</t>
  </si>
  <si>
    <t>C1734</t>
  </si>
  <si>
    <t>ORD00720</t>
  </si>
  <si>
    <t>ORD00721</t>
  </si>
  <si>
    <t>ORD00722</t>
  </si>
  <si>
    <t>ORD00723</t>
  </si>
  <si>
    <t>ORD00724</t>
  </si>
  <si>
    <t>C1248</t>
  </si>
  <si>
    <t>ORD00725</t>
  </si>
  <si>
    <t>C1355</t>
  </si>
  <si>
    <t>ORD00726</t>
  </si>
  <si>
    <t>ORD00727</t>
  </si>
  <si>
    <t>ORD00728</t>
  </si>
  <si>
    <t>C1146</t>
  </si>
  <si>
    <t>ORD00729</t>
  </si>
  <si>
    <t>ORD00730</t>
  </si>
  <si>
    <t>ORD00731</t>
  </si>
  <si>
    <t>ORD00732</t>
  </si>
  <si>
    <t>C1252</t>
  </si>
  <si>
    <t>ORD00733</t>
  </si>
  <si>
    <t>ORD00734</t>
  </si>
  <si>
    <t>ORD00735</t>
  </si>
  <si>
    <t>ORD00736</t>
  </si>
  <si>
    <t>ORD00737</t>
  </si>
  <si>
    <t>C1023</t>
  </si>
  <si>
    <t>ORD00738</t>
  </si>
  <si>
    <t>ORD00739</t>
  </si>
  <si>
    <t>ORD00740</t>
  </si>
  <si>
    <t>ORD00741</t>
  </si>
  <si>
    <t>ORD00742</t>
  </si>
  <si>
    <t>ORD00743</t>
  </si>
  <si>
    <t>C1703</t>
  </si>
  <si>
    <t>ORD00744</t>
  </si>
  <si>
    <t>C1039</t>
  </si>
  <si>
    <t>ORD00745</t>
  </si>
  <si>
    <t>C1329</t>
  </si>
  <si>
    <t>ORD00746</t>
  </si>
  <si>
    <t>C1722</t>
  </si>
  <si>
    <t>ORD00747</t>
  </si>
  <si>
    <t>ORD00748</t>
  </si>
  <si>
    <t>ORD00749</t>
  </si>
  <si>
    <t>ORD00750</t>
  </si>
  <si>
    <t>C1578</t>
  </si>
  <si>
    <t>ORD00751</t>
  </si>
  <si>
    <t>ORD00752</t>
  </si>
  <si>
    <t>ORD00753</t>
  </si>
  <si>
    <t>C1500</t>
  </si>
  <si>
    <t>ORD00754</t>
  </si>
  <si>
    <t>ORD00755</t>
  </si>
  <si>
    <t>ORD00756</t>
  </si>
  <si>
    <t>C1484</t>
  </si>
  <si>
    <t>ORD00757</t>
  </si>
  <si>
    <t>C1240</t>
  </si>
  <si>
    <t>ORD00758</t>
  </si>
  <si>
    <t>C1435</t>
  </si>
  <si>
    <t>ORD00759</t>
  </si>
  <si>
    <t>ORD00760</t>
  </si>
  <si>
    <t>ORD00761</t>
  </si>
  <si>
    <t>ORD00762</t>
  </si>
  <si>
    <t>ORD00763</t>
  </si>
  <si>
    <t>C1076</t>
  </si>
  <si>
    <t>ORD00764</t>
  </si>
  <si>
    <t>C1514</t>
  </si>
  <si>
    <t>ORD00765</t>
  </si>
  <si>
    <t>ORD00766</t>
  </si>
  <si>
    <t>C1473</t>
  </si>
  <si>
    <t>ORD00767</t>
  </si>
  <si>
    <t>ORD00768</t>
  </si>
  <si>
    <t>ORD00769</t>
  </si>
  <si>
    <t>ORD00770</t>
  </si>
  <si>
    <t>ORD00771</t>
  </si>
  <si>
    <t>C1764</t>
  </si>
  <si>
    <t>ORD00772</t>
  </si>
  <si>
    <t>ORD00773</t>
  </si>
  <si>
    <t>ORD00774</t>
  </si>
  <si>
    <t>ORD00775</t>
  </si>
  <si>
    <t>C1297</t>
  </si>
  <si>
    <t>ORD00776</t>
  </si>
  <si>
    <t>ORD00777</t>
  </si>
  <si>
    <t>ORD00778</t>
  </si>
  <si>
    <t>C1411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</si>
  <si>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</si>
  <si>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</si>
  <si>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</si>
  <si>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</si>
  <si>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</si>
  <si>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</si>
  <si>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</si>
  <si>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</si>
  <si>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</si>
  <si>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C1666</t>
  </si>
  <si>
    <t>ORD00788</t>
  </si>
  <si>
    <t>C1008</t>
  </si>
  <si>
    <t>ORD00789</t>
  </si>
  <si>
    <t>C1217</t>
  </si>
  <si>
    <t>ORD00790</t>
  </si>
  <si>
    <t>ORD00791</t>
  </si>
  <si>
    <t>ORD00792</t>
  </si>
  <si>
    <t>C1018</t>
  </si>
  <si>
    <t>ORD00793</t>
  </si>
  <si>
    <t>C1782</t>
  </si>
  <si>
    <t>ORD00794</t>
  </si>
  <si>
    <t>ORD00795</t>
  </si>
  <si>
    <t>ORD00796</t>
  </si>
  <si>
    <t>ORD00797</t>
  </si>
  <si>
    <t>ORD00798</t>
  </si>
  <si>
    <t>ORD00799</t>
  </si>
  <si>
    <t>C1218</t>
  </si>
  <si>
    <t>ORD00800</t>
  </si>
  <si>
    <t>ORD00801</t>
  </si>
  <si>
    <t>ORD00802</t>
  </si>
  <si>
    <t>ORD00803</t>
  </si>
  <si>
    <t>ORD00804</t>
  </si>
  <si>
    <t>ORD00805</t>
  </si>
  <si>
    <t>C1141</t>
  </si>
  <si>
    <t>ORD00806</t>
  </si>
  <si>
    <t>ORD00807</t>
  </si>
  <si>
    <t>ORD00808</t>
  </si>
  <si>
    <t>C1116</t>
  </si>
  <si>
    <t>ORD00809</t>
  </si>
  <si>
    <t>ORD00810</t>
  </si>
  <si>
    <t>C1496</t>
  </si>
  <si>
    <t>ORD00811</t>
  </si>
  <si>
    <t>C1659</t>
  </si>
  <si>
    <t>ORD00812</t>
  </si>
  <si>
    <t>C1483</t>
  </si>
  <si>
    <t>ORD00813</t>
  </si>
  <si>
    <t>C1391</t>
  </si>
  <si>
    <t>ORD00814</t>
  </si>
  <si>
    <t>C1372</t>
  </si>
  <si>
    <t>ORD00815</t>
  </si>
  <si>
    <t>C1437</t>
  </si>
  <si>
    <t>ORD00816</t>
  </si>
  <si>
    <t>C1773</t>
  </si>
  <si>
    <t>ORD00817</t>
  </si>
  <si>
    <t>ORD00818</t>
  </si>
  <si>
    <t>ORD00819</t>
  </si>
  <si>
    <t>C1253</t>
  </si>
  <si>
    <t>ORD00820</t>
  </si>
  <si>
    <t>ORD00821</t>
  </si>
  <si>
    <t>ORD00822</t>
  </si>
  <si>
    <t>ORD00823</t>
  </si>
  <si>
    <t>C1364</t>
  </si>
  <si>
    <t>ORD00824</t>
  </si>
  <si>
    <t>C1067</t>
  </si>
  <si>
    <t>ORD00825</t>
  </si>
  <si>
    <t>C1790</t>
  </si>
  <si>
    <t>ORD00826</t>
  </si>
  <si>
    <t>C1288</t>
  </si>
  <si>
    <t>ORD00827</t>
  </si>
  <si>
    <t>ORD00828</t>
  </si>
  <si>
    <t>ORD00829</t>
  </si>
  <si>
    <t>ORD00830</t>
  </si>
  <si>
    <t>ORD00831</t>
  </si>
  <si>
    <t>ORD00832</t>
  </si>
  <si>
    <t>ORD00833</t>
  </si>
  <si>
    <t>C1791</t>
  </si>
  <si>
    <t>ORD00834</t>
  </si>
  <si>
    <t>C1308</t>
  </si>
  <si>
    <t>ORD00835</t>
  </si>
  <si>
    <t>ORD00836</t>
  </si>
  <si>
    <t>C1504</t>
  </si>
  <si>
    <t>ORD00837</t>
  </si>
  <si>
    <t>ORD00838</t>
  </si>
  <si>
    <t>C1054</t>
  </si>
  <si>
    <t>ORD00839</t>
  </si>
  <si>
    <t>ORD00840</t>
  </si>
  <si>
    <t>C1064</t>
  </si>
  <si>
    <t>ORD00841</t>
  </si>
  <si>
    <t>C1736</t>
  </si>
  <si>
    <t>ORD00842</t>
  </si>
  <si>
    <t>ORD00843</t>
  </si>
  <si>
    <t>ORD00844</t>
  </si>
  <si>
    <t>ORD00845</t>
  </si>
  <si>
    <t>C1549</t>
  </si>
  <si>
    <t>ORD00846</t>
  </si>
  <si>
    <t>ORD00847</t>
  </si>
  <si>
    <t>ORD00848</t>
  </si>
  <si>
    <t>ORD00849</t>
  </si>
  <si>
    <t>ORD00850</t>
  </si>
  <si>
    <t>C1767</t>
  </si>
  <si>
    <t>ORD00851</t>
  </si>
  <si>
    <t>ORD00852</t>
  </si>
  <si>
    <t>ORD00853</t>
  </si>
  <si>
    <t>ORD00854</t>
  </si>
  <si>
    <t>ORD00855</t>
  </si>
  <si>
    <t>C1735</t>
  </si>
  <si>
    <t>ORD00856</t>
  </si>
  <si>
    <t>ORD00857</t>
  </si>
  <si>
    <t>ORD00858</t>
  </si>
  <si>
    <t>C1098</t>
  </si>
  <si>
    <t>ORD00859</t>
  </si>
  <si>
    <t>ORD00860</t>
  </si>
  <si>
    <t>ORD00861</t>
  </si>
  <si>
    <t>C1658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</si>
  <si>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</si>
  <si>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</si>
  <si>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</si>
  <si>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</si>
  <si>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</si>
  <si>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</si>
  <si>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</si>
  <si>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</si>
  <si>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</si>
  <si>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</si>
  <si>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</si>
  <si>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C1601</t>
  </si>
  <si>
    <t>ORD00873</t>
  </si>
  <si>
    <t>ORD00874</t>
  </si>
  <si>
    <t>ORD00875</t>
  </si>
  <si>
    <t>ORD00876</t>
  </si>
  <si>
    <t>C1748</t>
  </si>
  <si>
    <t>ORD00877</t>
  </si>
  <si>
    <t>ORD00878</t>
  </si>
  <si>
    <t>ORD00879</t>
  </si>
  <si>
    <t>ORD00880</t>
  </si>
  <si>
    <t>ORD00881</t>
  </si>
  <si>
    <t>ORD00882</t>
  </si>
  <si>
    <t>C1498</t>
  </si>
  <si>
    <t>ORD00883</t>
  </si>
  <si>
    <t>ORD00884</t>
  </si>
  <si>
    <t>ORD00885</t>
  </si>
  <si>
    <t>C1430</t>
  </si>
  <si>
    <t>ORD00886</t>
  </si>
  <si>
    <t>ORD00887</t>
  </si>
  <si>
    <t>ORD00888</t>
  </si>
  <si>
    <t>ORD00889</t>
  </si>
  <si>
    <t>ORD00890</t>
  </si>
  <si>
    <t>C1634</t>
  </si>
  <si>
    <t>ORD00891</t>
  </si>
  <si>
    <t>C1333</t>
  </si>
  <si>
    <t>ORD00892</t>
  </si>
  <si>
    <t>ORD00893</t>
  </si>
  <si>
    <t>ORD00894</t>
  </si>
  <si>
    <t>ORD00895</t>
  </si>
  <si>
    <t>ORD00896</t>
  </si>
  <si>
    <t>C1466</t>
  </si>
  <si>
    <t>ORD00897</t>
  </si>
  <si>
    <t>ORD00898</t>
  </si>
  <si>
    <t>C1047</t>
  </si>
  <si>
    <t>ORD00899</t>
  </si>
  <si>
    <t>C1002</t>
  </si>
  <si>
    <t>ORD00900</t>
  </si>
  <si>
    <t>C1478</t>
  </si>
  <si>
    <t>ORD00901</t>
  </si>
  <si>
    <t>C1768</t>
  </si>
  <si>
    <t>ORD00902</t>
  </si>
  <si>
    <t>ORD00903</t>
  </si>
  <si>
    <t>ORD00904</t>
  </si>
  <si>
    <t>C1615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</si>
  <si>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</si>
  <si>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</si>
  <si>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</si>
  <si>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</si>
  <si>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</si>
  <si>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</si>
  <si>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</si>
  <si>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</si>
  <si>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</si>
  <si>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</si>
  <si>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C1576</t>
  </si>
  <si>
    <t>ORD00915</t>
  </si>
  <si>
    <t>ORD00916</t>
  </si>
  <si>
    <t>C1687</t>
  </si>
  <si>
    <t>ORD00917</t>
  </si>
  <si>
    <t>ORD00918</t>
  </si>
  <si>
    <t>ORD00919</t>
  </si>
  <si>
    <t>C1667</t>
  </si>
  <si>
    <t>ORD00920</t>
  </si>
  <si>
    <t>C1390</t>
  </si>
  <si>
    <t>ORD00921</t>
  </si>
  <si>
    <t>C1094</t>
  </si>
  <si>
    <t>ORD00922</t>
  </si>
  <si>
    <t>C1439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</si>
  <si>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</si>
  <si>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</si>
  <si>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</si>
  <si>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</si>
  <si>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</si>
  <si>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</si>
  <si>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</si>
  <si>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</si>
  <si>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C1781</t>
  </si>
  <si>
    <t>ORD00931</t>
  </si>
  <si>
    <t>ORD00932</t>
  </si>
  <si>
    <t>C1527</t>
  </si>
  <si>
    <t>ORD00933</t>
  </si>
  <si>
    <t>ORD00934</t>
  </si>
  <si>
    <t>C1522</t>
  </si>
  <si>
    <t>ORD00935</t>
  </si>
  <si>
    <t>ORD00936</t>
  </si>
  <si>
    <t>ORD00937</t>
  </si>
  <si>
    <t>ORD00938</t>
  </si>
  <si>
    <t>C1624</t>
  </si>
  <si>
    <t>ORD00939</t>
  </si>
  <si>
    <t>C1648</t>
  </si>
  <si>
    <t>ORD00940</t>
  </si>
  <si>
    <t>C1792</t>
  </si>
  <si>
    <t>ORD00941</t>
  </si>
  <si>
    <t>C1384</t>
  </si>
  <si>
    <t>ORD00942</t>
  </si>
  <si>
    <t>ORD00943</t>
  </si>
  <si>
    <t>ORD00944</t>
  </si>
  <si>
    <t>ORD00945</t>
  </si>
  <si>
    <t>C1214</t>
  </si>
  <si>
    <t>ORD00946</t>
  </si>
  <si>
    <t>ORD00947</t>
  </si>
  <si>
    <t>C1053</t>
  </si>
  <si>
    <t>ORD00948</t>
  </si>
  <si>
    <t>ORD00949</t>
  </si>
  <si>
    <t>ORD00950</t>
  </si>
  <si>
    <t>ORD00951</t>
  </si>
  <si>
    <t>ORD00952</t>
  </si>
  <si>
    <t>ORD00953</t>
  </si>
  <si>
    <t>C1097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</si>
  <si>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</si>
  <si>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</si>
  <si>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</si>
  <si>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</si>
  <si>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</si>
  <si>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</si>
  <si>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</si>
  <si>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</si>
  <si>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</si>
  <si>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</si>
  <si>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C1774</t>
  </si>
  <si>
    <t>ORD00964</t>
  </si>
  <si>
    <t>ORD00965</t>
  </si>
  <si>
    <t>ORD00966</t>
  </si>
  <si>
    <t>ORD00967</t>
  </si>
  <si>
    <t>ORD00968</t>
  </si>
  <si>
    <t>ORD00969</t>
  </si>
  <si>
    <t>ORD00970</t>
  </si>
  <si>
    <t>C1143</t>
  </si>
  <si>
    <t>ORD00971</t>
  </si>
  <si>
    <t>C1040</t>
  </si>
  <si>
    <t>ORD00972</t>
  </si>
  <si>
    <t>C1126</t>
  </si>
  <si>
    <t>ORD00973</t>
  </si>
  <si>
    <t>ORD00974</t>
  </si>
  <si>
    <t>C1341</t>
  </si>
  <si>
    <t>ORD00975</t>
  </si>
  <si>
    <t>C1405</t>
  </si>
  <si>
    <t>ORD00976</t>
  </si>
  <si>
    <t>ORD00977</t>
  </si>
  <si>
    <t>ORD00978</t>
  </si>
  <si>
    <t>C1042</t>
  </si>
  <si>
    <t>ORD00979</t>
  </si>
  <si>
    <t>ORD00980</t>
  </si>
  <si>
    <t>ORD00981</t>
  </si>
  <si>
    <t>ORD00982</t>
  </si>
  <si>
    <t>ORD00983</t>
  </si>
  <si>
    <t>C1255</t>
  </si>
  <si>
    <t>ORD00984</t>
  </si>
  <si>
    <t>ORD00985</t>
  </si>
  <si>
    <t>ORD00986</t>
  </si>
  <si>
    <t>C1682</t>
  </si>
  <si>
    <t>ORD00987</t>
  </si>
  <si>
    <t>ORD00988</t>
  </si>
  <si>
    <t>C1794</t>
  </si>
  <si>
    <t>ORD00989</t>
  </si>
  <si>
    <t>ORD00990</t>
  </si>
  <si>
    <t>ORD00991</t>
  </si>
  <si>
    <t>ORD00992</t>
  </si>
  <si>
    <t>C1431</t>
  </si>
  <si>
    <t>ORD00993</t>
  </si>
  <si>
    <t>ORD00994</t>
  </si>
  <si>
    <t>C1400</t>
  </si>
  <si>
    <t>ORD00995</t>
  </si>
  <si>
    <t>C1583</t>
  </si>
  <si>
    <t>ORD00996</t>
  </si>
  <si>
    <t>C1788</t>
  </si>
  <si>
    <t>ORD00997</t>
  </si>
  <si>
    <t>ORD00998</t>
  </si>
  <si>
    <t>ORD00999</t>
  </si>
  <si>
    <t>C1744</t>
  </si>
  <si>
    <t>ORD01000</t>
  </si>
  <si>
    <t>ORD01001</t>
  </si>
  <si>
    <t>ORD01002</t>
  </si>
  <si>
    <t>ORD01003</t>
  </si>
  <si>
    <t>C1719</t>
  </si>
  <si>
    <t>ORD01004</t>
  </si>
  <si>
    <t>ORD01005</t>
  </si>
  <si>
    <t>ORD01006</t>
  </si>
  <si>
    <t>ORD01007</t>
  </si>
  <si>
    <t>C1756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</si>
  <si>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</si>
  <si>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</si>
  <si>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</si>
  <si>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</si>
  <si>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</si>
  <si>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</si>
  <si>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</si>
  <si>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</si>
  <si>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</si>
  <si>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C1573</t>
  </si>
  <si>
    <t>ORD01017</t>
  </si>
  <si>
    <t>ORD01018</t>
  </si>
  <si>
    <t>ORD01019</t>
  </si>
  <si>
    <t>C1626</t>
  </si>
  <si>
    <t>ORD01020</t>
  </si>
  <si>
    <t>C1104</t>
  </si>
  <si>
    <t>ORD01021</t>
  </si>
  <si>
    <t>ORD01022</t>
  </si>
  <si>
    <t>ORD01023</t>
  </si>
  <si>
    <t>ORD01024</t>
  </si>
  <si>
    <t>C1350</t>
  </si>
  <si>
    <t>ORD01025</t>
  </si>
  <si>
    <t>C1249</t>
  </si>
  <si>
    <t>ORD01026</t>
  </si>
  <si>
    <t>C1178</t>
  </si>
  <si>
    <t>ORD01027</t>
  </si>
  <si>
    <t>ORD01028</t>
  </si>
  <si>
    <t>ORD01029</t>
  </si>
  <si>
    <t>ORD01030</t>
  </si>
  <si>
    <t>ORD01031</t>
  </si>
  <si>
    <t>ORD01032</t>
  </si>
  <si>
    <t>C1197</t>
  </si>
  <si>
    <t>ORD01033</t>
  </si>
  <si>
    <t>ORD01034</t>
  </si>
  <si>
    <t>C1270</t>
  </si>
  <si>
    <t>ORD01035</t>
  </si>
  <si>
    <t>ORD01036</t>
  </si>
  <si>
    <t>C1326</t>
  </si>
  <si>
    <t>ORD01037</t>
  </si>
  <si>
    <t>ORD01038</t>
  </si>
  <si>
    <t>C1345</t>
  </si>
  <si>
    <t>ORD01039</t>
  </si>
  <si>
    <t>C1741</t>
  </si>
  <si>
    <t>ORD01040</t>
  </si>
  <si>
    <t>ORD01041</t>
  </si>
  <si>
    <t>C1727</t>
  </si>
  <si>
    <t>ORD01042</t>
  </si>
  <si>
    <t>ORD01043</t>
  </si>
  <si>
    <t>ORD01044</t>
  </si>
  <si>
    <t>ORD01045</t>
  </si>
  <si>
    <t>ORD01046</t>
  </si>
  <si>
    <t>C1103</t>
  </si>
  <si>
    <t>ORD01047</t>
  </si>
  <si>
    <t>ORD01048</t>
  </si>
  <si>
    <t>C1606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</si>
  <si>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</si>
  <si>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</si>
  <si>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</si>
  <si>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</si>
  <si>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</si>
  <si>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</si>
  <si>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</si>
  <si>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</si>
  <si>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C1499</t>
  </si>
  <si>
    <t>ORD01057</t>
  </si>
  <si>
    <t>ORD01058</t>
  </si>
  <si>
    <t>ORD01059</t>
  </si>
  <si>
    <t>ORD01060</t>
  </si>
  <si>
    <t>ORD01061</t>
  </si>
  <si>
    <t>C1195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</si>
  <si>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</si>
  <si>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</si>
  <si>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</si>
  <si>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</si>
  <si>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</si>
  <si>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</si>
  <si>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</si>
  <si>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</si>
  <si>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</si>
  <si>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</si>
  <si>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</si>
  <si>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</si>
  <si>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</si>
  <si>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C1074</t>
  </si>
  <si>
    <t>ORD01075</t>
  </si>
  <si>
    <t>ORD01076</t>
  </si>
  <si>
    <t>C1433</t>
  </si>
  <si>
    <t>ORD01077</t>
  </si>
  <si>
    <t>C1771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</si>
  <si>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</si>
  <si>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</si>
  <si>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</si>
  <si>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</si>
  <si>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</si>
  <si>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</si>
  <si>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</si>
  <si>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</si>
  <si>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C1639</t>
  </si>
  <si>
    <t>ORD01086</t>
  </si>
  <si>
    <t>ORD01087</t>
  </si>
  <si>
    <t>ORD01088</t>
  </si>
  <si>
    <t>ORD01089</t>
  </si>
  <si>
    <t>ORD01090</t>
  </si>
  <si>
    <t>ORD01091</t>
  </si>
  <si>
    <t>C1314</t>
  </si>
  <si>
    <t>ORD01092</t>
  </si>
  <si>
    <t>ORD01093</t>
  </si>
  <si>
    <t>ORD01094</t>
  </si>
  <si>
    <t>ORD01095</t>
  </si>
  <si>
    <t>ORD01096</t>
  </si>
  <si>
    <t>ORD01097</t>
  </si>
  <si>
    <t>ORD01098</t>
  </si>
  <si>
    <t>C1262</t>
  </si>
  <si>
    <t>ORD01099</t>
  </si>
  <si>
    <t>C1489</t>
  </si>
  <si>
    <t>ORD01100</t>
  </si>
  <si>
    <t>C1725</t>
  </si>
  <si>
    <t>ORD01101</t>
  </si>
  <si>
    <t>ORD01102</t>
  </si>
  <si>
    <t>ORD01103</t>
  </si>
  <si>
    <t>C1502</t>
  </si>
  <si>
    <t>ORD01104</t>
  </si>
  <si>
    <t>ORD01105</t>
  </si>
  <si>
    <t>ORD01106</t>
  </si>
  <si>
    <t>ORD01107</t>
  </si>
  <si>
    <t>C1356</t>
  </si>
  <si>
    <t>ORD01108</t>
  </si>
  <si>
    <t>ORD01109</t>
  </si>
  <si>
    <t>C1495</t>
  </si>
  <si>
    <t>ORD01110</t>
  </si>
  <si>
    <t>ORD01111</t>
  </si>
  <si>
    <t>C1238</t>
  </si>
  <si>
    <t>ORD01112</t>
  </si>
  <si>
    <t>C1292</t>
  </si>
  <si>
    <t>ORD01113</t>
  </si>
  <si>
    <t>ORD01114</t>
  </si>
  <si>
    <t>ORD01115</t>
  </si>
  <si>
    <t>ORD01116</t>
  </si>
  <si>
    <t>C1386</t>
  </si>
  <si>
    <t>ORD01117</t>
  </si>
  <si>
    <t>ORD01118</t>
  </si>
  <si>
    <t>ORD01119</t>
  </si>
  <si>
    <t>C1073</t>
  </si>
  <si>
    <t>ORD01120</t>
  </si>
  <si>
    <t>ORD01121</t>
  </si>
  <si>
    <t>ORD01122</t>
  </si>
  <si>
    <t>ORD01123</t>
  </si>
  <si>
    <t>ORD01124</t>
  </si>
  <si>
    <t>C1730</t>
  </si>
  <si>
    <t>ORD01125</t>
  </si>
  <si>
    <t>ORD01126</t>
  </si>
  <si>
    <t>C1034</t>
  </si>
  <si>
    <t>ORD01127</t>
  </si>
  <si>
    <t>ORD01128</t>
  </si>
  <si>
    <t>C1187</t>
  </si>
  <si>
    <t>ORD01129</t>
  </si>
  <si>
    <t>C1743</t>
  </si>
  <si>
    <t>ORD01130</t>
  </si>
  <si>
    <t>ORD01131</t>
  </si>
  <si>
    <t>ORD01132</t>
  </si>
  <si>
    <t>C1429</t>
  </si>
  <si>
    <t>ORD01133</t>
  </si>
  <si>
    <t>ORD01134</t>
  </si>
  <si>
    <t>ORD01135</t>
  </si>
  <si>
    <t>ORD01136</t>
  </si>
  <si>
    <t>C1401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</si>
  <si>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</si>
  <si>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</si>
  <si>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</si>
  <si>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</si>
  <si>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</si>
  <si>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</si>
  <si>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</si>
  <si>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</si>
  <si>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C1353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</si>
  <si>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</si>
  <si>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</si>
  <si>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</si>
  <si>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</si>
  <si>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</si>
  <si>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</si>
  <si>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</si>
  <si>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</si>
  <si>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C1001</t>
  </si>
  <si>
    <t>ORD01153</t>
  </si>
  <si>
    <t>C1305</t>
  </si>
  <si>
    <t>ORD01154</t>
  </si>
  <si>
    <t>ORD01155</t>
  </si>
  <si>
    <t>C1236</t>
  </si>
  <si>
    <t>ORD01156</t>
  </si>
  <si>
    <t>ORD01157</t>
  </si>
  <si>
    <t>ORD01158</t>
  </si>
  <si>
    <t>C1749</t>
  </si>
  <si>
    <t>ORD01159</t>
  </si>
  <si>
    <t>ORD01160</t>
  </si>
  <si>
    <t>ORD01161</t>
  </si>
  <si>
    <t>ORD01162</t>
  </si>
  <si>
    <t>ORD01163</t>
  </si>
  <si>
    <t>ORD01164</t>
  </si>
  <si>
    <t>ORD01165</t>
  </si>
  <si>
    <t>C1519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</si>
  <si>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</si>
  <si>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</si>
  <si>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</si>
  <si>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</si>
  <si>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</si>
  <si>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</si>
  <si>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</si>
  <si>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</si>
  <si>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C1320</t>
  </si>
  <si>
    <t>ORD01174</t>
  </si>
  <si>
    <t>ORD01175</t>
  </si>
  <si>
    <t>ORD01176</t>
  </si>
  <si>
    <t>ORD01177</t>
  </si>
  <si>
    <t>ORD01178</t>
  </si>
  <si>
    <t>C1160</t>
  </si>
  <si>
    <t>ORD01179</t>
  </si>
  <si>
    <t>ORD01180</t>
  </si>
  <si>
    <t>ORD01181</t>
  </si>
  <si>
    <t>C1122</t>
  </si>
  <si>
    <t>ORD01182</t>
  </si>
  <si>
    <t>ORD01183</t>
  </si>
  <si>
    <t>ORD01184</t>
  </si>
  <si>
    <t>ORD01185</t>
  </si>
  <si>
    <t>C1212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</si>
  <si>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</si>
  <si>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</si>
  <si>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</si>
  <si>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</si>
  <si>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</si>
  <si>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</si>
  <si>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</si>
  <si>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</si>
  <si>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C1037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</si>
  <si>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</si>
  <si>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</si>
  <si>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</si>
  <si>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</si>
  <si>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</si>
  <si>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</si>
  <si>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</si>
  <si>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</si>
  <si>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</si>
  <si>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</si>
  <si>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C1704</t>
  </si>
  <si>
    <t>ORD01204</t>
  </si>
  <si>
    <t>ORD01205</t>
  </si>
  <si>
    <t>C1724</t>
  </si>
  <si>
    <t>ORD01206</t>
  </si>
  <si>
    <t>C1520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</si>
  <si>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</si>
  <si>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</si>
  <si>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</si>
  <si>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</si>
  <si>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</si>
  <si>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</si>
  <si>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</si>
  <si>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</si>
  <si>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</si>
  <si>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</si>
  <si>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</si>
  <si>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</si>
  <si>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</si>
  <si>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</si>
  <si>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</si>
  <si>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</si>
  <si>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</si>
  <si>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</si>
  <si>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</si>
  <si>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</si>
  <si>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</si>
  <si>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</si>
  <si>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</si>
  <si>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</si>
  <si>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</si>
  <si>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C1655</t>
  </si>
  <si>
    <t>ORD01232</t>
  </si>
  <si>
    <t>C1720</t>
  </si>
  <si>
    <t>ORD01233</t>
  </si>
  <si>
    <t>ORD01234</t>
  </si>
  <si>
    <t>ORD01235</t>
  </si>
  <si>
    <t>ORD01236</t>
  </si>
  <si>
    <t>ORD01237</t>
  </si>
  <si>
    <t>C1251</t>
  </si>
  <si>
    <t>ORD01238</t>
  </si>
  <si>
    <t>ORD01239</t>
  </si>
  <si>
    <t>C1171</t>
  </si>
  <si>
    <t>ORD01240</t>
  </si>
  <si>
    <t>ORD01241</t>
  </si>
  <si>
    <t>ORD01242</t>
  </si>
  <si>
    <t>ORD01243</t>
  </si>
  <si>
    <t>C1294</t>
  </si>
  <si>
    <t>ORD01244</t>
  </si>
  <si>
    <t>ORD01245</t>
  </si>
  <si>
    <t>ORD01246</t>
  </si>
  <si>
    <t>ORD01247</t>
  </si>
  <si>
    <t>ORD01248</t>
  </si>
  <si>
    <t>ORD01249</t>
  </si>
  <si>
    <t>ORD01250</t>
  </si>
  <si>
    <t>C1338</t>
  </si>
  <si>
    <t>ORD01251</t>
  </si>
  <si>
    <t>ORD01252</t>
  </si>
  <si>
    <t>ORD01253</t>
  </si>
  <si>
    <t>ORD01254</t>
  </si>
  <si>
    <t>C1009</t>
  </si>
  <si>
    <t>ORD01255</t>
  </si>
  <si>
    <t>ORD01256</t>
  </si>
  <si>
    <t>ORD01257</t>
  </si>
  <si>
    <t>ORD01258</t>
  </si>
  <si>
    <t>ORD01259</t>
  </si>
  <si>
    <t>ORD01260</t>
  </si>
  <si>
    <t>C1664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</si>
  <si>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</si>
  <si>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</si>
  <si>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</si>
  <si>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</si>
  <si>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</si>
  <si>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</si>
  <si>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</si>
  <si>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</si>
  <si>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</si>
  <si>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</si>
  <si>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C1708</t>
  </si>
  <si>
    <t>ORD01271</t>
  </si>
  <si>
    <t>ORD01272</t>
  </si>
  <si>
    <t>C1530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</si>
  <si>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</si>
  <si>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</si>
  <si>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</si>
  <si>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</si>
  <si>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</si>
  <si>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</si>
  <si>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</si>
  <si>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</si>
  <si>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</si>
  <si>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</si>
  <si>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</si>
  <si>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</si>
  <si>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</si>
  <si>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C1066</t>
  </si>
  <si>
    <t>ORD01286</t>
  </si>
  <si>
    <t>ORD01287</t>
  </si>
  <si>
    <t>C1206</t>
  </si>
  <si>
    <t>ORD01288</t>
  </si>
  <si>
    <t>C1124</t>
  </si>
  <si>
    <t>ORD01289</t>
  </si>
  <si>
    <t>C1506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</si>
  <si>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</si>
  <si>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</si>
  <si>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</si>
  <si>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</si>
  <si>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</si>
  <si>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</si>
  <si>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</si>
  <si>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</si>
  <si>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</si>
  <si>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C1004</t>
  </si>
  <si>
    <t>ORD01299</t>
  </si>
  <si>
    <t>ORD01300</t>
  </si>
  <si>
    <t>ORD01301</t>
  </si>
  <si>
    <t>ORD01302</t>
  </si>
  <si>
    <t>C1798</t>
  </si>
  <si>
    <t>ORD01303</t>
  </si>
  <si>
    <t>ORD01304</t>
  </si>
  <si>
    <t>ORD01305</t>
  </si>
  <si>
    <t>ORD01306</t>
  </si>
  <si>
    <t>ORD01307</t>
  </si>
  <si>
    <t>ORD01308</t>
  </si>
  <si>
    <t>ORD01309</t>
  </si>
  <si>
    <t>C1058</t>
  </si>
  <si>
    <t>ORD01310</t>
  </si>
  <si>
    <t>C1602</t>
  </si>
  <si>
    <t>ORD01311</t>
  </si>
  <si>
    <t>ORD01312</t>
  </si>
  <si>
    <t>ORD01313</t>
  </si>
  <si>
    <t>ORD01314</t>
  </si>
  <si>
    <t>ORD01315</t>
  </si>
  <si>
    <t>ORD01316</t>
  </si>
  <si>
    <t>C1379</t>
  </si>
  <si>
    <t>ORD01317</t>
  </si>
  <si>
    <t>ORD01318</t>
  </si>
  <si>
    <t>C1751</t>
  </si>
  <si>
    <t>ORD01319</t>
  </si>
  <si>
    <t>ORD01320</t>
  </si>
  <si>
    <t>ORD01321</t>
  </si>
  <si>
    <t>ORD01322</t>
  </si>
  <si>
    <t>C1800</t>
  </si>
  <si>
    <t>ORD01323</t>
  </si>
  <si>
    <t>C1711</t>
  </si>
  <si>
    <t>ORD01324</t>
  </si>
  <si>
    <t>ORD01325</t>
  </si>
  <si>
    <t>ORD01326</t>
  </si>
  <si>
    <t>ORD01327</t>
  </si>
  <si>
    <t>C1558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</si>
  <si>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</si>
  <si>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</si>
  <si>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</si>
  <si>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</si>
  <si>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</si>
  <si>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</si>
  <si>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</si>
  <si>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</si>
  <si>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</si>
  <si>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</si>
  <si>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</si>
  <si>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</si>
  <si>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</si>
  <si>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</si>
  <si>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</si>
  <si>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</si>
  <si>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</si>
  <si>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C1753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</si>
  <si>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</si>
  <si>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</si>
  <si>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</si>
  <si>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</si>
  <si>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</si>
  <si>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</si>
  <si>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</si>
  <si>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</si>
  <si>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C1645</t>
  </si>
  <si>
    <t>ORD01353</t>
  </si>
  <si>
    <t>C1415</t>
  </si>
  <si>
    <t>ORD01354</t>
  </si>
  <si>
    <t>C1105</t>
  </si>
  <si>
    <t>ORD01355</t>
  </si>
  <si>
    <t>ORD01356</t>
  </si>
  <si>
    <t>ORD01357</t>
  </si>
  <si>
    <t>C1672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</si>
  <si>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</si>
  <si>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</si>
  <si>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</si>
  <si>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</si>
  <si>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</si>
  <si>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</si>
  <si>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</si>
  <si>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</si>
  <si>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</si>
  <si>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</si>
  <si>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C1250</t>
  </si>
  <si>
    <t>ORD01368</t>
  </si>
  <si>
    <t>C1208</t>
  </si>
  <si>
    <t>ORD01369</t>
  </si>
  <si>
    <t>ORD01370</t>
  </si>
  <si>
    <t>ORD01371</t>
  </si>
  <si>
    <t>C1169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</si>
  <si>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</si>
  <si>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</si>
  <si>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</si>
  <si>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</si>
  <si>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</si>
  <si>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</si>
  <si>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</si>
  <si>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</si>
  <si>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C1532</t>
  </si>
  <si>
    <t>ORD01380</t>
  </si>
  <si>
    <t>ORD01381</t>
  </si>
  <si>
    <t>ORD01382</t>
  </si>
  <si>
    <t>ORD01383</t>
  </si>
  <si>
    <t>ORD01384</t>
  </si>
  <si>
    <t>ORD01385</t>
  </si>
  <si>
    <t>C1780</t>
  </si>
  <si>
    <t>ORD01386</t>
  </si>
  <si>
    <t>ORD01387</t>
  </si>
  <si>
    <t>ORD01388</t>
  </si>
  <si>
    <t>ORD01389</t>
  </si>
  <si>
    <t>C1559</t>
  </si>
  <si>
    <t>ORD01390</t>
  </si>
  <si>
    <t>C1200</t>
  </si>
  <si>
    <t>ORD01391</t>
  </si>
  <si>
    <t>ORD01392</t>
  </si>
  <si>
    <t>C1201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</si>
  <si>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</si>
  <si>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</si>
  <si>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</si>
  <si>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</si>
  <si>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</si>
  <si>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</si>
  <si>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</si>
  <si>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</si>
  <si>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</si>
  <si>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</si>
  <si>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C1604</t>
  </si>
  <si>
    <t>ORD01403</t>
  </si>
  <si>
    <t>C1084</t>
  </si>
  <si>
    <t>ORD01404</t>
  </si>
  <si>
    <t>ORD01405</t>
  </si>
  <si>
    <t>ORD01406</t>
  </si>
  <si>
    <t>ORD01407</t>
  </si>
  <si>
    <t>ORD01408</t>
  </si>
  <si>
    <t>ORD01409</t>
  </si>
  <si>
    <t>C1266</t>
  </si>
  <si>
    <t>ORD01410</t>
  </si>
  <si>
    <t>ORD01411</t>
  </si>
  <si>
    <t>ORD01412</t>
  </si>
  <si>
    <t>ORD01413</t>
  </si>
  <si>
    <t>ORD01414</t>
  </si>
  <si>
    <t>ORD01415</t>
  </si>
  <si>
    <t>ORD01416</t>
  </si>
  <si>
    <t>C1475</t>
  </si>
  <si>
    <t>ORD01417</t>
  </si>
  <si>
    <t>C1464</t>
  </si>
  <si>
    <t>ORD01418</t>
  </si>
  <si>
    <t>C1396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</si>
  <si>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</si>
  <si>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</si>
  <si>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</si>
  <si>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</si>
  <si>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</si>
  <si>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</si>
  <si>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</si>
  <si>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</si>
  <si>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</si>
  <si>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</si>
  <si>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</si>
  <si>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</si>
  <si>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</si>
  <si>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</si>
  <si>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C1278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</si>
  <si>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</si>
  <si>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</si>
  <si>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</si>
  <si>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</si>
  <si>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</si>
  <si>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</si>
  <si>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</si>
  <si>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</si>
  <si>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</si>
  <si>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</si>
  <si>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</si>
  <si>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</si>
  <si>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</si>
  <si>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</si>
  <si>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</si>
  <si>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</si>
  <si>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</si>
  <si>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C1750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</si>
  <si>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</si>
  <si>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</si>
  <si>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</si>
  <si>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</si>
  <si>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</si>
  <si>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</si>
  <si>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</si>
  <si>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</si>
  <si>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</si>
  <si>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</si>
  <si>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</si>
  <si>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</si>
  <si>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</si>
  <si>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</si>
  <si>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</si>
  <si>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</si>
  <si>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</si>
  <si>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</si>
  <si>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C1676</t>
  </si>
  <si>
    <t>ORD01468</t>
  </si>
  <si>
    <t>ORD01469</t>
  </si>
  <si>
    <t>ORD01470</t>
  </si>
  <si>
    <t>ORD01471</t>
  </si>
  <si>
    <t>C1493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</si>
  <si>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</si>
  <si>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</si>
  <si>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</si>
  <si>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</si>
  <si>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</si>
  <si>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</si>
  <si>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</si>
  <si>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</si>
  <si>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</si>
  <si>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C1432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</si>
  <si>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</si>
  <si>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</si>
  <si>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</si>
  <si>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</si>
  <si>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</si>
  <si>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</si>
  <si>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</si>
  <si>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</si>
  <si>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C1234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</si>
  <si>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</si>
  <si>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</si>
  <si>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</si>
  <si>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</si>
  <si>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</si>
  <si>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</si>
  <si>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</si>
  <si>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</si>
  <si>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</si>
  <si>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</si>
  <si>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</si>
  <si>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</si>
  <si>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</si>
  <si>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C1319</t>
  </si>
  <si>
    <t>ORD01502</t>
  </si>
  <si>
    <t>C1318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</si>
  <si>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</si>
  <si>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</si>
  <si>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</si>
  <si>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</si>
  <si>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</si>
  <si>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</si>
  <si>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</si>
  <si>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</si>
  <si>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</si>
  <si>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</si>
  <si>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</si>
  <si>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</si>
  <si>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</si>
  <si>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</si>
  <si>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</si>
  <si>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</si>
  <si>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C1342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</si>
  <si>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</si>
  <si>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</si>
  <si>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</si>
  <si>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</si>
  <si>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</si>
  <si>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</si>
  <si>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</si>
  <si>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</si>
  <si>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</si>
  <si>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</si>
  <si>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</si>
  <si>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</si>
  <si>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C1680</t>
  </si>
  <si>
    <t>ORD01531</t>
  </si>
  <si>
    <t>ORD01532</t>
  </si>
  <si>
    <t>ORD01533</t>
  </si>
  <si>
    <t>C1690</t>
  </si>
  <si>
    <t>ORD01534</t>
  </si>
  <si>
    <t>ORD01535</t>
  </si>
  <si>
    <t>ORD01536</t>
  </si>
  <si>
    <t>ORD01537</t>
  </si>
  <si>
    <t>ORD01538</t>
  </si>
  <si>
    <t>C1696</t>
  </si>
  <si>
    <t>ORD01539</t>
  </si>
  <si>
    <t>ORD01540</t>
  </si>
  <si>
    <t>ORD01541</t>
  </si>
  <si>
    <t>C1718</t>
  </si>
  <si>
    <t>ORD01542</t>
  </si>
  <si>
    <t>ORD01543</t>
  </si>
  <si>
    <t>ORD01544</t>
  </si>
  <si>
    <t>ORD01545</t>
  </si>
  <si>
    <t>C1524</t>
  </si>
  <si>
    <t>ORD01546</t>
  </si>
  <si>
    <t>ORD01547</t>
  </si>
  <si>
    <t>ORD01548</t>
  </si>
  <si>
    <t>ORD01549</t>
  </si>
  <si>
    <t>C1713</t>
  </si>
  <si>
    <t>ORD01550</t>
  </si>
  <si>
    <t>ORD01551</t>
  </si>
  <si>
    <t>ORD01552</t>
  </si>
  <si>
    <t>C1367</t>
  </si>
  <si>
    <t>ORD01553</t>
  </si>
  <si>
    <t>ORD01554</t>
  </si>
  <si>
    <t>ORD01555</t>
  </si>
  <si>
    <t>ORD01556</t>
  </si>
  <si>
    <t>C1261</t>
  </si>
  <si>
    <t>ORD01557</t>
  </si>
  <si>
    <t>C1468</t>
  </si>
  <si>
    <t>ORD01558</t>
  </si>
  <si>
    <t>ORD01559</t>
  </si>
  <si>
    <t>ORD01560</t>
  </si>
  <si>
    <t>ORD01561</t>
  </si>
  <si>
    <t>C1382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</si>
  <si>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</si>
  <si>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</si>
  <si>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</si>
  <si>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</si>
  <si>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</si>
  <si>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</si>
  <si>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</si>
  <si>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</si>
  <si>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</si>
  <si>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</si>
  <si>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</si>
  <si>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</si>
  <si>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</si>
  <si>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</si>
  <si>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</si>
  <si>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C1304</t>
  </si>
  <si>
    <t>ORD01577</t>
  </si>
  <si>
    <t>C1045</t>
  </si>
  <si>
    <t>ORD01578</t>
  </si>
  <si>
    <t>ORD01579</t>
  </si>
  <si>
    <t>ORD01580</t>
  </si>
  <si>
    <t>ORD01581</t>
  </si>
  <si>
    <t>ORD01582</t>
  </si>
  <si>
    <t>ORD01583</t>
  </si>
  <si>
    <t>ORD01584</t>
  </si>
  <si>
    <t>C1056</t>
  </si>
  <si>
    <t>ORD01585</t>
  </si>
  <si>
    <t>ORD01586</t>
  </si>
  <si>
    <t>C1528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</si>
  <si>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</si>
  <si>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</si>
  <si>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</si>
  <si>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</si>
  <si>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</si>
  <si>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</si>
  <si>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</si>
  <si>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</si>
  <si>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</si>
  <si>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</si>
  <si>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</si>
  <si>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</si>
  <si>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</si>
  <si>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C1563</t>
  </si>
  <si>
    <t>ORD01600</t>
  </si>
  <si>
    <t>C1412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</si>
  <si>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</si>
  <si>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</si>
  <si>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</si>
  <si>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</si>
  <si>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</si>
  <si>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</si>
  <si>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</si>
  <si>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</si>
  <si>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</si>
  <si>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</si>
  <si>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</si>
  <si>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</si>
  <si>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</si>
  <si>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</si>
  <si>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</si>
  <si>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C1758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</si>
  <si>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</si>
  <si>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</si>
  <si>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</si>
  <si>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</si>
  <si>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</si>
  <si>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</si>
  <si>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</si>
  <si>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</si>
  <si>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</si>
  <si>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</si>
  <si>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</si>
  <si>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</si>
  <si>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</si>
  <si>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</si>
  <si>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C1254</t>
  </si>
  <si>
    <t>ORD01630</t>
  </si>
  <si>
    <t>ORD01631</t>
  </si>
  <si>
    <t>ORD01632</t>
  </si>
  <si>
    <t>C1134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</si>
  <si>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</si>
  <si>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</si>
  <si>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</si>
  <si>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</si>
  <si>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</si>
  <si>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</si>
  <si>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</si>
  <si>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</si>
  <si>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</si>
  <si>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</si>
  <si>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</si>
  <si>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</si>
  <si>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</si>
  <si>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</si>
  <si>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</si>
  <si>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</si>
  <si>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C1677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</si>
  <si>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</si>
  <si>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</si>
  <si>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</si>
  <si>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</si>
  <si>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</si>
  <si>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</si>
  <si>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</si>
  <si>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</si>
  <si>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</si>
  <si>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</si>
  <si>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</si>
  <si>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</si>
  <si>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</si>
  <si>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</si>
  <si>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</si>
  <si>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</si>
  <si>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</si>
  <si>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</si>
  <si>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</si>
  <si>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</si>
  <si>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</si>
  <si>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</si>
  <si>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</si>
  <si>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</si>
  <si>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</si>
  <si>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C1531</t>
  </si>
  <si>
    <t>ORD01674</t>
  </si>
  <si>
    <t>ORD01675</t>
  </si>
  <si>
    <t>C1632</t>
  </si>
  <si>
    <t>ORD01676</t>
  </si>
  <si>
    <t>ORD01677</t>
  </si>
  <si>
    <t>ORD01678</t>
  </si>
  <si>
    <t>ORD01679</t>
  </si>
  <si>
    <t>C1021</t>
  </si>
  <si>
    <t>ORD01680</t>
  </si>
  <si>
    <t>ORD01681</t>
  </si>
  <si>
    <t>ORD01682</t>
  </si>
  <si>
    <t>ORD01683</t>
  </si>
  <si>
    <t>C1745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</si>
  <si>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</si>
  <si>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</si>
  <si>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</si>
  <si>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</si>
  <si>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</si>
  <si>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</si>
  <si>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</si>
  <si>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</si>
  <si>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</si>
  <si>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</si>
  <si>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</si>
  <si>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</si>
  <si>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</si>
  <si>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</si>
  <si>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</si>
  <si>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C1245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</si>
  <si>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</si>
  <si>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</si>
  <si>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</si>
  <si>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</si>
  <si>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</si>
  <si>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</si>
  <si>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</si>
  <si>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</si>
  <si>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</si>
  <si>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</si>
  <si>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</si>
  <si>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</si>
  <si>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</si>
  <si>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C1793</t>
  </si>
  <si>
    <t>ORD01712</t>
  </si>
  <si>
    <t>ORD01713</t>
  </si>
  <si>
    <t>ORD01714</t>
  </si>
  <si>
    <t>C1361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</si>
  <si>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</si>
  <si>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</si>
  <si>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</si>
  <si>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</si>
  <si>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</si>
  <si>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</si>
  <si>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</si>
  <si>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</si>
  <si>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</si>
  <si>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</si>
  <si>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</si>
  <si>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</si>
  <si>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</si>
  <si>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</si>
  <si>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</si>
  <si>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C1593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</si>
  <si>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</si>
  <si>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</si>
  <si>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</si>
  <si>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</si>
  <si>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</si>
  <si>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</si>
  <si>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</si>
  <si>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</si>
  <si>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</si>
  <si>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</si>
  <si>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</si>
  <si>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</si>
  <si>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</si>
  <si>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</si>
  <si>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</si>
  <si>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</si>
  <si>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</si>
  <si>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</si>
  <si>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C1112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</si>
  <si>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</si>
  <si>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</si>
  <si>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</si>
  <si>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</si>
  <si>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</si>
  <si>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</si>
  <si>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</si>
  <si>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</si>
  <si>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</si>
  <si>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</si>
  <si>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</si>
  <si>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</si>
  <si>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</si>
  <si>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</si>
  <si>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</si>
  <si>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</si>
  <si>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</si>
  <si>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</si>
  <si>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</si>
  <si>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</si>
  <si>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</si>
  <si>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</si>
  <si>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</si>
  <si>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</si>
  <si>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</si>
  <si>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</si>
  <si>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</si>
  <si>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</si>
  <si>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</si>
  <si>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</si>
  <si>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</si>
  <si>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</si>
  <si>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</si>
  <si>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C1012</t>
  </si>
  <si>
    <t>ORD01781</t>
  </si>
  <si>
    <t>ORD01782</t>
  </si>
  <si>
    <t>ORD01783</t>
  </si>
  <si>
    <t>C1616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</si>
  <si>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</si>
  <si>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</si>
  <si>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</si>
  <si>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</si>
  <si>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</si>
  <si>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</si>
  <si>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</si>
  <si>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</si>
  <si>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</si>
  <si>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C1766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</si>
  <si>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</si>
  <si>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</si>
  <si>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</si>
  <si>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</si>
  <si>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</si>
  <si>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</si>
  <si>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</si>
  <si>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</si>
  <si>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</si>
  <si>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</si>
  <si>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</si>
  <si>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</si>
  <si>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</si>
  <si>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</si>
  <si>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</si>
  <si>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</si>
  <si>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</si>
  <si>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</si>
  <si>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</si>
  <si>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</si>
  <si>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</si>
  <si>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</si>
  <si>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C1633</t>
  </si>
  <si>
    <t>ORD01815</t>
  </si>
  <si>
    <t>ORD01816</t>
  </si>
  <si>
    <t>ORD01817</t>
  </si>
  <si>
    <t>ORD01818</t>
  </si>
  <si>
    <t>ORD01819</t>
  </si>
  <si>
    <t>C1731</t>
  </si>
  <si>
    <t>ORD01820</t>
  </si>
  <si>
    <t>ORD01821</t>
  </si>
  <si>
    <t>C1497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</si>
  <si>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</si>
  <si>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</si>
  <si>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</si>
  <si>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</si>
  <si>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</si>
  <si>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</si>
  <si>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</si>
  <si>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</si>
  <si>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C1055</t>
  </si>
  <si>
    <t>ORD01830</t>
  </si>
  <si>
    <t>ORD01831</t>
  </si>
  <si>
    <t>ORD01832</t>
  </si>
  <si>
    <t>ORD01833</t>
  </si>
  <si>
    <t>C1158</t>
  </si>
  <si>
    <t>ORD01834</t>
  </si>
  <si>
    <t>ORD01835</t>
  </si>
  <si>
    <t>C1693</t>
  </si>
  <si>
    <t>ORD01836</t>
  </si>
  <si>
    <t>ORD01837</t>
  </si>
  <si>
    <t>ORD01838</t>
  </si>
  <si>
    <t>ORD01839</t>
  </si>
  <si>
    <t>C1474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</si>
  <si>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</si>
  <si>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</si>
  <si>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</si>
  <si>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</si>
  <si>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</si>
  <si>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</si>
  <si>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</si>
  <si>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</si>
  <si>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</si>
  <si>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</si>
  <si>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</si>
  <si>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</si>
  <si>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</si>
  <si>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C1231</t>
  </si>
  <si>
    <t>ORD01853</t>
  </si>
  <si>
    <t>ORD01854</t>
  </si>
  <si>
    <t>C1507</t>
  </si>
  <si>
    <t>ORD01855</t>
  </si>
  <si>
    <t>C1015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</si>
  <si>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</si>
  <si>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</si>
  <si>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</si>
  <si>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</si>
  <si>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</si>
  <si>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</si>
  <si>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</si>
  <si>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</si>
  <si>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</si>
  <si>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</si>
  <si>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</si>
  <si>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</si>
  <si>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</si>
  <si>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</si>
  <si>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</si>
  <si>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</si>
  <si>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</si>
  <si>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</si>
  <si>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</si>
  <si>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</si>
  <si>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</si>
  <si>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</si>
  <si>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</si>
  <si>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</si>
  <si>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</si>
  <si>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</si>
  <si>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</si>
  <si>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</si>
  <si>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</si>
  <si>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</si>
  <si>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C1746</t>
  </si>
  <si>
    <t>ORD01886</t>
  </si>
  <si>
    <t>ORD01887</t>
  </si>
  <si>
    <t>ORD01888</t>
  </si>
  <si>
    <t>ORD01889</t>
  </si>
  <si>
    <t>ORD01890</t>
  </si>
  <si>
    <t>ORD01891</t>
  </si>
  <si>
    <t>C1631</t>
  </si>
  <si>
    <t>ORD01892</t>
  </si>
  <si>
    <t>ORD01893</t>
  </si>
  <si>
    <t>C1481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</si>
  <si>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</si>
  <si>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</si>
  <si>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</si>
  <si>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</si>
  <si>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</si>
  <si>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</si>
  <si>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</si>
  <si>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</si>
  <si>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</si>
  <si>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</si>
  <si>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</si>
  <si>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</si>
  <si>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</si>
  <si>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</si>
  <si>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</si>
  <si>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</si>
  <si>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</si>
  <si>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</si>
  <si>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</si>
  <si>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</si>
  <si>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</si>
  <si>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</si>
  <si>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</si>
  <si>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</si>
  <si>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</si>
  <si>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</si>
  <si>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</si>
  <si>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</si>
  <si>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</si>
  <si>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</si>
  <si>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</si>
  <si>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</si>
  <si>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</si>
  <si>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</si>
  <si>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C1723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</si>
  <si>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</si>
  <si>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</si>
  <si>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</si>
  <si>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</si>
  <si>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</si>
  <si>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</si>
  <si>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</si>
  <si>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</si>
  <si>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</si>
  <si>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C1402</t>
  </si>
  <si>
    <t>ORD01937</t>
  </si>
  <si>
    <t>ORD01938</t>
  </si>
  <si>
    <t>ORD01939</t>
  </si>
  <si>
    <t>ORD01940</t>
  </si>
  <si>
    <t>ORD01941</t>
  </si>
  <si>
    <t>ORD01942</t>
  </si>
  <si>
    <t>ORD01943</t>
  </si>
  <si>
    <t>C1354</t>
  </si>
  <si>
    <t>ORD01944</t>
  </si>
  <si>
    <t>ORD01945</t>
  </si>
  <si>
    <t>ORD01946</t>
  </si>
  <si>
    <t>C1649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</si>
  <si>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</si>
  <si>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</si>
  <si>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</si>
  <si>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</si>
  <si>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</si>
  <si>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</si>
  <si>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</si>
  <si>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</si>
  <si>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</si>
  <si>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</si>
  <si>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</si>
  <si>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C1050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</si>
  <si>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</si>
  <si>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</si>
  <si>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</si>
  <si>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</si>
  <si>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</si>
  <si>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</si>
  <si>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</si>
  <si>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</si>
  <si>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</si>
  <si>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</si>
  <si>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C1081</t>
  </si>
  <si>
    <t>ORD01968</t>
  </si>
  <si>
    <t>C1080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</si>
  <si>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</si>
  <si>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</si>
  <si>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</si>
  <si>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</si>
  <si>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</si>
  <si>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</si>
  <si>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</si>
  <si>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</si>
  <si>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C1079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</si>
  <si>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</si>
  <si>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</si>
  <si>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</si>
  <si>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</si>
  <si>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</si>
  <si>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</si>
  <si>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</si>
  <si>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</si>
  <si>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</si>
  <si>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</si>
  <si>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</si>
  <si>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</si>
  <si>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</si>
  <si>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</si>
  <si>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</si>
  <si>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C1109</t>
  </si>
  <si>
    <t>ORD01992</t>
  </si>
  <si>
    <t>ORD01993</t>
  </si>
  <si>
    <t>ORD01994</t>
  </si>
  <si>
    <t>C1179</t>
  </si>
  <si>
    <t>ORD01995</t>
  </si>
  <si>
    <t>ORD01996</t>
  </si>
  <si>
    <t>ORD01997</t>
  </si>
  <si>
    <t>ORD01998</t>
  </si>
  <si>
    <t>ORD01999</t>
  </si>
  <si>
    <t>ORD02000</t>
  </si>
  <si>
    <t>ORD02001</t>
  </si>
  <si>
    <t>C1025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</si>
  <si>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</si>
  <si>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</si>
  <si>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</si>
  <si>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</si>
  <si>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</si>
  <si>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</si>
  <si>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</si>
  <si>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</si>
  <si>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</si>
  <si>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</si>
  <si>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</si>
  <si>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</si>
  <si>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</si>
  <si>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C1457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</si>
  <si>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</si>
  <si>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</si>
  <si>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</si>
  <si>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</si>
  <si>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</si>
  <si>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</si>
  <si>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</si>
  <si>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</si>
  <si>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</si>
  <si>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</si>
  <si>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</si>
  <si>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</si>
  <si>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</si>
  <si>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</si>
  <si>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</si>
  <si>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</si>
  <si>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</si>
  <si>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</si>
  <si>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</si>
  <si>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</si>
  <si>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</si>
  <si>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C1398</t>
  </si>
  <si>
    <t>ORD02036</t>
  </si>
  <si>
    <t>ORD02037</t>
  </si>
  <si>
    <t>ORD02038</t>
  </si>
  <si>
    <t>ORD02039</t>
  </si>
  <si>
    <t>ORD02040</t>
  </si>
  <si>
    <t>ORD02041</t>
  </si>
  <si>
    <t>ORD02042</t>
  </si>
  <si>
    <t>C1595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</si>
  <si>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</si>
  <si>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</si>
  <si>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</si>
  <si>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</si>
  <si>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</si>
  <si>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</si>
  <si>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</si>
  <si>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</si>
  <si>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</si>
  <si>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</si>
  <si>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</si>
  <si>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</si>
  <si>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</si>
  <si>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</si>
  <si>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</si>
  <si>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</si>
  <si>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</si>
  <si>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C1769</t>
  </si>
  <si>
    <t>ORD02060</t>
  </si>
  <si>
    <t>ORD02061</t>
  </si>
  <si>
    <t>ORD02062</t>
  </si>
  <si>
    <t>ORD02063</t>
  </si>
  <si>
    <t>ORD02064</t>
  </si>
  <si>
    <t>ORD02065</t>
  </si>
  <si>
    <t>C1674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</si>
  <si>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</si>
  <si>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</si>
  <si>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</si>
  <si>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</si>
  <si>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</si>
  <si>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</si>
  <si>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</si>
  <si>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</si>
  <si>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</si>
  <si>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</si>
  <si>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</si>
  <si>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</si>
  <si>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</si>
  <si>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</si>
  <si>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</si>
  <si>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</si>
  <si>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</si>
  <si>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</si>
  <si>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</si>
  <si>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</si>
  <si>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</si>
  <si>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</si>
  <si>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</si>
  <si>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C1542</t>
  </si>
  <si>
    <t>ORD02089</t>
  </si>
  <si>
    <t>ORD02090</t>
  </si>
  <si>
    <t>ORD02091</t>
  </si>
  <si>
    <t>ORD02092</t>
  </si>
  <si>
    <t>ORD02093</t>
  </si>
  <si>
    <t>C1241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</si>
  <si>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</si>
  <si>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</si>
  <si>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</si>
  <si>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</si>
  <si>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</si>
  <si>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</si>
  <si>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</si>
  <si>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</si>
  <si>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</si>
  <si>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</si>
  <si>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</si>
  <si>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</si>
  <si>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</si>
  <si>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</si>
  <si>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</si>
  <si>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</si>
  <si>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</si>
  <si>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</si>
  <si>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</si>
  <si>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C1365</t>
  </si>
  <si>
    <t>ORD02113</t>
  </si>
  <si>
    <t>ORD02114</t>
  </si>
  <si>
    <t>ORD02115</t>
  </si>
  <si>
    <t>ORD02116</t>
  </si>
  <si>
    <t>C1760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</si>
  <si>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</si>
  <si>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</si>
  <si>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</si>
  <si>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</si>
  <si>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</si>
  <si>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</si>
  <si>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</si>
  <si>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</si>
  <si>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</si>
  <si>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</si>
  <si>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C1472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</si>
  <si>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</si>
  <si>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</si>
  <si>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</si>
  <si>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</si>
  <si>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</si>
  <si>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</si>
  <si>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</si>
  <si>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</si>
  <si>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</si>
  <si>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</si>
  <si>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</si>
  <si>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</si>
  <si>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</si>
  <si>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</si>
  <si>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</si>
  <si>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</si>
  <si>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C1701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</si>
  <si>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</si>
  <si>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</si>
  <si>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</si>
  <si>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</si>
  <si>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</si>
  <si>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</si>
  <si>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</si>
  <si>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</si>
  <si>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</si>
  <si>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</si>
  <si>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C1459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</si>
  <si>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</si>
  <si>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</si>
  <si>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</si>
  <si>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</si>
  <si>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</si>
  <si>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</si>
  <si>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</si>
  <si>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</si>
  <si>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</si>
  <si>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</si>
  <si>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</si>
  <si>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</si>
  <si>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</si>
  <si>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</si>
  <si>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</si>
  <si>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</si>
  <si>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</si>
  <si>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</si>
  <si>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</si>
  <si>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</si>
  <si>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</si>
  <si>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</si>
  <si>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</si>
  <si>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</si>
  <si>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</si>
  <si>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</si>
  <si>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</si>
  <si>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</si>
  <si>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</si>
  <si>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</si>
  <si>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</si>
  <si>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</si>
  <si>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</si>
  <si>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</si>
  <si>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</si>
  <si>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</si>
  <si>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</si>
  <si>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</si>
  <si>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</si>
  <si>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</si>
  <si>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</si>
  <si>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</si>
  <si>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</si>
  <si>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</si>
  <si>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</si>
  <si>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</si>
  <si>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</si>
  <si>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</si>
  <si>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</si>
  <si>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</si>
  <si>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</si>
  <si>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</si>
  <si>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</si>
  <si>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</si>
  <si>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</si>
  <si>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</si>
  <si>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C1091</t>
  </si>
  <si>
    <t>ORD02209</t>
  </si>
  <si>
    <t>ORD02210</t>
  </si>
  <si>
    <t>ORD02211</t>
  </si>
  <si>
    <t>C1327</t>
  </si>
  <si>
    <t>ORD02212</t>
  </si>
  <si>
    <t>ORD02213</t>
  </si>
  <si>
    <t>ORD02214</t>
  </si>
  <si>
    <t>C1145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</si>
  <si>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</si>
  <si>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</si>
  <si>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</si>
  <si>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</si>
  <si>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</si>
  <si>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</si>
  <si>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</si>
  <si>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</si>
  <si>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C1006</t>
  </si>
  <si>
    <t>ORD02223</t>
  </si>
  <si>
    <t>ORD02224</t>
  </si>
  <si>
    <t>ORD02225</t>
  </si>
  <si>
    <t>ORD02226</t>
  </si>
  <si>
    <t>ORD02227</t>
  </si>
  <si>
    <t>C1323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</si>
  <si>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</si>
  <si>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</si>
  <si>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</si>
  <si>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</si>
  <si>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</si>
  <si>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</si>
  <si>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</si>
  <si>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</si>
  <si>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C1525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</si>
  <si>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</si>
  <si>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</si>
  <si>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</si>
  <si>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</si>
  <si>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</si>
  <si>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</si>
  <si>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</si>
  <si>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</si>
  <si>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</si>
  <si>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</si>
  <si>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</si>
  <si>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</si>
  <si>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</si>
  <si>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</si>
  <si>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</si>
  <si>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</si>
  <si>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</si>
  <si>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</si>
  <si>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</si>
  <si>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</si>
  <si>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</si>
  <si>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</si>
  <si>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</si>
  <si>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C1366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</si>
  <si>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</si>
  <si>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</si>
  <si>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</si>
  <si>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</si>
  <si>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</si>
  <si>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</si>
  <si>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</si>
  <si>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</si>
  <si>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</si>
  <si>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</si>
  <si>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</si>
  <si>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</si>
  <si>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</si>
  <si>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</si>
  <si>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</si>
  <si>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</si>
  <si>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</si>
  <si>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</si>
  <si>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</si>
  <si>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</si>
  <si>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</si>
  <si>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</si>
  <si>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</si>
  <si>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</si>
  <si>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</si>
  <si>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</si>
  <si>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</si>
  <si>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</si>
  <si>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</si>
  <si>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</si>
  <si>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</si>
  <si>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</si>
  <si>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C1172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</si>
  <si>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</si>
  <si>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</si>
  <si>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</si>
  <si>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</si>
  <si>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</si>
  <si>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</si>
  <si>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</si>
  <si>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</si>
  <si>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</si>
  <si>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</si>
  <si>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</si>
  <si>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</si>
  <si>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</si>
  <si>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</si>
  <si>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</si>
  <si>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</si>
  <si>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</si>
  <si>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</si>
  <si>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</si>
  <si>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</si>
  <si>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</si>
  <si>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</si>
  <si>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</si>
  <si>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</si>
  <si>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</si>
  <si>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</si>
  <si>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</si>
  <si>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</si>
  <si>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</si>
  <si>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</si>
  <si>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</si>
  <si>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</si>
  <si>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</si>
  <si>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</si>
  <si>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</si>
  <si>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</si>
  <si>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</si>
  <si>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</si>
  <si>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</si>
  <si>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</si>
  <si>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</si>
  <si>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</si>
  <si>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</si>
  <si>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</si>
  <si>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</si>
  <si>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</si>
  <si>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</si>
  <si>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</si>
  <si>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</si>
  <si>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</si>
  <si>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</si>
  <si>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</si>
  <si>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</si>
  <si>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</si>
  <si>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</si>
  <si>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</si>
  <si>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</si>
  <si>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C1636</t>
  </si>
  <si>
    <t>ORD02348</t>
  </si>
  <si>
    <t>ORD02349</t>
  </si>
  <si>
    <t>ORD02350</t>
  </si>
  <si>
    <t>ORD02351</t>
  </si>
  <si>
    <t>C1115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</si>
  <si>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</si>
  <si>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</si>
  <si>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</si>
  <si>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</si>
  <si>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</si>
  <si>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</si>
  <si>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</si>
  <si>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</si>
  <si>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</si>
  <si>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</si>
  <si>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</si>
  <si>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</si>
  <si>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</si>
  <si>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</si>
  <si>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</si>
  <si>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</si>
  <si>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</si>
  <si>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</si>
  <si>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</si>
  <si>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</si>
  <si>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</si>
  <si>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</si>
  <si>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</si>
  <si>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</si>
  <si>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</si>
  <si>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</si>
  <si>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</si>
  <si>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</si>
  <si>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</si>
  <si>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</si>
  <si>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</si>
  <si>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</si>
  <si>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</si>
  <si>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</si>
  <si>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</si>
  <si>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</si>
  <si>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</si>
  <si>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</si>
  <si>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</si>
  <si>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</si>
  <si>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</si>
  <si>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</si>
  <si>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</si>
  <si>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</si>
  <si>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</si>
  <si>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</si>
  <si>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</si>
  <si>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</si>
  <si>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</si>
  <si>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</si>
  <si>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</si>
  <si>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</si>
  <si>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</si>
  <si>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</si>
  <si>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</si>
  <si>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</si>
  <si>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</si>
  <si>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</si>
  <si>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</si>
  <si>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</si>
  <si>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</si>
  <si>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</si>
  <si>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</si>
  <si>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</si>
  <si>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</si>
  <si>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</si>
  <si>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</si>
  <si>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</si>
  <si>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C1264</t>
  </si>
  <si>
    <t>ORD02420</t>
  </si>
  <si>
    <t>ORD02421</t>
  </si>
  <si>
    <t>ORD02422</t>
  </si>
  <si>
    <t>ORD02423</t>
  </si>
  <si>
    <t>ORD02424</t>
  </si>
  <si>
    <t>ORD02425</t>
  </si>
  <si>
    <t>C1351</t>
  </si>
  <si>
    <t>ORD02426</t>
  </si>
  <si>
    <t>ORD02427</t>
  </si>
  <si>
    <t>C1273</t>
  </si>
  <si>
    <t>ORD02428</t>
  </si>
  <si>
    <t>ORD02429</t>
  </si>
  <si>
    <t>C1444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</si>
  <si>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</si>
  <si>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</si>
  <si>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</si>
  <si>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</si>
  <si>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</si>
  <si>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</si>
  <si>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</si>
  <si>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</si>
  <si>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</si>
  <si>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C1776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</si>
  <si>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</si>
  <si>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</si>
  <si>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</si>
  <si>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</si>
  <si>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</si>
  <si>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</si>
  <si>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</si>
  <si>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</si>
  <si>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</si>
  <si>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</si>
  <si>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C1121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</si>
  <si>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</si>
  <si>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</si>
  <si>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</si>
  <si>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</si>
  <si>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</si>
  <si>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</si>
  <si>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</si>
  <si>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</si>
  <si>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</si>
  <si>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</si>
  <si>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</si>
  <si>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</si>
  <si>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</si>
  <si>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C1244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</si>
  <si>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</si>
  <si>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</si>
  <si>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</si>
  <si>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</si>
  <si>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</si>
  <si>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</si>
  <si>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</si>
  <si>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</si>
  <si>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</si>
  <si>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</si>
  <si>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</si>
  <si>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</si>
  <si>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</si>
  <si>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</si>
  <si>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</si>
  <si>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</si>
  <si>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</si>
  <si>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</si>
  <si>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</si>
  <si>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</si>
  <si>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</si>
  <si>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</si>
  <si>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C1046</t>
  </si>
  <si>
    <t>ORD02484</t>
  </si>
  <si>
    <t>ORD02485</t>
  </si>
  <si>
    <t>ORD02486</t>
  </si>
  <si>
    <t>C1416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</si>
  <si>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</si>
  <si>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</si>
  <si>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</si>
  <si>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</si>
  <si>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</si>
  <si>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</si>
  <si>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</si>
  <si>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</si>
  <si>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</si>
  <si>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</si>
  <si>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</si>
  <si>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</si>
  <si>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</si>
  <si>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</si>
  <si>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</si>
  <si>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</si>
  <si>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</si>
  <si>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</si>
  <si>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</si>
  <si>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</si>
  <si>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</si>
  <si>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</si>
  <si>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</si>
  <si>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</si>
  <si>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</si>
  <si>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</si>
  <si>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</si>
  <si>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</si>
  <si>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</si>
  <si>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</si>
  <si>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</si>
  <si>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</si>
  <si>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</si>
  <si>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</si>
  <si>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</si>
  <si>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</si>
  <si>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</si>
  <si>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C1371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</si>
  <si>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</si>
  <si>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</si>
  <si>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</si>
  <si>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</si>
  <si>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</si>
  <si>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</si>
  <si>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</si>
  <si>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</si>
  <si>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</si>
  <si>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</si>
  <si>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</si>
  <si>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</si>
  <si>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</si>
  <si>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</si>
  <si>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</si>
  <si>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</si>
  <si>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</si>
  <si>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</si>
  <si>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C1572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</si>
  <si>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</si>
  <si>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</si>
  <si>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</si>
  <si>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</si>
  <si>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</si>
  <si>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</si>
  <si>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</si>
  <si>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</si>
  <si>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</si>
  <si>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</si>
  <si>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</si>
  <si>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</si>
  <si>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</si>
  <si>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</si>
  <si>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</si>
  <si>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</si>
  <si>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</si>
  <si>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</si>
  <si>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</si>
  <si>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</si>
  <si>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</si>
  <si>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</si>
  <si>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</si>
  <si>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</si>
  <si>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C1181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</si>
  <si>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</si>
  <si>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</si>
  <si>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</si>
  <si>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</si>
  <si>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</si>
  <si>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</si>
  <si>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</si>
  <si>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</si>
  <si>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</si>
  <si>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</si>
  <si>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</si>
  <si>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</si>
  <si>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</si>
  <si>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</si>
  <si>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</si>
  <si>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</si>
  <si>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</si>
  <si>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</si>
  <si>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</si>
  <si>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</si>
  <si>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</si>
  <si>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</si>
  <si>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C1389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</si>
  <si>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</si>
  <si>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</si>
  <si>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</si>
  <si>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</si>
  <si>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</si>
  <si>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</si>
  <si>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</si>
  <si>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</si>
  <si>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</si>
  <si>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</si>
  <si>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</si>
  <si>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</si>
  <si>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</si>
  <si>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</si>
  <si>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</si>
  <si>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</si>
  <si>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</si>
  <si>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</si>
  <si>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</si>
  <si>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</si>
  <si>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</si>
  <si>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</si>
  <si>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</si>
  <si>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</si>
  <si>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</si>
  <si>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</si>
  <si>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</si>
  <si>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</si>
  <si>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</si>
  <si>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C1660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</si>
  <si>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</si>
  <si>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</si>
  <si>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</si>
  <si>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</si>
  <si>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</si>
  <si>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</si>
  <si>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</si>
  <si>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</si>
  <si>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</si>
  <si>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</si>
  <si>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</si>
  <si>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</si>
  <si>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</si>
  <si>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</si>
  <si>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</si>
  <si>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</si>
  <si>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C1440</t>
  </si>
  <si>
    <t>ORD02633</t>
  </si>
  <si>
    <t>ORD02634</t>
  </si>
  <si>
    <t>ORD02635</t>
  </si>
  <si>
    <t>ORD02636</t>
  </si>
  <si>
    <t>ORD02637</t>
  </si>
  <si>
    <t>C1408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</si>
  <si>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</si>
  <si>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</si>
  <si>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</si>
  <si>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</si>
  <si>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</si>
  <si>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</si>
  <si>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</si>
  <si>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</si>
  <si>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</si>
  <si>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</si>
  <si>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C1747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</si>
  <si>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</si>
  <si>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</si>
  <si>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</si>
  <si>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</si>
  <si>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</si>
  <si>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</si>
  <si>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</si>
  <si>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</si>
  <si>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</si>
  <si>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</si>
  <si>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</si>
  <si>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</si>
  <si>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</si>
  <si>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</si>
  <si>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</si>
  <si>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</si>
  <si>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</si>
  <si>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</si>
  <si>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</si>
  <si>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</si>
  <si>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</si>
  <si>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</si>
  <si>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</si>
  <si>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</si>
  <si>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</si>
  <si>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</si>
  <si>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</si>
  <si>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</si>
  <si>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</si>
  <si>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</si>
  <si>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</si>
  <si>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</si>
  <si>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</si>
  <si>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</si>
  <si>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</si>
  <si>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</si>
  <si>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</si>
  <si>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</si>
  <si>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</si>
  <si>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</si>
  <si>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</si>
  <si>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C1575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</si>
  <si>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</si>
  <si>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</si>
  <si>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</si>
  <si>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</si>
  <si>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</si>
  <si>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</si>
  <si>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</si>
  <si>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</si>
  <si>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</si>
  <si>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</si>
  <si>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</si>
  <si>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</si>
  <si>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</si>
  <si>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</si>
  <si>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</si>
  <si>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</si>
  <si>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</si>
  <si>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</si>
  <si>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</si>
  <si>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</si>
  <si>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</si>
  <si>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</si>
  <si>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</si>
  <si>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</si>
  <si>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</si>
  <si>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</si>
  <si>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</si>
  <si>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</si>
  <si>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</si>
  <si>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</si>
  <si>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</si>
  <si>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</si>
  <si>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</si>
  <si>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</si>
  <si>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</si>
  <si>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</si>
  <si>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</si>
  <si>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</si>
  <si>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</si>
  <si>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C1686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</si>
  <si>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</si>
  <si>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</si>
  <si>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</si>
  <si>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</si>
  <si>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</si>
  <si>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</si>
  <si>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</si>
  <si>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</si>
  <si>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</si>
  <si>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</si>
  <si>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</si>
  <si>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</si>
  <si>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</si>
  <si>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</si>
  <si>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</si>
  <si>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</si>
  <si>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</si>
  <si>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</si>
  <si>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</si>
  <si>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</si>
  <si>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</si>
  <si>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</si>
  <si>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</si>
  <si>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</si>
  <si>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</si>
  <si>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</si>
  <si>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</si>
  <si>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</si>
  <si>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</si>
  <si>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</si>
  <si>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</si>
  <si>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</si>
  <si>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</si>
  <si>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</si>
  <si>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</si>
  <si>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</si>
  <si>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</si>
  <si>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</si>
  <si>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</si>
  <si>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</si>
  <si>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</si>
  <si>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</si>
  <si>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</si>
  <si>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</si>
  <si>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</si>
  <si>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</si>
  <si>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</si>
  <si>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</si>
  <si>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</si>
  <si>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</si>
  <si>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</si>
  <si>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</si>
  <si>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</si>
  <si>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</si>
  <si>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</si>
  <si>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</si>
  <si>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</si>
  <si>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</si>
  <si>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</si>
  <si>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</si>
  <si>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</si>
  <si>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</si>
  <si>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</si>
  <si>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C1051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</si>
  <si>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</si>
  <si>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</si>
  <si>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</si>
  <si>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</si>
  <si>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</si>
  <si>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</si>
  <si>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</si>
  <si>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</si>
  <si>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</si>
  <si>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</si>
  <si>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</si>
  <si>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</si>
  <si>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</si>
  <si>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</si>
  <si>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</si>
  <si>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</si>
  <si>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</si>
  <si>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</si>
  <si>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C1312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</si>
  <si>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</si>
  <si>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</si>
  <si>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</si>
  <si>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</si>
  <si>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</si>
  <si>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</si>
  <si>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</si>
  <si>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</si>
  <si>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C1142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</si>
  <si>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</si>
  <si>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</si>
  <si>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</si>
  <si>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</si>
  <si>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</si>
  <si>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</si>
  <si>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</si>
  <si>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</si>
  <si>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</si>
  <si>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</si>
  <si>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</si>
  <si>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</si>
  <si>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</si>
  <si>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</si>
  <si>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</si>
  <si>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</si>
  <si>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</si>
  <si>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</si>
  <si>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C1128</t>
  </si>
  <si>
    <t>ORD02835</t>
  </si>
  <si>
    <t>ORD02836</t>
  </si>
  <si>
    <t>ORD02837</t>
  </si>
  <si>
    <t>ORD02838</t>
  </si>
  <si>
    <t>ORD02839</t>
  </si>
  <si>
    <t>C1654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</si>
  <si>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</si>
  <si>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</si>
  <si>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</si>
  <si>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</si>
  <si>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</si>
  <si>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</si>
  <si>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</si>
  <si>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</si>
  <si>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</si>
  <si>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</si>
  <si>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</si>
  <si>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</si>
  <si>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</si>
  <si>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</si>
  <si>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</si>
  <si>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</si>
  <si>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</si>
  <si>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</si>
  <si>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</si>
  <si>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</si>
  <si>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</si>
  <si>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</si>
  <si>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</si>
  <si>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</si>
  <si>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C1027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</si>
  <si>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</si>
  <si>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</si>
  <si>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</si>
  <si>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</si>
  <si>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</si>
  <si>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</si>
  <si>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</si>
  <si>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</si>
  <si>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</si>
  <si>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</si>
  <si>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</si>
  <si>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</si>
  <si>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</si>
  <si>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</si>
  <si>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</si>
  <si>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</si>
  <si>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</si>
  <si>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</si>
  <si>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</si>
  <si>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</si>
  <si>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</si>
  <si>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</si>
  <si>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</si>
  <si>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C1313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</si>
  <si>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</si>
  <si>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</si>
  <si>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</si>
  <si>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</si>
  <si>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</si>
  <si>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</si>
  <si>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</si>
  <si>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</si>
  <si>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</si>
  <si>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</si>
  <si>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</si>
  <si>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</si>
  <si>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</si>
  <si>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</si>
  <si>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</si>
  <si>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</si>
  <si>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</si>
  <si>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</si>
  <si>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</si>
  <si>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</si>
  <si>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</si>
  <si>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</si>
  <si>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</si>
  <si>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</si>
  <si>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</si>
  <si>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</si>
  <si>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</si>
  <si>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</si>
  <si>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</si>
  <si>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</si>
  <si>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</si>
  <si>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</si>
  <si>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</si>
  <si>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</si>
  <si>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</si>
  <si>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</si>
  <si>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</si>
  <si>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C1303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</si>
  <si>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</si>
  <si>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</si>
  <si>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</si>
  <si>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</si>
  <si>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</si>
  <si>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</si>
  <si>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</si>
  <si>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</si>
  <si>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</si>
  <si>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</si>
  <si>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</si>
  <si>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</si>
  <si>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</si>
  <si>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</si>
  <si>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</si>
  <si>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</si>
  <si>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</si>
  <si>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</si>
  <si>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</si>
  <si>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</si>
  <si>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</si>
  <si>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</si>
  <si>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C1669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</si>
  <si>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</si>
  <si>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</si>
  <si>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</si>
  <si>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</si>
  <si>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</si>
  <si>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</si>
  <si>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</si>
  <si>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</si>
  <si>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</si>
  <si>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</si>
  <si>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</si>
  <si>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</si>
  <si>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</si>
  <si>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</si>
  <si>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</si>
  <si>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</si>
  <si>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</si>
  <si>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</si>
  <si>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</si>
  <si>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</si>
  <si>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</si>
  <si>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</si>
  <si>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</si>
  <si>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</si>
  <si>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</si>
  <si>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</si>
  <si>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</si>
  <si>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</si>
  <si>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</si>
  <si>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</si>
  <si>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</si>
  <si>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</si>
  <si>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</si>
  <si>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</si>
  <si>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C1518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</si>
  <si>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</si>
  <si>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</si>
  <si>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</si>
  <si>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</si>
  <si>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</si>
  <si>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</si>
  <si>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</si>
  <si>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</si>
  <si>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</si>
  <si>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</si>
  <si>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</si>
  <si>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</si>
  <si>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</si>
  <si>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</si>
  <si>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</si>
  <si>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</si>
  <si>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</si>
  <si>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</si>
  <si>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</si>
  <si>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</si>
  <si>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</si>
  <si>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</si>
  <si>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</si>
  <si>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</si>
  <si>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</si>
  <si>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</si>
  <si>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</si>
  <si>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</si>
  <si>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</si>
  <si>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</si>
  <si>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</si>
  <si>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</si>
  <si>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</si>
  <si>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</si>
  <si>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</si>
  <si>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</si>
  <si>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</si>
  <si>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C1038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</si>
  <si>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</si>
  <si>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</si>
  <si>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</si>
  <si>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</si>
  <si>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</si>
  <si>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</si>
  <si>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</si>
  <si>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</si>
  <si>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</si>
  <si>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</si>
  <si>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</si>
  <si>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</si>
  <si>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</si>
  <si>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</si>
  <si>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</si>
  <si>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</si>
  <si>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</si>
  <si>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</si>
  <si>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</si>
  <si>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</si>
  <si>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</si>
  <si>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</si>
  <si>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</si>
  <si>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</si>
  <si>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</si>
  <si>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</si>
  <si>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</si>
  <si>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C1451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</si>
  <si>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</si>
  <si>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</si>
  <si>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</si>
  <si>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</si>
  <si>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</si>
  <si>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</si>
  <si>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</si>
  <si>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</si>
  <si>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</si>
  <si>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</si>
  <si>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</si>
  <si>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</si>
  <si>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</si>
  <si>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</si>
  <si>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</si>
  <si>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</si>
  <si>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</si>
  <si>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</si>
  <si>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</si>
  <si>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</si>
  <si>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</si>
  <si>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</si>
  <si>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</si>
  <si>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</si>
  <si>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</si>
  <si>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</si>
  <si>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</si>
  <si>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</si>
  <si>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</si>
  <si>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</si>
  <si>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</si>
  <si>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</si>
  <si>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</si>
  <si>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</si>
  <si>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</si>
  <si>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</si>
  <si>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</si>
  <si>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</si>
  <si>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</si>
  <si>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</si>
  <si>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</si>
  <si>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</si>
  <si>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</si>
  <si>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</si>
  <si>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</si>
  <si>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</si>
  <si>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</si>
  <si>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</si>
  <si>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</si>
  <si>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</si>
  <si>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</si>
  <si>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</si>
  <si>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</si>
  <si>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</si>
  <si>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</si>
  <si>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</si>
  <si>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</si>
  <si>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</si>
  <si>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</si>
  <si>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</si>
  <si>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</si>
  <si>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</si>
  <si>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</si>
  <si>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</si>
  <si>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</si>
  <si>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</si>
  <si>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</si>
  <si>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</si>
  <si>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</si>
  <si>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</si>
  <si>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</si>
  <si>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</si>
  <si>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</si>
  <si>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</si>
  <si>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</si>
  <si>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C1596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</si>
  <si>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</si>
  <si>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</si>
  <si>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</si>
  <si>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</si>
  <si>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</si>
  <si>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</si>
  <si>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</si>
  <si>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</si>
  <si>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</si>
  <si>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</si>
  <si>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</si>
  <si>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</si>
  <si>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</si>
  <si>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</si>
  <si>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</si>
  <si>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C1368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</si>
  <si>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</si>
  <si>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</si>
  <si>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</si>
  <si>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</si>
  <si>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</si>
  <si>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</si>
  <si>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</si>
  <si>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</si>
  <si>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</si>
  <si>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</si>
  <si>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</si>
  <si>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</si>
  <si>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</si>
  <si>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</si>
  <si>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</si>
  <si>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</si>
  <si>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</si>
  <si>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</si>
  <si>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</si>
  <si>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</si>
  <si>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</si>
  <si>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</si>
  <si>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</si>
  <si>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</si>
  <si>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</si>
  <si>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</si>
  <si>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</si>
  <si>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</si>
  <si>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</si>
  <si>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</si>
  <si>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</si>
  <si>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</si>
  <si>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</si>
  <si>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</si>
  <si>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</si>
  <si>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</si>
  <si>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</si>
  <si>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</si>
  <si>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</si>
  <si>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</si>
  <si>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</si>
  <si>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</si>
  <si>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</si>
  <si>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</si>
  <si>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</si>
  <si>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</si>
  <si>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</si>
  <si>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</si>
  <si>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</si>
  <si>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</si>
  <si>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</si>
  <si>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</si>
  <si>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</si>
  <si>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</si>
  <si>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</si>
  <si>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</si>
  <si>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</si>
  <si>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</si>
  <si>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</si>
  <si>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</si>
  <si>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</si>
  <si>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</si>
  <si>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</si>
  <si>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</si>
  <si>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</si>
  <si>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</si>
  <si>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</si>
  <si>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</si>
  <si>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</si>
  <si>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</si>
  <si>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</si>
  <si>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</si>
  <si>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</si>
  <si>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</si>
  <si>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</si>
  <si>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</si>
  <si>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</si>
  <si>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</si>
  <si>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</si>
  <si>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</si>
  <si>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</si>
  <si>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</si>
  <si>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</si>
  <si>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</si>
  <si>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</si>
  <si>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</si>
  <si>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</si>
  <si>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</si>
  <si>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</si>
  <si>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</si>
  <si>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</si>
  <si>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</si>
  <si>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</si>
  <si>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</si>
  <si>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</si>
  <si>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</si>
  <si>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</si>
  <si>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</si>
  <si>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</si>
  <si>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</si>
  <si>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</si>
  <si>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</si>
  <si>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</si>
  <si>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</si>
  <si>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</si>
  <si>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</si>
  <si>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</si>
  <si>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</si>
  <si>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</si>
  <si>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</si>
  <si>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</si>
  <si>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</si>
  <si>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</si>
  <si>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</si>
  <si>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</si>
  <si>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</si>
  <si>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</si>
  <si>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</si>
  <si>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</si>
  <si>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</si>
  <si>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</si>
  <si>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</si>
  <si>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</si>
  <si>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</si>
  <si>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</si>
  <si>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</si>
  <si>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</si>
  <si>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</si>
  <si>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</si>
  <si>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</si>
  <si>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</si>
  <si>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</si>
  <si>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</si>
  <si>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</si>
  <si>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</si>
  <si>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</si>
  <si>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</si>
  <si>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</si>
  <si>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</si>
  <si>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</si>
  <si>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</si>
  <si>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</si>
  <si>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</si>
  <si>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</si>
  <si>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</si>
  <si>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</si>
  <si>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</si>
  <si>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</si>
  <si>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</si>
  <si>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</si>
  <si>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</si>
  <si>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</si>
  <si>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</si>
  <si>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</si>
  <si>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</si>
  <si>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</si>
  <si>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</si>
  <si>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</si>
  <si>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</si>
  <si>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</si>
  <si>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</si>
  <si>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</si>
  <si>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</si>
  <si>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</si>
  <si>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</si>
  <si>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</si>
  <si>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</si>
  <si>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</si>
  <si>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</si>
  <si>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</si>
  <si>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</si>
  <si>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</si>
  <si>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</si>
  <si>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</si>
  <si>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</si>
  <si>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</si>
  <si>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</si>
  <si>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</si>
  <si>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</si>
  <si>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C1462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</si>
  <si>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</si>
  <si>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</si>
  <si>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</si>
  <si>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</si>
  <si>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</si>
  <si>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</si>
  <si>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</si>
  <si>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</si>
  <si>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</si>
  <si>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</si>
  <si>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</si>
  <si>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</si>
  <si>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</si>
  <si>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</si>
  <si>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</si>
  <si>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</si>
  <si>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</si>
  <si>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</si>
  <si>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</si>
  <si>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</si>
  <si>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</si>
  <si>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</si>
  <si>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</si>
  <si>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</si>
  <si>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</si>
  <si>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</si>
  <si>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</si>
  <si>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</si>
  <si>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</si>
  <si>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</si>
  <si>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</si>
  <si>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</si>
  <si>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</si>
  <si>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</si>
  <si>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</si>
  <si>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</si>
  <si>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</si>
  <si>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</si>
  <si>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</si>
  <si>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</si>
  <si>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</si>
  <si>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</si>
  <si>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</si>
  <si>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</si>
  <si>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</si>
  <si>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</si>
  <si>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</si>
  <si>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</si>
  <si>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C1700</t>
  </si>
  <si>
    <t>ORD03361</t>
  </si>
  <si>
    <t>ORD03362</t>
  </si>
  <si>
    <t>ORD03363</t>
  </si>
  <si>
    <t>ORD03364</t>
  </si>
  <si>
    <t>ORD03365</t>
  </si>
  <si>
    <t>ORD03366</t>
  </si>
  <si>
    <t>C1787</t>
  </si>
  <si>
    <t>ORD03367</t>
  </si>
  <si>
    <t>ORD03368</t>
  </si>
  <si>
    <t>ORD03369</t>
  </si>
  <si>
    <t>ORD03370</t>
  </si>
  <si>
    <t>ORD03371</t>
  </si>
  <si>
    <t>C1580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</si>
  <si>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</si>
  <si>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</si>
  <si>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</si>
  <si>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</si>
  <si>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</si>
  <si>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</si>
  <si>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</si>
  <si>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</si>
  <si>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</si>
  <si>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</si>
  <si>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</si>
  <si>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</si>
  <si>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</si>
  <si>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</si>
  <si>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</si>
  <si>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</si>
  <si>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</si>
  <si>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</si>
  <si>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</si>
  <si>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</si>
  <si>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</si>
  <si>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</si>
  <si>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</si>
  <si>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</si>
  <si>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</si>
  <si>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</si>
  <si>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</si>
  <si>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</si>
  <si>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</si>
  <si>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</si>
  <si>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</si>
  <si>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</si>
  <si>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</si>
  <si>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</si>
  <si>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</si>
  <si>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</si>
  <si>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</si>
  <si>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</si>
  <si>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</si>
  <si>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</si>
  <si>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</si>
  <si>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</si>
  <si>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</si>
  <si>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</si>
  <si>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</si>
  <si>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</si>
  <si>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</si>
  <si>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</si>
  <si>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</si>
  <si>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</si>
  <si>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</si>
  <si>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</si>
  <si>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</si>
  <si>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</si>
  <si>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</si>
  <si>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</si>
  <si>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</si>
  <si>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</si>
  <si>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</si>
  <si>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</si>
  <si>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</si>
  <si>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</si>
  <si>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</si>
  <si>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</si>
  <si>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</si>
  <si>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</si>
  <si>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</si>
  <si>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</si>
  <si>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</si>
  <si>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</si>
  <si>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</si>
  <si>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</si>
  <si>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</si>
  <si>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</si>
  <si>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</si>
  <si>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</si>
  <si>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</si>
  <si>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</si>
  <si>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</si>
  <si>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</si>
  <si>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</si>
  <si>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C1043</t>
  </si>
  <si>
    <t>ORD03453</t>
  </si>
  <si>
    <t>ORD03454</t>
  </si>
  <si>
    <t>C1515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</si>
  <si>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</si>
  <si>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</si>
  <si>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</si>
  <si>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</si>
  <si>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</si>
  <si>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</si>
  <si>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</si>
  <si>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</si>
  <si>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</si>
  <si>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</si>
  <si>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</si>
  <si>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</si>
  <si>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</si>
  <si>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</si>
  <si>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</si>
  <si>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</si>
  <si>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</si>
  <si>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</si>
  <si>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</si>
  <si>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</si>
  <si>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</si>
  <si>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</si>
  <si>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</si>
  <si>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</si>
  <si>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</si>
  <si>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</si>
  <si>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</si>
  <si>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</si>
  <si>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</si>
  <si>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</si>
  <si>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</si>
  <si>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</si>
  <si>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</si>
  <si>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</si>
  <si>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</si>
  <si>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</si>
  <si>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</si>
  <si>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</si>
  <si>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</si>
  <si>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</si>
  <si>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</si>
  <si>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</si>
  <si>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</si>
  <si>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</si>
  <si>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</si>
  <si>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</si>
  <si>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</si>
  <si>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</si>
  <si>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</si>
  <si>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</si>
  <si>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</si>
  <si>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</si>
  <si>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</si>
  <si>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</si>
  <si>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</si>
  <si>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</si>
  <si>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</si>
  <si>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</si>
  <si>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</si>
  <si>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</si>
  <si>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</si>
  <si>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</si>
  <si>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</si>
  <si>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</si>
  <si>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</si>
  <si>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</si>
  <si>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</si>
  <si>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</si>
  <si>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</si>
  <si>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</si>
  <si>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</si>
  <si>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</si>
  <si>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</si>
  <si>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</si>
  <si>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</si>
  <si>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</si>
  <si>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</si>
  <si>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</si>
  <si>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</si>
  <si>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</si>
  <si>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</si>
  <si>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</si>
  <si>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</si>
  <si>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</si>
  <si>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</si>
  <si>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</si>
  <si>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</si>
  <si>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</si>
  <si>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</si>
  <si>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</si>
  <si>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</si>
  <si>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</si>
  <si>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</si>
  <si>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C1028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</si>
  <si>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</si>
  <si>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</si>
  <si>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</si>
  <si>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</si>
  <si>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</si>
  <si>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</si>
  <si>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</si>
  <si>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</si>
  <si>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</si>
  <si>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</si>
  <si>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</si>
  <si>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</si>
  <si>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</si>
  <si>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</si>
  <si>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</si>
  <si>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</si>
  <si>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</si>
  <si>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</si>
  <si>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</si>
  <si>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</si>
  <si>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</si>
  <si>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</si>
  <si>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</si>
  <si>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</si>
  <si>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</si>
  <si>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</si>
  <si>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</si>
  <si>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</si>
  <si>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</si>
  <si>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</si>
  <si>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</si>
  <si>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</si>
  <si>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</si>
  <si>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C1267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</si>
  <si>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</si>
  <si>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</si>
  <si>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</si>
  <si>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</si>
  <si>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</si>
  <si>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</si>
  <si>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</si>
  <si>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</si>
  <si>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</si>
  <si>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</si>
  <si>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</si>
  <si>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</si>
  <si>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</si>
  <si>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</si>
  <si>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</si>
  <si>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</si>
  <si>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</si>
  <si>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</si>
  <si>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</si>
  <si>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</si>
  <si>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</si>
  <si>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</si>
  <si>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</si>
  <si>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</si>
  <si>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</si>
  <si>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</si>
  <si>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</si>
  <si>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</si>
  <si>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</si>
  <si>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</si>
  <si>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</si>
  <si>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</si>
  <si>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</si>
  <si>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</si>
  <si>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</si>
  <si>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</si>
  <si>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</si>
  <si>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</si>
  <si>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</si>
  <si>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</si>
  <si>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</si>
  <si>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</si>
  <si>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</si>
  <si>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</si>
  <si>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</si>
  <si>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</si>
  <si>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</si>
  <si>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</si>
  <si>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</si>
  <si>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</si>
  <si>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</si>
  <si>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</si>
  <si>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</si>
  <si>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</si>
  <si>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</si>
  <si>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</si>
  <si>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</si>
  <si>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</si>
  <si>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</si>
  <si>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</si>
  <si>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</si>
  <si>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</si>
  <si>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</si>
  <si>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</si>
  <si>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</si>
  <si>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</si>
  <si>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</si>
  <si>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</si>
  <si>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</si>
  <si>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</si>
  <si>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</si>
  <si>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</si>
  <si>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</si>
  <si>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</si>
  <si>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</si>
  <si>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</si>
  <si>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</si>
  <si>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</si>
  <si>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</si>
  <si>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</si>
  <si>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</si>
  <si>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</si>
  <si>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</si>
  <si>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</si>
  <si>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</si>
  <si>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</si>
  <si>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</si>
  <si>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</si>
  <si>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</si>
  <si>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</si>
  <si>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</si>
  <si>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</si>
  <si>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</si>
  <si>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</si>
  <si>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</si>
  <si>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</si>
  <si>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</si>
  <si>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</si>
  <si>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</si>
  <si>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</si>
  <si>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</si>
  <si>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</si>
  <si>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</si>
  <si>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C1555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</si>
  <si>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</si>
  <si>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</si>
  <si>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</si>
  <si>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</si>
  <si>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</si>
  <si>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</si>
  <si>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</si>
  <si>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</si>
  <si>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</si>
  <si>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</si>
  <si>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</si>
  <si>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</si>
  <si>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</si>
  <si>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</si>
  <si>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</si>
  <si>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</si>
  <si>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</si>
  <si>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</si>
  <si>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</si>
  <si>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</si>
  <si>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</si>
  <si>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</si>
  <si>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</si>
  <si>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C1476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</si>
  <si>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</si>
  <si>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</si>
  <si>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</si>
  <si>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</si>
  <si>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</si>
  <si>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</si>
  <si>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</si>
  <si>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</si>
  <si>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</si>
  <si>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</si>
  <si>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</si>
  <si>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</si>
  <si>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</si>
  <si>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</si>
  <si>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</si>
  <si>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</si>
  <si>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</si>
  <si>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</si>
  <si>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</si>
  <si>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</si>
  <si>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</si>
  <si>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</si>
  <si>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</si>
  <si>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</si>
  <si>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</si>
  <si>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</si>
  <si>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</si>
  <si>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</si>
  <si>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</si>
  <si>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</si>
  <si>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</si>
  <si>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</si>
  <si>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</si>
  <si>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</si>
  <si>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</si>
  <si>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</si>
  <si>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</si>
  <si>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</si>
  <si>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C1136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</si>
  <si>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</si>
  <si>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</si>
  <si>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</si>
  <si>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</si>
  <si>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</si>
  <si>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</si>
  <si>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</si>
  <si>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</si>
  <si>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</si>
  <si>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</si>
  <si>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</si>
  <si>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</si>
  <si>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</si>
  <si>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</si>
  <si>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</si>
  <si>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</si>
  <si>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</si>
  <si>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</si>
  <si>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</si>
  <si>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</si>
  <si>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</si>
  <si>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</si>
  <si>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</si>
  <si>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</si>
  <si>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</si>
  <si>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</si>
  <si>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</si>
  <si>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</si>
  <si>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</si>
  <si>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</si>
  <si>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</si>
  <si>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</si>
  <si>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</si>
  <si>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</si>
  <si>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</si>
  <si>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</si>
  <si>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</si>
  <si>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</si>
  <si>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</si>
  <si>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</si>
  <si>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</si>
  <si>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</si>
  <si>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</si>
  <si>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</si>
  <si>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</si>
  <si>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</si>
  <si>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</si>
  <si>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</si>
  <si>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</si>
  <si>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</si>
  <si>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</si>
  <si>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</si>
  <si>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</si>
  <si>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</si>
  <si>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</si>
  <si>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</si>
  <si>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</si>
  <si>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</si>
  <si>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</si>
  <si>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</si>
  <si>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</si>
  <si>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</si>
  <si>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</si>
  <si>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</si>
  <si>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</si>
  <si>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</si>
  <si>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</si>
  <si>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</si>
  <si>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</si>
  <si>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</si>
  <si>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</si>
  <si>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</si>
  <si>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</si>
  <si>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</si>
  <si>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</si>
  <si>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</si>
  <si>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</si>
  <si>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</si>
  <si>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</si>
  <si>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</si>
  <si>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</si>
  <si>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</si>
  <si>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</si>
  <si>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</si>
  <si>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</si>
  <si>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</si>
  <si>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</si>
  <si>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</si>
  <si>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</si>
  <si>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</si>
  <si>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</si>
  <si>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</si>
  <si>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</si>
  <si>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</si>
  <si>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</si>
  <si>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</si>
  <si>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</si>
  <si>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</si>
  <si>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</si>
  <si>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</si>
  <si>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</si>
  <si>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</si>
  <si>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</si>
  <si>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</si>
  <si>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</si>
  <si>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</si>
  <si>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</si>
  <si>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</si>
  <si>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C1150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</si>
  <si>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</si>
  <si>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</si>
  <si>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</si>
  <si>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</si>
  <si>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</si>
  <si>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</si>
  <si>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</si>
  <si>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</si>
  <si>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</si>
  <si>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</si>
  <si>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</si>
  <si>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</si>
  <si>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</si>
  <si>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</si>
  <si>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</si>
  <si>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</si>
  <si>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</si>
  <si>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</si>
  <si>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</si>
  <si>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</si>
  <si>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</si>
  <si>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</si>
  <si>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</si>
  <si>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</si>
  <si>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</si>
  <si>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</si>
  <si>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</si>
  <si>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</si>
  <si>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</si>
  <si>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</si>
  <si>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</si>
  <si>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</si>
  <si>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</si>
  <si>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</si>
  <si>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</si>
  <si>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</si>
  <si>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</si>
  <si>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</si>
  <si>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</si>
  <si>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</si>
  <si>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</si>
  <si>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</si>
  <si>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</si>
  <si>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</si>
  <si>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</si>
  <si>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</si>
  <si>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</si>
  <si>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</si>
  <si>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</si>
  <si>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</si>
  <si>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</si>
  <si>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</si>
  <si>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</si>
  <si>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</si>
  <si>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</si>
  <si>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</si>
  <si>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</si>
  <si>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</si>
  <si>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</si>
  <si>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</si>
  <si>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</si>
  <si>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</si>
  <si>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</si>
  <si>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</si>
  <si>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</si>
  <si>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</si>
  <si>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</si>
  <si>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</si>
  <si>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</si>
  <si>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</si>
  <si>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</si>
  <si>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</si>
  <si>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</si>
  <si>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</si>
  <si>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</si>
  <si>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</si>
  <si>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</si>
  <si>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</si>
  <si>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</si>
  <si>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</si>
  <si>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</si>
  <si>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</si>
  <si>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</si>
  <si>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</si>
  <si>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</si>
  <si>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</si>
  <si>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</si>
  <si>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</si>
  <si>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</si>
  <si>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</si>
  <si>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</si>
  <si>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</si>
  <si>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</si>
  <si>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</si>
  <si>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</si>
  <si>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</si>
  <si>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</si>
  <si>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</si>
  <si>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</si>
  <si>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</si>
  <si>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</si>
  <si>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</si>
  <si>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</si>
  <si>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</si>
  <si>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</si>
  <si>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</si>
  <si>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</si>
  <si>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</si>
  <si>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</si>
  <si>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</si>
  <si>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</si>
  <si>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</si>
  <si>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</si>
  <si>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</si>
  <si>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</si>
  <si>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</si>
  <si>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</si>
  <si>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</si>
  <si>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</si>
  <si>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</si>
  <si>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</si>
  <si>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</si>
  <si>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</si>
  <si>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</si>
  <si>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</si>
  <si>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</si>
  <si>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</si>
  <si>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</si>
  <si>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</si>
  <si>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</si>
  <si>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</si>
  <si>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</si>
  <si>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</si>
  <si>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</si>
  <si>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</si>
  <si>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</si>
  <si>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</si>
  <si>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</si>
  <si>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</si>
  <si>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</si>
  <si>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</si>
  <si>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</si>
  <si>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</si>
  <si>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</si>
  <si>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</si>
  <si>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</si>
  <si>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</si>
  <si>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</si>
  <si>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</si>
  <si>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</si>
  <si>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</si>
  <si>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C1683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</si>
  <si>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</si>
  <si>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</si>
  <si>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</si>
  <si>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</si>
  <si>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</si>
  <si>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</si>
  <si>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</si>
  <si>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</si>
  <si>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</si>
  <si>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</si>
  <si>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</si>
  <si>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</si>
  <si>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</si>
  <si>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</si>
  <si>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</si>
  <si>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</si>
  <si>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</si>
  <si>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</si>
  <si>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</si>
  <si>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</si>
  <si>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</si>
  <si>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</si>
  <si>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</si>
  <si>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</si>
  <si>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</si>
  <si>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</si>
  <si>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</si>
  <si>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</si>
  <si>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</si>
  <si>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</si>
  <si>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</si>
  <si>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</si>
  <si>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</si>
  <si>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</si>
  <si>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</si>
  <si>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</si>
  <si>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</si>
  <si>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</si>
  <si>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</si>
  <si>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</si>
  <si>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</si>
  <si>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</si>
  <si>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</si>
  <si>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</si>
  <si>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</si>
  <si>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</si>
  <si>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</si>
  <si>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</si>
  <si>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</si>
  <si>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</si>
  <si>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</si>
  <si>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</si>
  <si>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</si>
  <si>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</si>
  <si>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</si>
  <si>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</si>
  <si>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</si>
  <si>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</si>
  <si>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</si>
  <si>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</si>
  <si>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</si>
  <si>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</si>
  <si>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</si>
  <si>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</si>
  <si>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</si>
  <si>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</si>
  <si>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</si>
  <si>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</si>
  <si>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</si>
  <si>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</si>
  <si>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</si>
  <si>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</si>
  <si>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</si>
  <si>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</si>
  <si>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</si>
  <si>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</si>
  <si>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</si>
  <si>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</si>
  <si>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</si>
  <si>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</si>
  <si>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C1588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</si>
  <si>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</si>
  <si>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</si>
  <si>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</si>
  <si>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</si>
  <si>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</si>
  <si>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</si>
  <si>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</si>
  <si>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</si>
  <si>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</si>
  <si>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</si>
  <si>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</si>
  <si>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</si>
  <si>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</si>
  <si>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</si>
  <si>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</si>
  <si>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</si>
  <si>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</si>
  <si>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</si>
  <si>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</si>
  <si>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</si>
  <si>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</si>
  <si>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</si>
  <si>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</si>
  <si>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</si>
  <si>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</si>
  <si>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</si>
  <si>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</si>
  <si>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</si>
  <si>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</si>
  <si>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</si>
  <si>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</si>
  <si>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</si>
  <si>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</si>
  <si>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</si>
  <si>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</si>
  <si>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</si>
  <si>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</si>
  <si>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</si>
  <si>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</si>
  <si>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</si>
  <si>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</si>
  <si>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</si>
  <si>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</si>
  <si>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</si>
  <si>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</si>
  <si>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</si>
  <si>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</si>
  <si>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</si>
  <si>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</si>
  <si>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</si>
  <si>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</si>
  <si>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</si>
  <si>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</si>
  <si>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</si>
  <si>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</si>
  <si>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</si>
  <si>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</si>
  <si>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</si>
  <si>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</si>
  <si>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</si>
  <si>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</si>
  <si>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</si>
  <si>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</si>
  <si>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</si>
  <si>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</si>
  <si>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</si>
  <si>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</si>
  <si>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</si>
  <si>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</si>
  <si>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</si>
  <si>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</si>
  <si>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</si>
  <si>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</si>
  <si>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</si>
  <si>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</si>
  <si>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</si>
  <si>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</si>
  <si>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</si>
  <si>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</si>
  <si>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</si>
  <si>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</si>
  <si>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</si>
  <si>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</si>
  <si>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</si>
  <si>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</si>
  <si>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</si>
  <si>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</si>
  <si>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</si>
  <si>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</si>
  <si>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</si>
  <si>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</si>
  <si>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</si>
  <si>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</si>
  <si>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</si>
  <si>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</si>
  <si>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</si>
  <si>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</si>
  <si>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</si>
  <si>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</si>
  <si>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</si>
  <si>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</si>
  <si>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</si>
  <si>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</si>
  <si>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</si>
  <si>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</si>
  <si>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</si>
  <si>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</si>
  <si>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</si>
  <si>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</si>
  <si>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</si>
  <si>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</si>
  <si>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</si>
  <si>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</si>
  <si>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</si>
  <si>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</si>
  <si>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</si>
  <si>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</si>
  <si>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</si>
  <si>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</si>
  <si>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</si>
  <si>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</si>
  <si>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</si>
  <si>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</si>
  <si>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</si>
  <si>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</si>
  <si>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</si>
  <si>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</si>
  <si>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</si>
  <si>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</si>
  <si>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</si>
  <si>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</si>
  <si>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</si>
  <si>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</si>
  <si>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</si>
  <si>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</si>
  <si>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</si>
  <si>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</si>
  <si>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</si>
  <si>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</si>
  <si>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</si>
  <si>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</si>
  <si>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</si>
  <si>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</si>
  <si>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</si>
  <si>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</si>
  <si>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</si>
  <si>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</si>
  <si>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</si>
  <si>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</si>
  <si>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</si>
  <si>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</si>
  <si>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</si>
  <si>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C1627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</si>
  <si>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</si>
  <si>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</si>
  <si>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</si>
  <si>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</si>
  <si>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</si>
  <si>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</si>
  <si>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</si>
  <si>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</si>
  <si>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</si>
  <si>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</si>
  <si>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</si>
  <si>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</si>
  <si>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</si>
  <si>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</si>
  <si>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</si>
  <si>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</si>
  <si>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</si>
  <si>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</si>
  <si>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</si>
  <si>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</si>
  <si>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</si>
  <si>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</si>
  <si>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</si>
  <si>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</si>
  <si>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</si>
  <si>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</si>
  <si>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C1395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</si>
  <si>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</si>
  <si>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</si>
  <si>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</si>
  <si>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</si>
  <si>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</si>
  <si>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</si>
  <si>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</si>
  <si>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</si>
  <si>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</si>
  <si>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</si>
  <si>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</si>
  <si>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</si>
  <si>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</si>
  <si>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</si>
  <si>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</si>
  <si>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</si>
  <si>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</si>
  <si>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</si>
  <si>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</si>
  <si>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</si>
  <si>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</si>
  <si>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</si>
  <si>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</si>
  <si>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</si>
  <si>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</si>
  <si>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</si>
  <si>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</si>
  <si>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</si>
  <si>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</si>
  <si>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</si>
  <si>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</si>
  <si>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</si>
  <si>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</si>
  <si>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</si>
  <si>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</si>
  <si>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</si>
  <si>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</si>
  <si>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</si>
  <si>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</si>
  <si>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</si>
  <si>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</si>
  <si>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</si>
  <si>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</si>
  <si>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</si>
  <si>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</si>
  <si>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</si>
  <si>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</si>
  <si>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</si>
  <si>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</si>
  <si>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</si>
  <si>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</si>
  <si>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</si>
  <si>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</si>
  <si>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</si>
  <si>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</si>
  <si>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</si>
  <si>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</si>
  <si>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</si>
  <si>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</si>
  <si>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</si>
  <si>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</si>
  <si>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</si>
  <si>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</si>
  <si>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</si>
  <si>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</si>
  <si>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</si>
  <si>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</si>
  <si>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</si>
  <si>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</si>
  <si>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</si>
  <si>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</si>
  <si>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</si>
  <si>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</si>
  <si>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</si>
  <si>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</si>
  <si>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</si>
  <si>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</si>
  <si>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</si>
  <si>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</si>
  <si>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</si>
  <si>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</si>
  <si>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</si>
  <si>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</si>
  <si>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</si>
  <si>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</si>
  <si>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</si>
  <si>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</si>
  <si>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</si>
  <si>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</si>
  <si>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</si>
  <si>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</si>
  <si>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</si>
  <si>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</si>
  <si>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</si>
  <si>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</si>
  <si>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</si>
  <si>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</si>
  <si>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</si>
  <si>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</si>
  <si>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</si>
  <si>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</si>
  <si>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</si>
  <si>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</si>
  <si>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</si>
  <si>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</si>
  <si>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</si>
  <si>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</si>
  <si>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</si>
  <si>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</si>
  <si>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</si>
  <si>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</si>
  <si>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</si>
  <si>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</si>
  <si>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</si>
  <si>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</si>
  <si>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</si>
  <si>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</si>
  <si>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</si>
  <si>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</si>
  <si>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</si>
  <si>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</si>
  <si>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</si>
  <si>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</si>
  <si>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</si>
  <si>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</si>
  <si>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</si>
  <si>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</si>
  <si>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</si>
  <si>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</si>
  <si>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</si>
  <si>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</si>
  <si>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</si>
  <si>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</si>
  <si>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</si>
  <si>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</si>
  <si>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</si>
  <si>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</si>
  <si>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</si>
  <si>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</si>
  <si>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</si>
  <si>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</si>
  <si>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</si>
  <si>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</si>
  <si>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</si>
  <si>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</si>
  <si>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</si>
  <si>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</si>
  <si>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</si>
  <si>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</si>
  <si>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</si>
  <si>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</si>
  <si>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</si>
  <si>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</si>
  <si>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</si>
  <si>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</si>
  <si>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</si>
  <si>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</si>
  <si>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</si>
  <si>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</si>
  <si>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</si>
  <si>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</si>
  <si>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</si>
  <si>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</si>
  <si>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</si>
  <si>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</si>
  <si>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</si>
  <si>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</si>
  <si>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</si>
  <si>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</si>
  <si>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</si>
  <si>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</si>
  <si>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</si>
  <si>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</si>
  <si>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</si>
  <si>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</si>
  <si>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</si>
  <si>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</si>
  <si>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</si>
  <si>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</si>
  <si>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</si>
  <si>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</si>
  <si>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</si>
  <si>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</si>
  <si>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</si>
  <si>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</si>
  <si>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</si>
  <si>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</si>
  <si>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</si>
  <si>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</si>
  <si>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</si>
  <si>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</si>
  <si>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</si>
  <si>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</si>
  <si>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</si>
  <si>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</si>
  <si>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</si>
  <si>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</si>
  <si>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</si>
  <si>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</si>
  <si>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</si>
  <si>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</si>
  <si>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</si>
  <si>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</si>
  <si>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</si>
  <si>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</si>
  <si>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</si>
  <si>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</si>
  <si>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</si>
  <si>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</si>
  <si>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</si>
  <si>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</si>
  <si>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</si>
  <si>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</si>
  <si>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</si>
  <si>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</si>
  <si>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</si>
  <si>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</si>
  <si>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</si>
  <si>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</si>
  <si>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</si>
  <si>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</si>
  <si>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</si>
  <si>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</si>
  <si>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</si>
  <si>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</si>
  <si>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</si>
  <si>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</si>
  <si>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</si>
  <si>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</si>
  <si>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</si>
  <si>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</si>
  <si>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</si>
  <si>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</si>
  <si>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</si>
  <si>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</si>
  <si>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</si>
  <si>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</si>
  <si>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</si>
  <si>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</si>
  <si>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</si>
  <si>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</si>
  <si>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</si>
  <si>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</si>
  <si>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</si>
  <si>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</si>
  <si>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C1284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</si>
  <si>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</si>
  <si>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</si>
  <si>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</si>
  <si>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</si>
  <si>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</si>
  <si>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</si>
  <si>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</si>
  <si>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</si>
  <si>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</si>
  <si>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</si>
  <si>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</si>
  <si>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</si>
  <si>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</si>
  <si>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</si>
  <si>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</si>
  <si>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</si>
  <si>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</si>
  <si>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</si>
  <si>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</si>
  <si>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</si>
  <si>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</si>
  <si>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</si>
  <si>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</si>
  <si>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</si>
  <si>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</si>
  <si>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</si>
  <si>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</si>
  <si>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</si>
  <si>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</si>
  <si>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</si>
  <si>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</si>
  <si>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</si>
  <si>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</si>
  <si>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</si>
  <si>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</si>
  <si>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</si>
  <si>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</si>
  <si>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</si>
  <si>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</si>
  <si>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</si>
  <si>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</si>
  <si>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</si>
  <si>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</si>
  <si>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</si>
  <si>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</si>
  <si>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</si>
  <si>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</si>
  <si>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</si>
  <si>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</si>
  <si>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</si>
  <si>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</si>
  <si>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</si>
  <si>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</si>
  <si>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</si>
  <si>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</si>
  <si>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</si>
  <si>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</si>
  <si>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</si>
  <si>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</si>
  <si>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</si>
  <si>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</si>
  <si>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</si>
  <si>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</si>
  <si>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</si>
  <si>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</si>
  <si>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</si>
  <si>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</si>
  <si>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</si>
  <si>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</si>
  <si>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</si>
  <si>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</si>
  <si>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</si>
  <si>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</si>
  <si>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</si>
  <si>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</si>
  <si>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</si>
  <si>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</si>
  <si>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</si>
  <si>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</si>
  <si>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</si>
  <si>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</si>
  <si>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</si>
  <si>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</si>
  <si>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</si>
  <si>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</si>
  <si>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</si>
  <si>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</si>
  <si>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</si>
  <si>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</si>
  <si>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</si>
  <si>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</si>
  <si>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</si>
  <si>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</si>
  <si>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</si>
  <si>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</si>
  <si>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</si>
  <si>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</si>
  <si>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</si>
  <si>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</si>
  <si>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</si>
  <si>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</si>
  <si>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</si>
  <si>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</si>
  <si>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</si>
  <si>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C1628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</si>
  <si>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</si>
  <si>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</si>
  <si>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</si>
  <si>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</si>
  <si>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</si>
  <si>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</si>
  <si>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</si>
  <si>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</si>
  <si>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</si>
  <si>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</si>
  <si>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</si>
  <si>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</si>
  <si>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</si>
  <si>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</si>
  <si>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</si>
  <si>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</si>
  <si>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</si>
  <si>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</si>
  <si>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</si>
  <si>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</si>
  <si>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</si>
  <si>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</si>
  <si>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</si>
  <si>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</si>
  <si>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</si>
  <si>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</si>
  <si>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</si>
  <si>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</si>
  <si>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</si>
  <si>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</si>
  <si>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</si>
  <si>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C1378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</si>
  <si>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</si>
  <si>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</si>
  <si>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</si>
  <si>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</si>
  <si>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</si>
  <si>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</si>
  <si>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</si>
  <si>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</si>
  <si>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</si>
  <si>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</si>
  <si>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</si>
  <si>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</si>
  <si>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</si>
  <si>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</si>
  <si>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</si>
  <si>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</si>
  <si>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</si>
  <si>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</si>
  <si>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</si>
  <si>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</si>
  <si>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</si>
  <si>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</si>
  <si>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</si>
  <si>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</si>
  <si>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</si>
  <si>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</si>
  <si>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</si>
  <si>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</si>
  <si>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</si>
  <si>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</si>
  <si>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</si>
  <si>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</si>
  <si>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</si>
  <si>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</si>
  <si>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</si>
  <si>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</si>
  <si>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</si>
  <si>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</si>
  <si>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</si>
  <si>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</si>
  <si>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</si>
  <si>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</si>
  <si>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</si>
  <si>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</si>
  <si>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</si>
  <si>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</si>
  <si>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</si>
  <si>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</si>
  <si>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</si>
  <si>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</si>
  <si>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</si>
  <si>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</si>
  <si>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</si>
  <si>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</si>
  <si>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</si>
  <si>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</si>
  <si>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</si>
  <si>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</si>
  <si>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</si>
  <si>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</si>
  <si>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</si>
  <si>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</si>
  <si>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</si>
  <si>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</si>
  <si>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</si>
  <si>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</si>
  <si>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</si>
  <si>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</si>
  <si>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</si>
  <si>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</si>
  <si>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</si>
  <si>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</si>
  <si>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</si>
  <si>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</si>
  <si>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</si>
  <si>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</si>
  <si>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</si>
  <si>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</si>
  <si>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</si>
  <si>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</si>
  <si>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</si>
  <si>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</si>
  <si>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</si>
  <si>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</si>
  <si>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</si>
  <si>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</si>
  <si>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</si>
  <si>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</si>
  <si>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</si>
  <si>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</si>
  <si>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</si>
  <si>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</si>
  <si>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</si>
  <si>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</si>
  <si>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</si>
  <si>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</si>
  <si>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</si>
  <si>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</si>
  <si>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</si>
  <si>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</si>
  <si>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</si>
  <si>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</si>
  <si>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</si>
  <si>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</si>
  <si>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</si>
  <si>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</si>
  <si>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</si>
  <si>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</si>
  <si>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</si>
  <si>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</si>
  <si>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</si>
  <si>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</si>
  <si>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</si>
  <si>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</si>
  <si>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</si>
  <si>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</si>
  <si>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</si>
  <si>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</si>
  <si>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</si>
  <si>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</si>
  <si>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</si>
  <si>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</si>
  <si>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</si>
  <si>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</si>
  <si>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</si>
  <si>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</si>
  <si>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</si>
  <si>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</si>
  <si>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</si>
  <si>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</si>
  <si>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</si>
  <si>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</si>
  <si>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</si>
  <si>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</si>
  <si>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</si>
  <si>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</si>
  <si>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</si>
  <si>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</si>
  <si>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</si>
  <si>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</si>
  <si>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</si>
  <si>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</si>
  <si>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</si>
  <si>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</si>
  <si>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</si>
  <si>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</si>
  <si>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</si>
  <si>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</si>
  <si>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</si>
  <si>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</si>
  <si>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</si>
  <si>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</si>
  <si>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</si>
  <si>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</si>
  <si>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</si>
  <si>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</si>
  <si>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</si>
  <si>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</si>
  <si>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</si>
  <si>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</si>
  <si>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</si>
  <si>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</si>
  <si>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</si>
  <si>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</si>
  <si>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</si>
  <si>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</si>
  <si>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</si>
  <si>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</si>
  <si>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</si>
  <si>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</si>
  <si>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</si>
  <si>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</si>
  <si>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</si>
  <si>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</si>
  <si>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</si>
  <si>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</si>
  <si>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</si>
  <si>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</si>
  <si>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</si>
  <si>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</si>
  <si>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</si>
  <si>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</si>
  <si>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</si>
  <si>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</si>
  <si>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</si>
  <si>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</si>
  <si>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</si>
  <si>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</si>
  <si>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</si>
  <si>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</si>
  <si>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</si>
  <si>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</si>
  <si>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</si>
  <si>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</si>
  <si>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</si>
  <si>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</si>
  <si>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</si>
  <si>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</si>
  <si>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</si>
  <si>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</si>
  <si>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</si>
  <si>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</si>
  <si>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</si>
  <si>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</si>
  <si>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</si>
  <si>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</si>
  <si>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</si>
  <si>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</si>
  <si>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</si>
  <si>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</si>
  <si>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</si>
  <si>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</si>
  <si>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</si>
  <si>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</si>
  <si>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</si>
  <si>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</si>
  <si>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</si>
  <si>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</si>
  <si>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</si>
  <si>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</si>
  <si>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</si>
  <si>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</si>
  <si>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</si>
  <si>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</si>
  <si>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</si>
  <si>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</si>
  <si>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</si>
  <si>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</si>
  <si>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</si>
  <si>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</si>
  <si>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</si>
  <si>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</si>
  <si>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</si>
  <si>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</si>
  <si>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</si>
  <si>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</si>
  <si>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</si>
  <si>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</si>
  <si>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</si>
  <si>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</si>
  <si>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</si>
  <si>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</si>
  <si>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</si>
  <si>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</si>
  <si>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</si>
  <si>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</si>
  <si>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</si>
  <si>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</si>
  <si>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</si>
  <si>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</si>
  <si>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</si>
  <si>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</si>
  <si>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</si>
  <si>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</si>
  <si>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</si>
  <si>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</si>
  <si>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</si>
  <si>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</si>
  <si>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</si>
  <si>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</si>
  <si>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</si>
  <si>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</si>
  <si>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</si>
  <si>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</si>
  <si>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</si>
  <si>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</si>
  <si>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</si>
  <si>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</si>
  <si>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</si>
  <si>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</si>
  <si>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</si>
  <si>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</si>
  <si>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</si>
  <si>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</si>
  <si>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</si>
  <si>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</si>
  <si>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</si>
  <si>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</si>
  <si>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C1642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</si>
  <si>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</si>
  <si>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</si>
  <si>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</si>
  <si>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</si>
  <si>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</si>
  <si>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</si>
  <si>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</si>
  <si>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</si>
  <si>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</si>
  <si>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</si>
  <si>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</si>
  <si>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</si>
  <si>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</si>
  <si>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</si>
  <si>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</si>
  <si>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</si>
  <si>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</si>
  <si>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</si>
  <si>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</si>
  <si>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</si>
  <si>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</si>
  <si>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</si>
  <si>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</si>
  <si>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</si>
  <si>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</si>
  <si>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</si>
  <si>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</si>
  <si>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</si>
  <si>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</si>
  <si>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</si>
  <si>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</si>
  <si>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</si>
  <si>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</si>
  <si>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</si>
  <si>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</si>
  <si>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</si>
  <si>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</si>
  <si>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</si>
  <si>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</si>
  <si>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</si>
  <si>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</si>
  <si>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</si>
  <si>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</si>
  <si>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</si>
  <si>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</si>
  <si>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</si>
  <si>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</si>
  <si>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C1272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</si>
  <si>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</si>
  <si>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</si>
  <si>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</si>
  <si>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</si>
  <si>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</si>
  <si>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</si>
  <si>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</si>
  <si>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</si>
  <si>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</si>
  <si>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</si>
  <si>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</si>
  <si>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</si>
  <si>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</si>
  <si>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</si>
  <si>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</si>
  <si>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</si>
  <si>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</si>
  <si>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</si>
  <si>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</si>
  <si>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</si>
  <si>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</si>
  <si>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</si>
  <si>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</si>
  <si>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</si>
  <si>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</si>
  <si>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</si>
  <si>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</si>
  <si>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</si>
  <si>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</si>
  <si>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</si>
  <si>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</si>
  <si>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</si>
  <si>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</si>
  <si>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</si>
  <si>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</si>
  <si>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</si>
  <si>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</si>
  <si>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</si>
  <si>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</si>
  <si>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</si>
  <si>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</si>
  <si>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</si>
  <si>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</si>
  <si>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</si>
  <si>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</si>
  <si>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</si>
  <si>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</si>
  <si>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</si>
  <si>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</si>
  <si>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</si>
  <si>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</si>
  <si>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</si>
  <si>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</si>
  <si>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</si>
  <si>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</si>
  <si>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</si>
  <si>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</si>
  <si>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</si>
  <si>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</si>
  <si>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</si>
  <si>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</si>
  <si>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</si>
  <si>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</si>
  <si>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</si>
  <si>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</si>
  <si>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</si>
  <si>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</si>
  <si>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</si>
  <si>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</si>
  <si>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</si>
  <si>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</si>
  <si>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</si>
  <si>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</si>
  <si>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</si>
  <si>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</si>
  <si>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</si>
  <si>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</si>
  <si>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</si>
  <si>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</si>
  <si>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</si>
  <si>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</si>
  <si>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</si>
  <si>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</si>
  <si>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</si>
  <si>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</si>
  <si>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</si>
  <si>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</si>
  <si>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</si>
  <si>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</si>
  <si>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</si>
  <si>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</si>
  <si>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</si>
  <si>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</si>
  <si>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</si>
  <si>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</si>
  <si>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</si>
  <si>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</si>
  <si>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</si>
  <si>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</si>
  <si>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</si>
  <si>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</si>
  <si>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</si>
  <si>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</si>
  <si>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</si>
  <si>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</si>
  <si>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</si>
  <si>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</si>
  <si>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</si>
  <si>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</si>
  <si>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</si>
  <si>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</si>
  <si>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</si>
  <si>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</si>
  <si>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</si>
  <si>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</si>
  <si>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</si>
  <si>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</si>
  <si>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</si>
  <si>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</si>
  <si>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</si>
  <si>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</si>
  <si>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</si>
  <si>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</si>
  <si>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</si>
  <si>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</si>
  <si>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</si>
  <si>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</si>
  <si>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</si>
  <si>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</si>
  <si>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</si>
  <si>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</si>
  <si>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</si>
  <si>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</si>
  <si>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22-03-2026</t>
  </si>
  <si>
    <t>5</t>
  </si>
  <si>
    <t>799</t>
  </si>
  <si>
    <t>0.15</t>
  </si>
  <si>
    <t>Revenue</t>
  </si>
  <si>
    <t>Profit</t>
  </si>
  <si>
    <t>Total Revenue</t>
  </si>
  <si>
    <t>=SUM(SalesData[Revenue])</t>
  </si>
  <si>
    <t>Total Orders</t>
  </si>
  <si>
    <t>Units Sold</t>
  </si>
  <si>
    <t>Row Labels</t>
  </si>
  <si>
    <t>Grand Total</t>
  </si>
  <si>
    <t>Sum of Profit</t>
  </si>
  <si>
    <t>URBANCART SALES DASHBOARD</t>
  </si>
  <si>
    <t>AVERAGE ORDER VALUE</t>
  </si>
  <si>
    <t>CANCELLATION RATE</t>
  </si>
  <si>
    <t>Count of Order_ID</t>
  </si>
  <si>
    <t>TOTAL REVENUE</t>
  </si>
  <si>
    <t>TOTAL ORDERS</t>
  </si>
  <si>
    <t>Column Labels</t>
  </si>
  <si>
    <t>KEY BUSINESS INSIGHTS</t>
  </si>
  <si>
    <t>• Cancellation rate is 19.58%, indicating a significant share of orders are not completed.</t>
  </si>
  <si>
    <t>• 3,030 of 5,000 orders were delivered, while 991 were returned.</t>
  </si>
  <si>
    <t>• Audio generated the highest revenue among categories at approximately ₹66.61 lakh.</t>
  </si>
  <si>
    <t>• Accessories had the highest cancellation count at 200 orders.</t>
  </si>
  <si>
    <t>• Computer Peripherals had the highest cancellation count at 205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</si>
</sst>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rial Unicode MS"/>
    </font>
    <font>
      <b/>
      <sz val="18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1" xfId="0" applyFill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8" fontId="0" fillId="2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0" fontId="0" fillId="5" borderId="1" xfId="0" applyNumberFormat="1" applyFill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[UrbanCart_Sales_Dashboard.xlsx]Sheet7!PivotTable4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 by Category</a:t>
            </a:r>
            <a:endParaRPr lang="en-IN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Sheet7!$A$4:$A$9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Computer Peripherals</c:v>
                </c:pt>
                <c:pt idx="3">
                  <c:v>Electronics</c:v>
                </c:pt>
                <c:pt idx="4">
                  <c:v>Mobile Accessories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6290571.8000000054</c:v>
                </c:pt>
                <c:pt idx="1">
                  <c:v>6660846.3999999948</c:v>
                </c:pt>
                <c:pt idx="2">
                  <c:v>6235379.4000000032</c:v>
                </c:pt>
                <c:pt idx="3">
                  <c:v>6564730.450000003</c:v>
                </c:pt>
                <c:pt idx="4">
                  <c:v>5914798.0499999989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B-4D06-A678-9C14ED1C6F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0190016"/>
        <c:axId val="1315974160"/>
      </c:barChart>
      <c:catAx>
        <c:axId val="131019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74160"/>
        <c:crosses val="autoZero"/>
        <c:auto val="1"/>
        <c:lblAlgn val="ctr"/>
        <c:lblOffset val="100"/>
        <c:noMultiLvlLbl val="0"/>
      </c:catAx>
      <c:valAx>
        <c:axId val="13159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19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just"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[UrbanCart_Sales_Dashboard.xlsx]Sheet8!PivotTable5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Orders by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390693350831146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Sheet8!$A$4:$A$9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Computer Peripherals</c:v>
                </c:pt>
                <c:pt idx="3">
                  <c:v>Electronics</c:v>
                </c:pt>
                <c:pt idx="4">
                  <c:v>Mobile Accessories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1017</c:v>
                </c:pt>
                <c:pt idx="1">
                  <c:v>1015</c:v>
                </c:pt>
                <c:pt idx="2">
                  <c:v>1023</c:v>
                </c:pt>
                <c:pt idx="3">
                  <c:v>960</c:v>
                </c:pt>
                <c:pt idx="4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4-44F3-99E2-795E77ED68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3133824"/>
        <c:axId val="1315986640"/>
      </c:barChart>
      <c:catAx>
        <c:axId val="139313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986640"/>
        <c:crosses val="autoZero"/>
        <c:auto val="1"/>
        <c:lblAlgn val="ctr"/>
        <c:lblOffset val="100"/>
        <c:noMultiLvlLbl val="0"/>
      </c:catAx>
      <c:valAx>
        <c:axId val="131598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3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[UrbanCart_Sales_Dashboard.xlsx]Sheet9!PivotTable6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Order Status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30185524182088702"/>
          <c:w val="0.68180796150481193"/>
          <c:h val="0.412142451142651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Sheet9!$A$5:$A$10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Computer Peripherals</c:v>
                </c:pt>
                <c:pt idx="3">
                  <c:v>Electronics</c:v>
                </c:pt>
                <c:pt idx="4">
                  <c:v>Mobile Accessories</c:v>
                </c:pt>
              </c:strCache>
            </c:strRef>
          </c:cat>
          <c:val>
            <c:numRef>
              <c:f>Sheet9!$B$5:$B$10</c:f>
              <c:numCache>
                <c:formatCode>General</c:formatCode>
                <c:ptCount val="5"/>
                <c:pt idx="0">
                  <c:v>200</c:v>
                </c:pt>
                <c:pt idx="1">
                  <c:v>199</c:v>
                </c:pt>
                <c:pt idx="2">
                  <c:v>205</c:v>
                </c:pt>
                <c:pt idx="3">
                  <c:v>186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E-4340-9CFF-CB92FD9E8742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Sheet9!$A$5:$A$10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Computer Peripherals</c:v>
                </c:pt>
                <c:pt idx="3">
                  <c:v>Electronics</c:v>
                </c:pt>
                <c:pt idx="4">
                  <c:v>Mobile Accessories</c:v>
                </c:pt>
              </c:strCache>
            </c:strRef>
          </c:cat>
          <c:val>
            <c:numRef>
              <c:f>Sheet9!$C$5:$C$10</c:f>
              <c:numCache>
                <c:formatCode>General</c:formatCode>
                <c:ptCount val="5"/>
                <c:pt idx="0">
                  <c:v>597</c:v>
                </c:pt>
                <c:pt idx="1">
                  <c:v>629</c:v>
                </c:pt>
                <c:pt idx="2">
                  <c:v>613</c:v>
                </c:pt>
                <c:pt idx="3">
                  <c:v>584</c:v>
                </c:pt>
                <c:pt idx="4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E-4340-9CFF-CB92FD9E8742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Sheet9!$A$5:$A$10</c:f>
              <c:strCache>
                <c:ptCount val="5"/>
                <c:pt idx="0">
                  <c:v>Accessories</c:v>
                </c:pt>
                <c:pt idx="1">
                  <c:v>Audio</c:v>
                </c:pt>
                <c:pt idx="2">
                  <c:v>Computer Peripherals</c:v>
                </c:pt>
                <c:pt idx="3">
                  <c:v>Electronics</c:v>
                </c:pt>
                <c:pt idx="4">
                  <c:v>Mobile Accessories</c:v>
                </c:pt>
              </c:strCache>
            </c:strRef>
          </c:cat>
          <c:val>
            <c:numRef>
              <c:f>Sheet9!$D$5:$D$10</c:f>
              <c:numCache>
                <c:formatCode>General</c:formatCode>
                <c:ptCount val="5"/>
                <c:pt idx="0">
                  <c:v>220</c:v>
                </c:pt>
                <c:pt idx="1">
                  <c:v>187</c:v>
                </c:pt>
                <c:pt idx="2">
                  <c:v>205</c:v>
                </c:pt>
                <c:pt idx="3">
                  <c:v>190</c:v>
                </c:pt>
                <c:pt idx="4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E-4340-9CFF-CB92FD9E8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3249360"/>
        <c:axId val="1316025520"/>
      </c:barChart>
      <c:catAx>
        <c:axId val="139324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25520"/>
        <c:crosses val="autoZero"/>
        <c:auto val="1"/>
        <c:lblAlgn val="ctr"/>
        <c:lblOffset val="100"/>
        <c:noMultiLvlLbl val="0"/>
      </c:catAx>
      <c:valAx>
        <c:axId val="13160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24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072869887427754"/>
          <c:y val="0.78039872032125013"/>
          <c:w val="0.44984695007753189"/>
          <c:h val="0.12060155786978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5</xdr:row>
      <xdr:rowOff>7620</xdr:rowOff>
    </xdr:from>
    <xdr:to>
      <xdr:col>4</xdr:col>
      <xdr:colOff>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5DA187-6DCF-43DF-AD54-8E477B93B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5</xdr:row>
      <xdr:rowOff>7620</xdr:rowOff>
    </xdr:from>
    <xdr:to>
      <xdr:col>9</xdr:col>
      <xdr:colOff>30480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FF671F-88DC-40B7-A84C-B48E6EACE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4</xdr:row>
      <xdr:rowOff>160020</xdr:rowOff>
    </xdr:from>
    <xdr:to>
      <xdr:col>19</xdr:col>
      <xdr:colOff>472440</xdr:colOff>
      <xdr:row>22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7EBD05-2A77-477F-A332-B600A0BF9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roh" refreshedDate="46293.561796759263" createdVersion="8" refreshedVersion="8" minRefreshableVersion="3" recordCount="5000" xr:uid="{53DE2029-2DFF-4F18-909D-375702AC3BA5}">
  <cacheSource type="worksheet">
    <worksheetSource ref="A1:L5001" sheet="Raw_Data"/>
  </cacheSource>
  <cacheFields count="12">
    <cacheField name="Order_ID" numFmtId="0">
      <sharedItems/>
    </cacheField>
    <cacheField name="Order_Date" numFmtId="14">
      <sharedItems containsDate="1" containsMixedTypes="1" minDate="2026-01-01T00:00:00" maxDate="2026-10-01T00:00:00"/>
    </cacheField>
    <cacheField name="Customer_ID" numFmtId="0">
      <sharedItems/>
    </cacheField>
    <cacheField name="Product" numFmtId="0">
      <sharedItems/>
    </cacheField>
    <cacheField name="Category" numFmtId="0">
      <sharedItems count="5">
        <s v="Accessories"/>
        <s v="Electronics"/>
        <s v="Audio"/>
        <s v="Mobile Accessories"/>
        <s v="Computer Peripherals"/>
      </sharedItems>
    </cacheField>
    <cacheField name="Quantity" numFmtId="0">
      <sharedItems containsMixedTypes="1" containsNumber="1" containsInteger="1" minValue="1" maxValue="5"/>
    </cacheField>
    <cacheField name="Unit_Price" numFmtId="0">
      <sharedItems containsMixedTypes="1" containsNumber="1" containsInteger="1" minValue="499" maxValue="7999"/>
    </cacheField>
    <cacheField name="Discount" numFmtId="0">
      <sharedItems containsMixedTypes="1" containsNumber="1" minValue="0" maxValue="0.15"/>
    </cacheField>
    <cacheField name="Region" numFmtId="0">
      <sharedItems/>
    </cacheField>
    <cacheField name="Payment_Method" numFmtId="0">
      <sharedItems/>
    </cacheField>
    <cacheField name="Order_Status" numFmtId="0">
      <sharedItems count="3">
        <s v="Delivered"/>
        <s v="Returned"/>
        <s v="Cancelled"/>
      </sharedItems>
    </cacheField>
    <cacheField name="Profit" numFmtId="0">
      <sharedItems containsMixedTypes="1" containsNumber="1" minValue="424.15" maxValue="3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00001"/>
    <s v="22-03-2026"/>
    <s v="C1684"/>
    <s v="Laptop Stand"/>
    <x v="0"/>
    <s v="5"/>
    <s v="799"/>
    <s v="0.15"/>
    <s v="East"/>
    <s v="Debit Card"/>
    <x v="0"/>
    <s v="Revenue"/>
  </r>
  <r>
    <s v="ORD00002"/>
    <d v="2026-03-27T00:00:00"/>
    <s v="C1259"/>
    <s v="Monitor"/>
    <x v="1"/>
    <n v="4"/>
    <n v="999"/>
    <n v="0.15"/>
    <s v="East"/>
    <s v="Net Banking"/>
    <x v="1"/>
    <n v="3395.75"/>
  </r>
  <r>
    <s v="ORD00003"/>
    <d v="2026-07-05T00:00:00"/>
    <s v="C1541"/>
    <s v="USB-C Hub"/>
    <x v="2"/>
    <n v="2"/>
    <n v="7999"/>
    <n v="0"/>
    <s v="East"/>
    <s v="Credit Card"/>
    <x v="0"/>
    <n v="3396.6"/>
  </r>
  <r>
    <s v="ORD00004"/>
    <d v="2026-07-10T00:00:00"/>
    <s v="C1239"/>
    <s v="Power Bank"/>
    <x v="1"/>
    <n v="4"/>
    <n v="4999"/>
    <n v="0.1"/>
    <s v="Central"/>
    <s v="Debit Card"/>
    <x v="0"/>
    <n v="15998"/>
  </r>
  <r>
    <s v="ORD00005"/>
    <d v="2026-02-16T00:00:00"/>
    <s v="C1775"/>
    <s v="Laptop Stand"/>
    <x v="3"/>
    <n v="1"/>
    <n v="2499"/>
    <n v="0.15"/>
    <s v="Central"/>
    <s v="UPI"/>
    <x v="2"/>
    <n v="17996.400000000001"/>
  </r>
  <r>
    <s v="ORD00006"/>
    <d v="2026-04-11T00:00:00"/>
    <s v="C1772"/>
    <s v="Power Bank"/>
    <x v="4"/>
    <n v="2"/>
    <n v="799"/>
    <n v="0"/>
    <s v="Central"/>
    <s v="Debit Card"/>
    <x v="1"/>
    <n v="2124.15"/>
  </r>
  <r>
    <s v="ORD00007"/>
    <d v="2026-09-19T00:00:00"/>
    <s v="C1052"/>
    <s v="Bluetooth Speaker"/>
    <x v="1"/>
    <n v="4"/>
    <n v="1499"/>
    <n v="0.05"/>
    <s v="South"/>
    <s v="Net Banking"/>
    <x v="1"/>
    <n v="1598"/>
  </r>
  <r>
    <s v="ORD00008"/>
    <d v="2026-09-29T00:00:00"/>
    <s v="C1638"/>
    <s v="Laptop Stand"/>
    <x v="3"/>
    <n v="4"/>
    <n v="1499"/>
    <n v="0.05"/>
    <s v="North"/>
    <s v="Net Banking"/>
    <x v="2"/>
    <n v="5696.2"/>
  </r>
  <r>
    <s v="ORD00009"/>
    <d v="2026-01-09T00:00:00"/>
    <s v="C1154"/>
    <s v="Bluetooth Speaker"/>
    <x v="0"/>
    <n v="5"/>
    <n v="599"/>
    <n v="0.05"/>
    <s v="West"/>
    <s v="COD"/>
    <x v="0"/>
    <n v="5696.2"/>
  </r>
  <r>
    <s v="ORD00010"/>
    <d v="2026-06-28T00:00:00"/>
    <s v="C1646"/>
    <s v="USB-C Hub"/>
    <x v="2"/>
    <n v="4"/>
    <n v="7999"/>
    <n v="0"/>
    <s v="Central"/>
    <s v="UPI"/>
    <x v="0"/>
    <n v="2845.25"/>
  </r>
  <r>
    <s v="ORD00011"/>
    <d v="2026-05-25T00:00:00"/>
    <s v="C1164"/>
    <s v="Mechanical Keyboard"/>
    <x v="3"/>
    <n v="1"/>
    <n v="1299"/>
    <n v="0.05"/>
    <s v="South"/>
    <s v="Net Banking"/>
    <x v="2"/>
    <n v="31996"/>
  </r>
  <r>
    <s v="ORD00012"/>
    <d v="2026-09-15T00:00:00"/>
    <s v="C1210"/>
    <s v="Headphones"/>
    <x v="1"/>
    <n v="4"/>
    <n v="2499"/>
    <n v="0.05"/>
    <s v="North"/>
    <s v="COD"/>
    <x v="2"/>
    <n v="1234.05"/>
  </r>
  <r>
    <s v="ORD00013"/>
    <d v="2026-07-05T00:00:00"/>
    <s v="C1460"/>
    <s v="Wireless Mouse"/>
    <x v="4"/>
    <n v="2"/>
    <n v="799"/>
    <n v="0.1"/>
    <s v="North"/>
    <s v="COD"/>
    <x v="0"/>
    <n v="9496.1999999999989"/>
  </r>
  <r>
    <s v="ORD00014"/>
    <d v="2026-03-31T00:00:00"/>
    <s v="C1113"/>
    <s v="Monitor"/>
    <x v="1"/>
    <n v="1"/>
    <n v="4999"/>
    <n v="0"/>
    <s v="Central"/>
    <s v="UPI"/>
    <x v="0"/>
    <n v="1438.2"/>
  </r>
  <r>
    <s v="ORD00015"/>
    <d v="2026-09-19T00:00:00"/>
    <s v="C1488"/>
    <s v="Monitor"/>
    <x v="1"/>
    <n v="5"/>
    <n v="799"/>
    <n v="0.1"/>
    <s v="West"/>
    <s v="Credit Card"/>
    <x v="0"/>
    <n v="4999"/>
  </r>
  <r>
    <s v="ORD00016"/>
    <d v="2026-07-05T00:00:00"/>
    <s v="C1590"/>
    <s v="Mechanical Keyboard"/>
    <x v="2"/>
    <n v="1"/>
    <n v="2499"/>
    <n v="0"/>
    <s v="North"/>
    <s v="UPI"/>
    <x v="0"/>
    <n v="3595.5"/>
  </r>
  <r>
    <s v="ORD00017"/>
    <d v="2026-08-31T00:00:00"/>
    <s v="C1705"/>
    <s v="Keyboard"/>
    <x v="4"/>
    <n v="5"/>
    <n v="1499"/>
    <n v="0.1"/>
    <s v="East"/>
    <s v="UPI"/>
    <x v="0"/>
    <n v="2499"/>
  </r>
  <r>
    <s v="ORD00018"/>
    <d v="2026-01-18T00:00:00"/>
    <s v="C1728"/>
    <s v="Monitor"/>
    <x v="3"/>
    <n v="4"/>
    <n v="999"/>
    <n v="0"/>
    <s v="Central"/>
    <s v="UPI"/>
    <x v="2"/>
    <n v="6745.5"/>
  </r>
  <r>
    <s v="ORD00019"/>
    <d v="2026-04-16T00:00:00"/>
    <s v="C1556"/>
    <s v="Keyboard"/>
    <x v="0"/>
    <n v="1"/>
    <n v="2499"/>
    <n v="0"/>
    <s v="West"/>
    <s v="Credit Card"/>
    <x v="1"/>
    <n v="3996"/>
  </r>
  <r>
    <s v="ORD00020"/>
    <d v="2026-04-14T00:00:00"/>
    <s v="C1789"/>
    <s v="Webcam"/>
    <x v="4"/>
    <n v="2"/>
    <n v="7999"/>
    <n v="0"/>
    <s v="North"/>
    <s v="Debit Card"/>
    <x v="0"/>
    <n v="2499"/>
  </r>
  <r>
    <s v="ORD00021"/>
    <d v="2026-08-01T00:00:00"/>
    <s v="C1614"/>
    <s v="Headphones"/>
    <x v="3"/>
    <n v="2"/>
    <n v="4999"/>
    <n v="0.15"/>
    <s v="South"/>
    <s v="Debit Card"/>
    <x v="0"/>
    <n v="15998"/>
  </r>
  <r>
    <s v="ORD00022"/>
    <d v="2026-07-04T00:00:00"/>
    <s v="C1017"/>
    <s v="Keyboard"/>
    <x v="0"/>
    <n v="2"/>
    <n v="799"/>
    <n v="0.1"/>
    <s v="West"/>
    <s v="UPI"/>
    <x v="1"/>
    <n v="8498.2999999999993"/>
  </r>
  <r>
    <s v="ORD00023"/>
    <d v="2026-04-20T00:00:00"/>
    <s v="C1688"/>
    <s v="USB-C Hub"/>
    <x v="2"/>
    <n v="4"/>
    <n v="799"/>
    <n v="0"/>
    <s v="North"/>
    <s v="Net Banking"/>
    <x v="0"/>
    <n v="1438.2"/>
  </r>
  <r>
    <s v="ORD00024"/>
    <d v="2026-06-23T00:00:00"/>
    <s v="C1657"/>
    <s v="Mechanical Keyboard"/>
    <x v="0"/>
    <n v="1"/>
    <n v="999"/>
    <n v="0"/>
    <s v="West"/>
    <s v="Credit Card"/>
    <x v="1"/>
    <n v="3196"/>
  </r>
  <r>
    <s v="ORD00025"/>
    <d v="2026-01-24T00:00:00"/>
    <s v="C1779"/>
    <s v="Wireless Mouse"/>
    <x v="0"/>
    <n v="4"/>
    <n v="499"/>
    <n v="0"/>
    <s v="North"/>
    <s v="Debit Card"/>
    <x v="2"/>
    <n v="999"/>
  </r>
  <r>
    <s v="ORD00026"/>
    <d v="2026-04-10T00:00:00"/>
    <s v="C1317"/>
    <s v="Monitor"/>
    <x v="4"/>
    <n v="4"/>
    <n v="2499"/>
    <n v="0.05"/>
    <s v="South"/>
    <s v="UPI"/>
    <x v="1"/>
    <n v="1996"/>
  </r>
  <r>
    <s v="ORD00027"/>
    <d v="2026-06-12T00:00:00"/>
    <s v="C1029"/>
    <s v="USB-C Hub"/>
    <x v="3"/>
    <n v="4"/>
    <n v="499"/>
    <n v="0.05"/>
    <s v="East"/>
    <s v="COD"/>
    <x v="0"/>
    <n v="9496.1999999999989"/>
  </r>
  <r>
    <s v="ORD00028"/>
    <d v="2026-01-28T00:00:00"/>
    <s v="C1662"/>
    <s v="Wireless Mouse"/>
    <x v="0"/>
    <n v="4"/>
    <n v="499"/>
    <n v="0"/>
    <s v="East"/>
    <s v="UPI"/>
    <x v="0"/>
    <n v="1896.1999999999998"/>
  </r>
  <r>
    <s v="ORD00029"/>
    <d v="2026-07-29T00:00:00"/>
    <s v="C1180"/>
    <s v="Monitor"/>
    <x v="1"/>
    <n v="2"/>
    <n v="599"/>
    <n v="0"/>
    <s v="West"/>
    <s v="Debit Card"/>
    <x v="0"/>
    <n v="1996"/>
  </r>
  <r>
    <s v="ORD00030"/>
    <d v="2026-03-06T00:00:00"/>
    <s v="C1689"/>
    <s v="Monitor"/>
    <x v="0"/>
    <n v="3"/>
    <n v="999"/>
    <n v="0"/>
    <s v="East"/>
    <s v="Debit Card"/>
    <x v="2"/>
    <n v="1198"/>
  </r>
  <r>
    <s v="ORD00031"/>
    <d v="2026-01-20T00:00:00"/>
    <s v="C1280"/>
    <s v="Webcam"/>
    <x v="1"/>
    <n v="5"/>
    <n v="799"/>
    <n v="0.1"/>
    <s v="West"/>
    <s v="COD"/>
    <x v="0"/>
    <n v="2997"/>
  </r>
  <r>
    <s v="ORD00032"/>
    <d v="2026-02-28T00:00:00"/>
    <s v="C1423"/>
    <s v="Wireless Mouse"/>
    <x v="3"/>
    <n v="2"/>
    <n v="2499"/>
    <n v="0.05"/>
    <s v="East"/>
    <s v="UPI"/>
    <x v="0"/>
    <n v="3595.5"/>
  </r>
  <r>
    <s v="ORD00033"/>
    <d v="2026-08-21T00:00:00"/>
    <s v="C1019"/>
    <s v="Mechanical Keyboard"/>
    <x v="3"/>
    <n v="1"/>
    <n v="999"/>
    <n v="0"/>
    <s v="East"/>
    <s v="Net Banking"/>
    <x v="1"/>
    <n v="4748.0999999999995"/>
  </r>
  <r>
    <s v="ORD00034"/>
    <d v="2026-04-26T00:00:00"/>
    <s v="C1291"/>
    <s v="Power Bank"/>
    <x v="2"/>
    <n v="1"/>
    <n v="499"/>
    <n v="0.05"/>
    <s v="Central"/>
    <s v="Credit Card"/>
    <x v="0"/>
    <n v="999"/>
  </r>
  <r>
    <s v="ORD00035"/>
    <d v="2026-02-04T00:00:00"/>
    <s v="C1434"/>
    <s v="Wireless Mouse"/>
    <x v="2"/>
    <n v="2"/>
    <n v="1999"/>
    <n v="0"/>
    <s v="East"/>
    <s v="COD"/>
    <x v="0"/>
    <n v="474.04999999999995"/>
  </r>
  <r>
    <s v="ORD00036"/>
    <d v="2026-08-04T00:00:00"/>
    <s v="C1486"/>
    <s v="Monitor"/>
    <x v="2"/>
    <n v="1"/>
    <n v="1999"/>
    <n v="0.05"/>
    <s v="North"/>
    <s v="Credit Card"/>
    <x v="1"/>
    <n v="3998"/>
  </r>
  <r>
    <s v="ORD00037"/>
    <d v="2026-03-22T00:00:00"/>
    <s v="C1434"/>
    <s v="Bluetooth Speaker"/>
    <x v="4"/>
    <n v="5"/>
    <n v="2499"/>
    <n v="0"/>
    <s v="Central"/>
    <s v="COD"/>
    <x v="0"/>
    <n v="1899.05"/>
  </r>
  <r>
    <s v="ORD00038"/>
    <d v="2026-02-16T00:00:00"/>
    <s v="C1414"/>
    <s v="Keyboard"/>
    <x v="1"/>
    <n v="2"/>
    <n v="4999"/>
    <n v="0.15"/>
    <s v="Central"/>
    <s v="UPI"/>
    <x v="1"/>
    <n v="12495"/>
  </r>
  <r>
    <s v="ORD00039"/>
    <d v="2026-04-07T00:00:00"/>
    <s v="C1340"/>
    <s v="Webcam"/>
    <x v="1"/>
    <n v="3"/>
    <n v="4999"/>
    <n v="0"/>
    <s v="North"/>
    <s v="UPI"/>
    <x v="1"/>
    <n v="8498.2999999999993"/>
  </r>
  <r>
    <s v="ORD00040"/>
    <d v="2026-05-23T00:00:00"/>
    <s v="C1166"/>
    <s v="Wireless Mouse"/>
    <x v="3"/>
    <n v="2"/>
    <n v="1299"/>
    <n v="0.05"/>
    <s v="East"/>
    <s v="Net Banking"/>
    <x v="0"/>
    <n v="14997"/>
  </r>
  <r>
    <s v="ORD00041"/>
    <d v="2026-04-18T00:00:00"/>
    <s v="C1223"/>
    <s v="Bluetooth Speaker"/>
    <x v="3"/>
    <n v="3"/>
    <n v="4999"/>
    <n v="0.15"/>
    <s v="North"/>
    <s v="UPI"/>
    <x v="1"/>
    <n v="2468.1"/>
  </r>
  <r>
    <s v="ORD00042"/>
    <d v="2026-06-30T00:00:00"/>
    <s v="C1177"/>
    <s v="Power Bank"/>
    <x v="0"/>
    <n v="5"/>
    <n v="2499"/>
    <n v="0.15"/>
    <s v="Central"/>
    <s v="Credit Card"/>
    <x v="2"/>
    <n v="12747.449999999999"/>
  </r>
  <r>
    <s v="ORD00043"/>
    <d v="2026-09-13T00:00:00"/>
    <s v="C1147"/>
    <s v="Monitor"/>
    <x v="2"/>
    <n v="2"/>
    <n v="599"/>
    <n v="0.05"/>
    <s v="West"/>
    <s v="UPI"/>
    <x v="0"/>
    <n v="10620.75"/>
  </r>
  <r>
    <s v="ORD00044"/>
    <d v="2026-04-06T00:00:00"/>
    <s v="C1291"/>
    <s v="Wireless Mouse"/>
    <x v="0"/>
    <n v="4"/>
    <n v="999"/>
    <n v="0.1"/>
    <s v="South"/>
    <s v="COD"/>
    <x v="0"/>
    <n v="1138.0999999999999"/>
  </r>
  <r>
    <s v="ORD00045"/>
    <d v="2026-08-26T00:00:00"/>
    <s v="C1242"/>
    <s v="Bluetooth Speaker"/>
    <x v="2"/>
    <n v="5"/>
    <n v="4999"/>
    <n v="0.1"/>
    <s v="Central"/>
    <s v="Debit Card"/>
    <x v="2"/>
    <n v="3596.4"/>
  </r>
  <r>
    <s v="ORD00046"/>
    <d v="2026-02-15T00:00:00"/>
    <s v="C1125"/>
    <s v="Keyboard"/>
    <x v="4"/>
    <n v="3"/>
    <n v="599"/>
    <n v="0.1"/>
    <s v="West"/>
    <s v="Net Banking"/>
    <x v="0"/>
    <n v="22495.5"/>
  </r>
  <r>
    <s v="ORD00047"/>
    <d v="2026-03-07T00:00:00"/>
    <s v="C1755"/>
    <s v="USB-C Hub"/>
    <x v="4"/>
    <n v="4"/>
    <n v="499"/>
    <n v="0"/>
    <s v="South"/>
    <s v="Net Banking"/>
    <x v="0"/>
    <n v="1617.3"/>
  </r>
  <r>
    <s v="ORD00048"/>
    <d v="2026-03-17T00:00:00"/>
    <s v="C1068"/>
    <s v="Power Bank"/>
    <x v="4"/>
    <n v="2"/>
    <n v="799"/>
    <n v="0"/>
    <s v="Central"/>
    <s v="Net Banking"/>
    <x v="1"/>
    <n v="1996"/>
  </r>
  <r>
    <s v="ORD00049"/>
    <d v="2026-01-19T00:00:00"/>
    <s v="C1754"/>
    <s v="Bluetooth Speaker"/>
    <x v="4"/>
    <n v="5"/>
    <n v="999"/>
    <n v="0"/>
    <s v="South"/>
    <s v="Net Banking"/>
    <x v="0"/>
    <n v="1598"/>
  </r>
  <r>
    <s v="ORD00050"/>
    <d v="2026-02-09T00:00:00"/>
    <s v="C1099"/>
    <s v="Monitor"/>
    <x v="1"/>
    <n v="5"/>
    <n v="1499"/>
    <n v="0.05"/>
    <s v="South"/>
    <s v="COD"/>
    <x v="0"/>
    <n v="4995"/>
  </r>
  <r>
    <s v="ORD00051"/>
    <d v="2026-01-25T00:00:00"/>
    <s v="C1445"/>
    <s v="Wireless Mouse"/>
    <x v="0"/>
    <n v="2"/>
    <n v="1999"/>
    <n v="0"/>
    <s v="East"/>
    <s v="COD"/>
    <x v="0"/>
    <n v="7120.25"/>
  </r>
  <r>
    <s v="ORD00052"/>
    <d v="2026-01-18T00:00:00"/>
    <s v="C1282"/>
    <s v="USB-C Hub"/>
    <x v="2"/>
    <n v="5"/>
    <n v="499"/>
    <n v="0.15"/>
    <s v="West"/>
    <s v="UPI"/>
    <x v="1"/>
    <n v="3998"/>
  </r>
  <r>
    <s v="ORD00053"/>
    <d v="2026-09-22T00:00:00"/>
    <s v="C1729"/>
    <s v="Keyboard"/>
    <x v="1"/>
    <n v="1"/>
    <n v="599"/>
    <n v="0.05"/>
    <s v="South"/>
    <s v="Credit Card"/>
    <x v="1"/>
    <n v="2120.75"/>
  </r>
  <r>
    <s v="ORD00054"/>
    <d v="2026-09-12T00:00:00"/>
    <s v="C1510"/>
    <s v="Laptop Stand"/>
    <x v="3"/>
    <n v="4"/>
    <n v="7999"/>
    <n v="0.1"/>
    <s v="South"/>
    <s v="COD"/>
    <x v="0"/>
    <n v="569.04999999999995"/>
  </r>
  <r>
    <s v="ORD00055"/>
    <d v="2026-06-28T00:00:00"/>
    <s v="C1246"/>
    <s v="Headphones"/>
    <x v="4"/>
    <n v="2"/>
    <n v="1499"/>
    <n v="0.1"/>
    <s v="West"/>
    <s v="COD"/>
    <x v="0"/>
    <n v="28796.400000000001"/>
  </r>
  <r>
    <s v="ORD00056"/>
    <d v="2026-04-28T00:00:00"/>
    <s v="C1485"/>
    <s v="Keyboard"/>
    <x v="3"/>
    <n v="4"/>
    <n v="4999"/>
    <n v="0"/>
    <s v="West"/>
    <s v="COD"/>
    <x v="2"/>
    <n v="2698.2000000000003"/>
  </r>
  <r>
    <s v="ORD00057"/>
    <d v="2026-05-03T00:00:00"/>
    <s v="C1123"/>
    <s v="Keyboard"/>
    <x v="4"/>
    <n v="2"/>
    <n v="1299"/>
    <n v="0"/>
    <s v="South"/>
    <s v="Credit Card"/>
    <x v="0"/>
    <n v="19996"/>
  </r>
  <r>
    <s v="ORD00058"/>
    <d v="2026-06-22T00:00:00"/>
    <s v="C1387"/>
    <s v="USB-C Hub"/>
    <x v="2"/>
    <n v="3"/>
    <n v="7999"/>
    <n v="0"/>
    <s v="Central"/>
    <s v="Credit Card"/>
    <x v="0"/>
    <n v="2598"/>
  </r>
  <r>
    <s v="ORD00059"/>
    <d v="2026-06-17T00:00:00"/>
    <s v="C1311"/>
    <s v="Monitor"/>
    <x v="0"/>
    <n v="5"/>
    <n v="499"/>
    <n v="0.1"/>
    <s v="Central"/>
    <s v="COD"/>
    <x v="1"/>
    <n v="23997"/>
  </r>
  <r>
    <s v="ORD00060"/>
    <d v="2026-08-22T00:00:00"/>
    <s v="C1543"/>
    <s v="USB-C Hub"/>
    <x v="1"/>
    <n v="1"/>
    <n v="2499"/>
    <n v="0"/>
    <s v="East"/>
    <s v="Debit Card"/>
    <x v="2"/>
    <n v="2245.5"/>
  </r>
  <r>
    <s v="ORD00061"/>
    <d v="2026-04-19T00:00:00"/>
    <s v="C1609"/>
    <s v="Keyboard"/>
    <x v="2"/>
    <n v="1"/>
    <n v="999"/>
    <n v="0"/>
    <s v="Central"/>
    <s v="Credit Card"/>
    <x v="0"/>
    <n v="2499"/>
  </r>
  <r>
    <s v="ORD00062"/>
    <d v="2026-07-10T00:00:00"/>
    <s v="C1707"/>
    <s v="Wireless Mouse"/>
    <x v="4"/>
    <n v="1"/>
    <n v="7999"/>
    <n v="0"/>
    <s v="North"/>
    <s v="COD"/>
    <x v="0"/>
    <n v="999"/>
  </r>
  <r>
    <s v="ORD00063"/>
    <d v="2026-01-11T00:00:00"/>
    <s v="C1675"/>
    <s v="Power Bank"/>
    <x v="1"/>
    <n v="4"/>
    <n v="599"/>
    <n v="0.05"/>
    <s v="Central"/>
    <s v="Net Banking"/>
    <x v="0"/>
    <n v="7999"/>
  </r>
  <r>
    <s v="ORD00064"/>
    <d v="2026-03-25T00:00:00"/>
    <s v="C1587"/>
    <s v="USB-C Hub"/>
    <x v="2"/>
    <n v="5"/>
    <n v="7999"/>
    <n v="0"/>
    <s v="West"/>
    <s v="UPI"/>
    <x v="1"/>
    <n v="2276.1999999999998"/>
  </r>
  <r>
    <s v="ORD00065"/>
    <d v="2026-02-18T00:00:00"/>
    <s v="C1517"/>
    <s v="Power Bank"/>
    <x v="0"/>
    <n v="5"/>
    <n v="4999"/>
    <n v="0.15"/>
    <s v="Central"/>
    <s v="COD"/>
    <x v="0"/>
    <n v="39995"/>
  </r>
  <r>
    <s v="ORD00066"/>
    <d v="2026-05-22T00:00:00"/>
    <s v="C1651"/>
    <s v="Wireless Mouse"/>
    <x v="1"/>
    <n v="1"/>
    <n v="599"/>
    <n v="0.05"/>
    <s v="South"/>
    <s v="Credit Card"/>
    <x v="0"/>
    <n v="21245.75"/>
  </r>
  <r>
    <s v="ORD00067"/>
    <d v="2026-06-08T00:00:00"/>
    <s v="C1509"/>
    <s v="Headphones"/>
    <x v="0"/>
    <n v="1"/>
    <n v="599"/>
    <n v="0"/>
    <s v="South"/>
    <s v="UPI"/>
    <x v="0"/>
    <n v="569.04999999999995"/>
  </r>
  <r>
    <s v="ORD00068"/>
    <d v="2026-05-22T00:00:00"/>
    <s v="C1328"/>
    <s v="Headphones"/>
    <x v="2"/>
    <n v="5"/>
    <n v="7999"/>
    <n v="0"/>
    <s v="South"/>
    <s v="UPI"/>
    <x v="0"/>
    <n v="599"/>
  </r>
  <r>
    <s v="ORD00069"/>
    <d v="2026-06-06T00:00:00"/>
    <s v="C1070"/>
    <s v="Laptop Stand"/>
    <x v="1"/>
    <n v="5"/>
    <n v="599"/>
    <n v="0"/>
    <s v="South"/>
    <s v="Credit Card"/>
    <x v="1"/>
    <n v="39995"/>
  </r>
  <r>
    <s v="ORD00070"/>
    <d v="2026-03-30T00:00:00"/>
    <s v="C1611"/>
    <s v="Webcam"/>
    <x v="2"/>
    <n v="3"/>
    <n v="1999"/>
    <n v="0"/>
    <s v="South"/>
    <s v="Debit Card"/>
    <x v="1"/>
    <n v="2995"/>
  </r>
  <r>
    <s v="ORD00071"/>
    <d v="2026-05-13T00:00:00"/>
    <s v="C1581"/>
    <s v="Headphones"/>
    <x v="2"/>
    <n v="2"/>
    <n v="7999"/>
    <n v="0.15"/>
    <s v="North"/>
    <s v="UPI"/>
    <x v="0"/>
    <n v="5997"/>
  </r>
  <r>
    <s v="ORD00072"/>
    <d v="2026-09-16T00:00:00"/>
    <s v="C1324"/>
    <s v="Keyboard"/>
    <x v="2"/>
    <n v="2"/>
    <n v="7999"/>
    <n v="0"/>
    <s v="North"/>
    <s v="COD"/>
    <x v="0"/>
    <n v="13598.3"/>
  </r>
  <r>
    <s v="ORD00073"/>
    <d v="2026-04-24T00:00:00"/>
    <s v="C1232"/>
    <s v="USB-C Hub"/>
    <x v="0"/>
    <n v="4"/>
    <n v="1299"/>
    <n v="0.05"/>
    <s v="East"/>
    <s v="Credit Card"/>
    <x v="0"/>
    <n v="15998"/>
  </r>
  <r>
    <s v="ORD00074"/>
    <d v="2026-02-10T00:00:00"/>
    <s v="C1232"/>
    <s v="Headphones"/>
    <x v="3"/>
    <n v="1"/>
    <n v="999"/>
    <n v="0.05"/>
    <s v="Central"/>
    <s v="Net Banking"/>
    <x v="0"/>
    <n v="4936.2"/>
  </r>
  <r>
    <s v="ORD00075"/>
    <d v="2026-07-19T00:00:00"/>
    <s v="C1189"/>
    <s v="Laptop Stand"/>
    <x v="2"/>
    <n v="2"/>
    <n v="999"/>
    <n v="0.15"/>
    <s v="West"/>
    <s v="Credit Card"/>
    <x v="0"/>
    <n v="949.05"/>
  </r>
  <r>
    <s v="ORD00076"/>
    <d v="2026-06-19T00:00:00"/>
    <s v="C1283"/>
    <s v="Webcam"/>
    <x v="3"/>
    <n v="1"/>
    <n v="2499"/>
    <n v="0.15"/>
    <s v="North"/>
    <s v="UPI"/>
    <x v="0"/>
    <n v="1698.3"/>
  </r>
  <r>
    <s v="ORD00077"/>
    <d v="2026-05-14T00:00:00"/>
    <s v="C1503"/>
    <s v="Monitor"/>
    <x v="2"/>
    <n v="2"/>
    <n v="4999"/>
    <n v="0.15"/>
    <s v="West"/>
    <s v="Credit Card"/>
    <x v="0"/>
    <n v="2124.15"/>
  </r>
  <r>
    <s v="ORD00078"/>
    <d v="2026-04-11T00:00:00"/>
    <s v="C1309"/>
    <s v="Bluetooth Speaker"/>
    <x v="1"/>
    <n v="1"/>
    <n v="1499"/>
    <n v="0"/>
    <s v="East"/>
    <s v="Net Banking"/>
    <x v="0"/>
    <n v="8498.2999999999993"/>
  </r>
  <r>
    <s v="ORD00079"/>
    <d v="2026-01-28T00:00:00"/>
    <s v="C1491"/>
    <s v="Headphones"/>
    <x v="4"/>
    <n v="2"/>
    <n v="599"/>
    <n v="0.15"/>
    <s v="North"/>
    <s v="Debit Card"/>
    <x v="0"/>
    <n v="1499"/>
  </r>
  <r>
    <s v="ORD00080"/>
    <d v="2026-04-21T00:00:00"/>
    <s v="C1088"/>
    <s v="Headphones"/>
    <x v="1"/>
    <n v="1"/>
    <n v="999"/>
    <n v="0.1"/>
    <s v="East"/>
    <s v="COD"/>
    <x v="1"/>
    <n v="1018.3"/>
  </r>
  <r>
    <s v="ORD00081"/>
    <d v="2026-09-22T00:00:00"/>
    <s v="C1276"/>
    <s v="Webcam"/>
    <x v="0"/>
    <n v="3"/>
    <n v="7999"/>
    <n v="0"/>
    <s v="South"/>
    <s v="Debit Card"/>
    <x v="1"/>
    <n v="899.1"/>
  </r>
  <r>
    <s v="ORD00082"/>
    <d v="2026-07-13T00:00:00"/>
    <s v="C1600"/>
    <s v="Keyboard"/>
    <x v="2"/>
    <n v="2"/>
    <n v="4999"/>
    <n v="0.1"/>
    <s v="North"/>
    <s v="Debit Card"/>
    <x v="0"/>
    <n v="23997"/>
  </r>
  <r>
    <s v="ORD00083"/>
    <d v="2026-08-20T00:00:00"/>
    <s v="C1256"/>
    <s v="USB-C Hub"/>
    <x v="0"/>
    <n v="1"/>
    <n v="1299"/>
    <n v="0.15"/>
    <s v="North"/>
    <s v="COD"/>
    <x v="2"/>
    <n v="8998.2000000000007"/>
  </r>
  <r>
    <s v="ORD00084"/>
    <d v="2026-06-06T00:00:00"/>
    <s v="C1469"/>
    <s v="Webcam"/>
    <x v="0"/>
    <n v="3"/>
    <n v="2499"/>
    <n v="0.15"/>
    <s v="East"/>
    <s v="Credit Card"/>
    <x v="0"/>
    <n v="1104.1499999999999"/>
  </r>
  <r>
    <s v="ORD00085"/>
    <d v="2026-01-04T00:00:00"/>
    <s v="C1258"/>
    <s v="Wireless Mouse"/>
    <x v="3"/>
    <n v="4"/>
    <n v="999"/>
    <n v="0"/>
    <s v="East"/>
    <s v="COD"/>
    <x v="2"/>
    <n v="6372.45"/>
  </r>
  <r>
    <s v="ORD00086"/>
    <d v="2026-07-17T00:00:00"/>
    <s v="C1717"/>
    <s v="Power Bank"/>
    <x v="4"/>
    <n v="4"/>
    <n v="1299"/>
    <n v="0"/>
    <s v="North"/>
    <s v="Net Banking"/>
    <x v="0"/>
    <n v="3996"/>
  </r>
  <r>
    <s v="ORD00087"/>
    <d v="2026-08-16T00:00:00"/>
    <s v="C1086"/>
    <s v="USB-C Hub"/>
    <x v="4"/>
    <n v="2"/>
    <n v="1499"/>
    <n v="0.1"/>
    <s v="West"/>
    <s v="Debit Card"/>
    <x v="0"/>
    <n v="5196"/>
  </r>
  <r>
    <s v="ORD00088"/>
    <d v="2026-03-14T00:00:00"/>
    <s v="C1477"/>
    <s v="Monitor"/>
    <x v="0"/>
    <n v="4"/>
    <n v="2499"/>
    <n v="0.15"/>
    <s v="North"/>
    <s v="COD"/>
    <x v="2"/>
    <n v="2698.2000000000003"/>
  </r>
  <r>
    <s v="ORD00089"/>
    <d v="2026-03-31T00:00:00"/>
    <s v="C1557"/>
    <s v="Wireless Mouse"/>
    <x v="4"/>
    <n v="4"/>
    <n v="499"/>
    <n v="0.05"/>
    <s v="Central"/>
    <s v="COD"/>
    <x v="0"/>
    <n v="8496.6"/>
  </r>
  <r>
    <s v="ORD00090"/>
    <d v="2026-07-13T00:00:00"/>
    <s v="C1335"/>
    <s v="Wireless Mouse"/>
    <x v="3"/>
    <n v="2"/>
    <n v="2499"/>
    <n v="0.1"/>
    <s v="Central"/>
    <s v="COD"/>
    <x v="0"/>
    <n v="1896.1999999999998"/>
  </r>
  <r>
    <s v="ORD00091"/>
    <d v="2026-07-24T00:00:00"/>
    <s v="C1153"/>
    <s v="USB-C Hub"/>
    <x v="2"/>
    <n v="5"/>
    <n v="599"/>
    <n v="0.05"/>
    <s v="North"/>
    <s v="Credit Card"/>
    <x v="2"/>
    <n v="4498.2"/>
  </r>
  <r>
    <s v="ORD00092"/>
    <d v="2026-04-28T00:00:00"/>
    <s v="C1095"/>
    <s v="USB-C Hub"/>
    <x v="2"/>
    <n v="1"/>
    <n v="999"/>
    <n v="0.1"/>
    <s v="South"/>
    <s v="Debit Card"/>
    <x v="1"/>
    <n v="2845.25"/>
  </r>
  <r>
    <s v="ORD00093"/>
    <d v="2026-04-10T00:00:00"/>
    <s v="C1031"/>
    <s v="Wireless Mouse"/>
    <x v="1"/>
    <n v="2"/>
    <n v="1299"/>
    <n v="0"/>
    <s v="East"/>
    <s v="Debit Card"/>
    <x v="0"/>
    <n v="899.1"/>
  </r>
  <r>
    <s v="ORD00094"/>
    <d v="2026-09-28T00:00:00"/>
    <s v="C1772"/>
    <s v="Webcam"/>
    <x v="4"/>
    <n v="4"/>
    <n v="1299"/>
    <n v="0.1"/>
    <s v="North"/>
    <s v="Net Banking"/>
    <x v="2"/>
    <n v="2598"/>
  </r>
  <r>
    <s v="ORD00095"/>
    <d v="2026-01-25T00:00:00"/>
    <s v="C1726"/>
    <s v="Headphones"/>
    <x v="0"/>
    <n v="2"/>
    <n v="7999"/>
    <n v="0.05"/>
    <s v="Central"/>
    <s v="Net Banking"/>
    <x v="0"/>
    <n v="4676.4000000000005"/>
  </r>
  <r>
    <s v="ORD00096"/>
    <d v="2026-03-01T00:00:00"/>
    <s v="C1349"/>
    <s v="Bluetooth Speaker"/>
    <x v="4"/>
    <n v="1"/>
    <n v="2499"/>
    <n v="0.05"/>
    <s v="West"/>
    <s v="COD"/>
    <x v="2"/>
    <n v="15198.099999999999"/>
  </r>
  <r>
    <s v="ORD00097"/>
    <d v="2026-05-26T00:00:00"/>
    <s v="C1226"/>
    <s v="Bluetooth Speaker"/>
    <x v="3"/>
    <n v="3"/>
    <n v="499"/>
    <n v="0.15"/>
    <s v="Central"/>
    <s v="UPI"/>
    <x v="0"/>
    <n v="2374.0499999999997"/>
  </r>
  <r>
    <s v="ORD00098"/>
    <d v="2026-06-19T00:00:00"/>
    <s v="C1681"/>
    <s v="Keyboard"/>
    <x v="0"/>
    <n v="4"/>
    <n v="1499"/>
    <n v="0"/>
    <s v="South"/>
    <s v="Debit Card"/>
    <x v="0"/>
    <n v="1272.45"/>
  </r>
  <r>
    <s v="ORD00099"/>
    <d v="2026-03-04T00:00:00"/>
    <s v="C1609"/>
    <s v="Laptop Stand"/>
    <x v="1"/>
    <n v="1"/>
    <n v="999"/>
    <n v="0.15"/>
    <s v="East"/>
    <s v="Debit Card"/>
    <x v="0"/>
    <n v="5996"/>
  </r>
  <r>
    <s v="ORD00100"/>
    <d v="2026-03-15T00:00:00"/>
    <s v="C1675"/>
    <s v="Headphones"/>
    <x v="1"/>
    <n v="2"/>
    <n v="599"/>
    <n v="0.05"/>
    <s v="West"/>
    <s v="Net Banking"/>
    <x v="0"/>
    <n v="849.15"/>
  </r>
  <r>
    <s v="ORD00101"/>
    <d v="2026-01-18T00:00:00"/>
    <s v="C1510"/>
    <s v="Keyboard"/>
    <x v="3"/>
    <n v="3"/>
    <n v="1499"/>
    <n v="0"/>
    <s v="South"/>
    <s v="COD"/>
    <x v="0"/>
    <n v="1138.0999999999999"/>
  </r>
  <r>
    <s v="ORD00102"/>
    <d v="2026-01-09T00:00:00"/>
    <s v="C1521"/>
    <s v="Mechanical Keyboard"/>
    <x v="4"/>
    <n v="3"/>
    <n v="999"/>
    <n v="0.15"/>
    <s v="North"/>
    <s v="UPI"/>
    <x v="1"/>
    <n v="4497"/>
  </r>
  <r>
    <s v="ORD00103"/>
    <d v="2026-07-08T00:00:00"/>
    <s v="C1529"/>
    <s v="Power Bank"/>
    <x v="2"/>
    <n v="1"/>
    <n v="1499"/>
    <n v="0.1"/>
    <s v="East"/>
    <s v="Credit Card"/>
    <x v="0"/>
    <n v="2547.4499999999998"/>
  </r>
  <r>
    <s v="ORD00104"/>
    <d v="2026-02-25T00:00:00"/>
    <s v="C1157"/>
    <s v="Webcam"/>
    <x v="2"/>
    <n v="3"/>
    <n v="1299"/>
    <n v="0.1"/>
    <s v="East"/>
    <s v="Net Banking"/>
    <x v="1"/>
    <n v="1349.1000000000001"/>
  </r>
  <r>
    <s v="ORD00105"/>
    <d v="2026-04-11T00:00:00"/>
    <s v="C1348"/>
    <s v="Webcam"/>
    <x v="2"/>
    <n v="2"/>
    <n v="1999"/>
    <n v="0.05"/>
    <s v="South"/>
    <s v="COD"/>
    <x v="0"/>
    <n v="3507.3"/>
  </r>
  <r>
    <s v="ORD00106"/>
    <d v="2026-04-17T00:00:00"/>
    <s v="C1127"/>
    <s v="Bluetooth Speaker"/>
    <x v="0"/>
    <n v="3"/>
    <n v="4999"/>
    <n v="0"/>
    <s v="North"/>
    <s v="UPI"/>
    <x v="2"/>
    <n v="3798.1"/>
  </r>
  <r>
    <s v="ORD00107"/>
    <d v="2026-04-09T00:00:00"/>
    <s v="C1422"/>
    <s v="Keyboard"/>
    <x v="2"/>
    <n v="3"/>
    <n v="1999"/>
    <n v="0.1"/>
    <s v="North"/>
    <s v="UPI"/>
    <x v="0"/>
    <n v="14997"/>
  </r>
  <r>
    <s v="ORD00108"/>
    <d v="2026-04-12T00:00:00"/>
    <s v="C1579"/>
    <s v="Webcam"/>
    <x v="0"/>
    <n v="4"/>
    <n v="4999"/>
    <n v="0"/>
    <s v="Central"/>
    <s v="Debit Card"/>
    <x v="0"/>
    <n v="5397.3"/>
  </r>
  <r>
    <s v="ORD00109"/>
    <d v="2026-03-27T00:00:00"/>
    <s v="C1127"/>
    <s v="Mechanical Keyboard"/>
    <x v="4"/>
    <n v="5"/>
    <n v="4999"/>
    <n v="0.05"/>
    <s v="Central"/>
    <s v="Net Banking"/>
    <x v="0"/>
    <n v="19996"/>
  </r>
  <r>
    <s v="ORD00110"/>
    <d v="2026-02-22T00:00:00"/>
    <s v="C1125"/>
    <s v="Webcam"/>
    <x v="1"/>
    <n v="4"/>
    <n v="7999"/>
    <n v="0"/>
    <s v="Central"/>
    <s v="COD"/>
    <x v="0"/>
    <n v="23745.25"/>
  </r>
  <r>
    <s v="ORD00111"/>
    <d v="2026-08-28T00:00:00"/>
    <s v="C1582"/>
    <s v="Wireless Mouse"/>
    <x v="1"/>
    <n v="4"/>
    <n v="799"/>
    <n v="0.15"/>
    <s v="Central"/>
    <s v="UPI"/>
    <x v="2"/>
    <n v="31996"/>
  </r>
  <r>
    <s v="ORD00112"/>
    <d v="2026-06-02T00:00:00"/>
    <s v="C1479"/>
    <s v="Bluetooth Speaker"/>
    <x v="4"/>
    <n v="3"/>
    <n v="1299"/>
    <n v="0.05"/>
    <s v="Central"/>
    <s v="COD"/>
    <x v="1"/>
    <n v="2716.6"/>
  </r>
  <r>
    <s v="ORD00113"/>
    <d v="2026-03-27T00:00:00"/>
    <s v="C1111"/>
    <s v="Monitor"/>
    <x v="1"/>
    <n v="1"/>
    <n v="7999"/>
    <n v="0"/>
    <s v="East"/>
    <s v="Net Banking"/>
    <x v="0"/>
    <n v="3702.1499999999996"/>
  </r>
  <r>
    <s v="ORD00114"/>
    <d v="2026-08-16T00:00:00"/>
    <s v="C1650"/>
    <s v="Headphones"/>
    <x v="4"/>
    <n v="1"/>
    <n v="1499"/>
    <n v="0.1"/>
    <s v="West"/>
    <s v="UPI"/>
    <x v="2"/>
    <n v="7999"/>
  </r>
  <r>
    <s v="ORD00115"/>
    <d v="2026-06-22T00:00:00"/>
    <s v="C1222"/>
    <s v="Keyboard"/>
    <x v="4"/>
    <n v="4"/>
    <n v="1299"/>
    <n v="0.1"/>
    <s v="North"/>
    <s v="Net Banking"/>
    <x v="0"/>
    <n v="1349.1000000000001"/>
  </r>
  <r>
    <s v="ORD00116"/>
    <d v="2026-09-27T00:00:00"/>
    <s v="C1224"/>
    <s v="Laptop Stand"/>
    <x v="2"/>
    <n v="2"/>
    <n v="599"/>
    <n v="0.1"/>
    <s v="West"/>
    <s v="Debit Card"/>
    <x v="0"/>
    <n v="4676.4000000000005"/>
  </r>
  <r>
    <s v="ORD00117"/>
    <d v="2026-09-27T00:00:00"/>
    <s v="C1691"/>
    <s v="Monitor"/>
    <x v="3"/>
    <n v="1"/>
    <n v="4999"/>
    <n v="0.1"/>
    <s v="North"/>
    <s v="Net Banking"/>
    <x v="1"/>
    <n v="1078.2"/>
  </r>
  <r>
    <s v="ORD00118"/>
    <d v="2026-01-19T00:00:00"/>
    <s v="C1480"/>
    <s v="Bluetooth Speaker"/>
    <x v="0"/>
    <n v="5"/>
    <n v="2499"/>
    <n v="0.05"/>
    <s v="Central"/>
    <s v="Debit Card"/>
    <x v="1"/>
    <n v="4499.1000000000004"/>
  </r>
  <r>
    <s v="ORD00119"/>
    <d v="2026-08-30T00:00:00"/>
    <s v="C1406"/>
    <s v="Keyboard"/>
    <x v="1"/>
    <n v="2"/>
    <n v="799"/>
    <n v="0"/>
    <s v="West"/>
    <s v="COD"/>
    <x v="0"/>
    <n v="11870.25"/>
  </r>
  <r>
    <s v="ORD00120"/>
    <d v="2026-07-02T00:00:00"/>
    <s v="C1191"/>
    <s v="Laptop Stand"/>
    <x v="4"/>
    <n v="4"/>
    <n v="1499"/>
    <n v="0.05"/>
    <s v="Central"/>
    <s v="Net Banking"/>
    <x v="2"/>
    <n v="1598"/>
  </r>
  <r>
    <s v="ORD00121"/>
    <d v="2026-02-17T00:00:00"/>
    <s v="C1321"/>
    <s v="Headphones"/>
    <x v="0"/>
    <n v="2"/>
    <n v="599"/>
    <n v="0"/>
    <s v="West"/>
    <s v="Net Banking"/>
    <x v="0"/>
    <n v="5696.2"/>
  </r>
  <r>
    <s v="ORD00122"/>
    <d v="2026-07-22T00:00:00"/>
    <s v="C1710"/>
    <s v="Webcam"/>
    <x v="4"/>
    <n v="5"/>
    <n v="999"/>
    <n v="0.15"/>
    <s v="East"/>
    <s v="UPI"/>
    <x v="0"/>
    <n v="1198"/>
  </r>
  <r>
    <s v="ORD00123"/>
    <d v="2026-09-14T00:00:00"/>
    <s v="C1608"/>
    <s v="USB-C Hub"/>
    <x v="3"/>
    <n v="3"/>
    <n v="999"/>
    <n v="0.1"/>
    <s v="West"/>
    <s v="Net Banking"/>
    <x v="0"/>
    <n v="4245.75"/>
  </r>
  <r>
    <s v="ORD00124"/>
    <d v="2026-03-15T00:00:00"/>
    <s v="C1204"/>
    <s v="Laptop Stand"/>
    <x v="1"/>
    <n v="4"/>
    <n v="499"/>
    <n v="0"/>
    <s v="East"/>
    <s v="Debit Card"/>
    <x v="0"/>
    <n v="2697.3"/>
  </r>
  <r>
    <s v="ORD00125"/>
    <d v="2026-06-21T00:00:00"/>
    <s v="C1310"/>
    <s v="Webcam"/>
    <x v="0"/>
    <n v="4"/>
    <n v="1299"/>
    <n v="0.1"/>
    <s v="North"/>
    <s v="COD"/>
    <x v="2"/>
    <n v="1996"/>
  </r>
  <r>
    <s v="ORD00126"/>
    <d v="2026-02-10T00:00:00"/>
    <s v="C1316"/>
    <s v="Bluetooth Speaker"/>
    <x v="0"/>
    <n v="5"/>
    <n v="599"/>
    <n v="0.1"/>
    <s v="East"/>
    <s v="Debit Card"/>
    <x v="0"/>
    <n v="4676.4000000000005"/>
  </r>
  <r>
    <s v="ORD00127"/>
    <d v="2026-08-05T00:00:00"/>
    <s v="C1571"/>
    <s v="Headphones"/>
    <x v="2"/>
    <n v="5"/>
    <n v="7999"/>
    <n v="0"/>
    <s v="North"/>
    <s v="UPI"/>
    <x v="1"/>
    <n v="2695.5"/>
  </r>
  <r>
    <s v="ORD00128"/>
    <d v="2026-06-22T00:00:00"/>
    <s v="C1184"/>
    <s v="Keyboard"/>
    <x v="2"/>
    <n v="3"/>
    <n v="1499"/>
    <n v="0"/>
    <s v="Central"/>
    <s v="Credit Card"/>
    <x v="2"/>
    <n v="39995"/>
  </r>
  <r>
    <s v="ORD00129"/>
    <d v="2026-02-10T00:00:00"/>
    <s v="C1257"/>
    <s v="Keyboard"/>
    <x v="4"/>
    <n v="4"/>
    <n v="1499"/>
    <n v="0.1"/>
    <s v="East"/>
    <s v="COD"/>
    <x v="2"/>
    <n v="4497"/>
  </r>
  <r>
    <s v="ORD00130"/>
    <d v="2026-06-27T00:00:00"/>
    <s v="C1306"/>
    <s v="Laptop Stand"/>
    <x v="1"/>
    <n v="2"/>
    <n v="499"/>
    <n v="0.05"/>
    <s v="North"/>
    <s v="UPI"/>
    <x v="2"/>
    <n v="5396.4000000000005"/>
  </r>
  <r>
    <s v="ORD00131"/>
    <d v="2026-06-24T00:00:00"/>
    <s v="C1422"/>
    <s v="Power Bank"/>
    <x v="0"/>
    <n v="5"/>
    <n v="1499"/>
    <n v="0.05"/>
    <s v="Central"/>
    <s v="Net Banking"/>
    <x v="0"/>
    <n v="948.09999999999991"/>
  </r>
  <r>
    <s v="ORD00132"/>
    <d v="2026-05-16T00:00:00"/>
    <s v="C1637"/>
    <s v="USB-C Hub"/>
    <x v="2"/>
    <n v="5"/>
    <n v="1499"/>
    <n v="0.15"/>
    <s v="West"/>
    <s v="Debit Card"/>
    <x v="0"/>
    <n v="7120.25"/>
  </r>
  <r>
    <s v="ORD00133"/>
    <d v="2026-05-08T00:00:00"/>
    <s v="C1381"/>
    <s v="Monitor"/>
    <x v="3"/>
    <n v="5"/>
    <n v="599"/>
    <n v="0"/>
    <s v="Central"/>
    <s v="UPI"/>
    <x v="1"/>
    <n v="6370.75"/>
  </r>
  <r>
    <s v="ORD00134"/>
    <d v="2026-05-19T00:00:00"/>
    <s v="C1526"/>
    <s v="Bluetooth Speaker"/>
    <x v="0"/>
    <n v="1"/>
    <n v="1499"/>
    <n v="0"/>
    <s v="South"/>
    <s v="UPI"/>
    <x v="2"/>
    <n v="2995"/>
  </r>
  <r>
    <s v="ORD00135"/>
    <d v="2026-01-09T00:00:00"/>
    <s v="C1721"/>
    <s v="Headphones"/>
    <x v="1"/>
    <n v="3"/>
    <n v="2499"/>
    <n v="0.15"/>
    <s v="Central"/>
    <s v="Credit Card"/>
    <x v="0"/>
    <n v="1499"/>
  </r>
  <r>
    <s v="ORD00136"/>
    <d v="2026-01-15T00:00:00"/>
    <s v="C1370"/>
    <s v="Monitor"/>
    <x v="1"/>
    <n v="3"/>
    <n v="1499"/>
    <n v="0"/>
    <s v="South"/>
    <s v="Net Banking"/>
    <x v="0"/>
    <n v="6372.45"/>
  </r>
  <r>
    <s v="ORD00137"/>
    <d v="2026-07-13T00:00:00"/>
    <s v="C1589"/>
    <s v="Wireless Mouse"/>
    <x v="2"/>
    <n v="5"/>
    <n v="599"/>
    <n v="0.05"/>
    <s v="Central"/>
    <s v="Net Banking"/>
    <x v="0"/>
    <n v="4497"/>
  </r>
  <r>
    <s v="ORD00138"/>
    <d v="2026-02-23T00:00:00"/>
    <s v="C1170"/>
    <s v="Headphones"/>
    <x v="1"/>
    <n v="2"/>
    <n v="2499"/>
    <n v="0.05"/>
    <s v="North"/>
    <s v="Net Banking"/>
    <x v="0"/>
    <n v="2845.25"/>
  </r>
  <r>
    <s v="ORD00139"/>
    <d v="2026-02-14T00:00:00"/>
    <s v="C1783"/>
    <s v="USB-C Hub"/>
    <x v="3"/>
    <n v="1"/>
    <n v="7999"/>
    <n v="0.1"/>
    <s v="Central"/>
    <s v="Net Banking"/>
    <x v="0"/>
    <n v="4748.0999999999995"/>
  </r>
  <r>
    <s v="ORD00140"/>
    <d v="2026-04-06T00:00:00"/>
    <s v="C1403"/>
    <s v="Mechanical Keyboard"/>
    <x v="0"/>
    <n v="3"/>
    <n v="4999"/>
    <n v="0.1"/>
    <s v="North"/>
    <s v="Net Banking"/>
    <x v="0"/>
    <n v="7199.1"/>
  </r>
  <r>
    <s v="ORD00141"/>
    <d v="2026-07-13T00:00:00"/>
    <s v="C1585"/>
    <s v="USB-C Hub"/>
    <x v="4"/>
    <n v="5"/>
    <n v="499"/>
    <n v="0.1"/>
    <s v="North"/>
    <s v="UPI"/>
    <x v="0"/>
    <n v="13497.300000000001"/>
  </r>
  <r>
    <s v="ORD00142"/>
    <d v="2026-06-05T00:00:00"/>
    <s v="C1101"/>
    <s v="Power Bank"/>
    <x v="1"/>
    <n v="5"/>
    <n v="1499"/>
    <n v="0.1"/>
    <s v="East"/>
    <s v="COD"/>
    <x v="2"/>
    <n v="2245.5"/>
  </r>
  <r>
    <s v="ORD00143"/>
    <d v="2026-01-04T00:00:00"/>
    <s v="C1740"/>
    <s v="Bluetooth Speaker"/>
    <x v="4"/>
    <n v="5"/>
    <n v="7999"/>
    <n v="0"/>
    <s v="West"/>
    <s v="UPI"/>
    <x v="2"/>
    <n v="6745.5"/>
  </r>
  <r>
    <s v="ORD00144"/>
    <d v="2026-01-07T00:00:00"/>
    <s v="C1425"/>
    <s v="Wireless Mouse"/>
    <x v="1"/>
    <n v="1"/>
    <n v="499"/>
    <n v="0"/>
    <s v="West"/>
    <s v="COD"/>
    <x v="0"/>
    <n v="39995"/>
  </r>
  <r>
    <s v="ORD00145"/>
    <d v="2026-06-08T00:00:00"/>
    <s v="C1471"/>
    <s v="Monitor"/>
    <x v="0"/>
    <n v="5"/>
    <n v="999"/>
    <n v="0"/>
    <s v="North"/>
    <s v="Net Banking"/>
    <x v="0"/>
    <n v="499"/>
  </r>
  <r>
    <s v="ORD00146"/>
    <d v="2026-04-13T00:00:00"/>
    <s v="C1344"/>
    <s v="Monitor"/>
    <x v="1"/>
    <n v="1"/>
    <n v="1499"/>
    <n v="0.1"/>
    <s v="West"/>
    <s v="UPI"/>
    <x v="2"/>
    <n v="4995"/>
  </r>
  <r>
    <s v="ORD00147"/>
    <d v="2026-04-15T00:00:00"/>
    <s v="C1670"/>
    <s v="Wireless Mouse"/>
    <x v="2"/>
    <n v="5"/>
    <n v="599"/>
    <n v="0.1"/>
    <s v="Central"/>
    <s v="Net Banking"/>
    <x v="0"/>
    <n v="1349.1000000000001"/>
  </r>
  <r>
    <s v="ORD00148"/>
    <d v="2026-04-22T00:00:00"/>
    <s v="C1488"/>
    <s v="Monitor"/>
    <x v="3"/>
    <n v="5"/>
    <n v="599"/>
    <n v="0.15"/>
    <s v="South"/>
    <s v="Credit Card"/>
    <x v="0"/>
    <n v="2695.5"/>
  </r>
  <r>
    <s v="ORD00149"/>
    <d v="2026-02-10T00:00:00"/>
    <s v="C1565"/>
    <s v="Power Bank"/>
    <x v="2"/>
    <n v="4"/>
    <n v="799"/>
    <n v="0"/>
    <s v="North"/>
    <s v="Credit Card"/>
    <x v="0"/>
    <n v="2545.75"/>
  </r>
  <r>
    <s v="ORD00150"/>
    <d v="2026-07-22T00:00:00"/>
    <s v="C1409"/>
    <s v="Power Bank"/>
    <x v="2"/>
    <n v="3"/>
    <n v="1499"/>
    <n v="0"/>
    <s v="East"/>
    <s v="Net Banking"/>
    <x v="1"/>
    <n v="3196"/>
  </r>
  <r>
    <s v="ORD00151"/>
    <d v="2026-08-15T00:00:00"/>
    <s v="C1592"/>
    <s v="USB-C Hub"/>
    <x v="2"/>
    <n v="2"/>
    <n v="599"/>
    <n v="0.05"/>
    <s v="South"/>
    <s v="UPI"/>
    <x v="0"/>
    <n v="4497"/>
  </r>
  <r>
    <s v="ORD00152"/>
    <d v="2026-07-05T00:00:00"/>
    <s v="C1548"/>
    <s v="Laptop Stand"/>
    <x v="0"/>
    <n v="3"/>
    <n v="1299"/>
    <n v="0"/>
    <s v="South"/>
    <s v="Debit Card"/>
    <x v="0"/>
    <n v="1138.0999999999999"/>
  </r>
  <r>
    <s v="ORD00153"/>
    <d v="2026-03-22T00:00:00"/>
    <s v="C1362"/>
    <s v="Headphones"/>
    <x v="2"/>
    <n v="1"/>
    <n v="7999"/>
    <n v="0.15"/>
    <s v="East"/>
    <s v="Net Banking"/>
    <x v="2"/>
    <n v="3897"/>
  </r>
  <r>
    <s v="ORD00154"/>
    <d v="2026-01-09T00:00:00"/>
    <s v="C1637"/>
    <s v="Monitor"/>
    <x v="3"/>
    <n v="1"/>
    <n v="599"/>
    <n v="0.15"/>
    <s v="East"/>
    <s v="Credit Card"/>
    <x v="1"/>
    <n v="6799.15"/>
  </r>
  <r>
    <s v="ORD00155"/>
    <d v="2026-07-27T00:00:00"/>
    <s v="C1610"/>
    <s v="Power Bank"/>
    <x v="0"/>
    <n v="4"/>
    <n v="599"/>
    <n v="0.1"/>
    <s v="Central"/>
    <s v="UPI"/>
    <x v="2"/>
    <n v="509.15"/>
  </r>
  <r>
    <s v="ORD00156"/>
    <d v="2026-05-25T00:00:00"/>
    <s v="C1737"/>
    <s v="Mechanical Keyboard"/>
    <x v="1"/>
    <n v="4"/>
    <n v="1499"/>
    <n v="0"/>
    <s v="South"/>
    <s v="Debit Card"/>
    <x v="0"/>
    <n v="2156.4"/>
  </r>
  <r>
    <s v="ORD00157"/>
    <d v="2026-04-07T00:00:00"/>
    <s v="C1590"/>
    <s v="Wireless Mouse"/>
    <x v="0"/>
    <n v="3"/>
    <n v="7999"/>
    <n v="0.15"/>
    <s v="West"/>
    <s v="Debit Card"/>
    <x v="0"/>
    <n v="5996"/>
  </r>
  <r>
    <s v="ORD00158"/>
    <d v="2026-03-02T00:00:00"/>
    <s v="C1443"/>
    <s v="Headphones"/>
    <x v="0"/>
    <n v="4"/>
    <n v="1299"/>
    <n v="0.1"/>
    <s v="South"/>
    <s v="Debit Card"/>
    <x v="0"/>
    <n v="20397.45"/>
  </r>
  <r>
    <s v="ORD00159"/>
    <d v="2026-09-10T00:00:00"/>
    <s v="C1285"/>
    <s v="Monitor"/>
    <x v="2"/>
    <n v="1"/>
    <n v="1499"/>
    <n v="0"/>
    <s v="East"/>
    <s v="UPI"/>
    <x v="0"/>
    <n v="4676.4000000000005"/>
  </r>
  <r>
    <s v="ORD00160"/>
    <d v="2026-01-15T00:00:00"/>
    <s v="C1336"/>
    <s v="Monitor"/>
    <x v="0"/>
    <n v="4"/>
    <n v="799"/>
    <n v="0.1"/>
    <s v="North"/>
    <s v="Net Banking"/>
    <x v="0"/>
    <n v="1499"/>
  </r>
  <r>
    <s v="ORD00161"/>
    <d v="2026-03-18T00:00:00"/>
    <s v="C1598"/>
    <s v="Wireless Mouse"/>
    <x v="4"/>
    <n v="3"/>
    <n v="999"/>
    <n v="0"/>
    <s v="East"/>
    <s v="Net Banking"/>
    <x v="0"/>
    <n v="2876.4"/>
  </r>
  <r>
    <s v="ORD00162"/>
    <d v="2026-09-18T00:00:00"/>
    <s v="C1785"/>
    <s v="Headphones"/>
    <x v="1"/>
    <n v="5"/>
    <n v="1299"/>
    <n v="0.1"/>
    <s v="South"/>
    <s v="Credit Card"/>
    <x v="1"/>
    <n v="2997"/>
  </r>
  <r>
    <s v="ORD00163"/>
    <d v="2026-06-22T00:00:00"/>
    <s v="C1331"/>
    <s v="Keyboard"/>
    <x v="3"/>
    <n v="1"/>
    <n v="1999"/>
    <n v="0"/>
    <s v="Central"/>
    <s v="UPI"/>
    <x v="0"/>
    <n v="5845.5"/>
  </r>
  <r>
    <s v="ORD00164"/>
    <d v="2026-07-04T00:00:00"/>
    <s v="C1661"/>
    <s v="Power Bank"/>
    <x v="2"/>
    <n v="1"/>
    <n v="599"/>
    <n v="0"/>
    <s v="West"/>
    <s v="Credit Card"/>
    <x v="2"/>
    <n v="1999"/>
  </r>
  <r>
    <s v="ORD00165"/>
    <d v="2026-05-21T00:00:00"/>
    <s v="C1562"/>
    <s v="Monitor"/>
    <x v="3"/>
    <n v="1"/>
    <n v="2499"/>
    <n v="0"/>
    <s v="North"/>
    <s v="Credit Card"/>
    <x v="2"/>
    <n v="599"/>
  </r>
  <r>
    <s v="ORD00166"/>
    <d v="2026-08-09T00:00:00"/>
    <s v="C1546"/>
    <s v="Webcam"/>
    <x v="3"/>
    <n v="5"/>
    <n v="1299"/>
    <n v="0.1"/>
    <s v="North"/>
    <s v="COD"/>
    <x v="1"/>
    <n v="2499"/>
  </r>
  <r>
    <s v="ORD00167"/>
    <d v="2026-06-24T00:00:00"/>
    <s v="C1446"/>
    <s v="USB-C Hub"/>
    <x v="2"/>
    <n v="5"/>
    <n v="599"/>
    <n v="0.05"/>
    <s v="West"/>
    <s v="UPI"/>
    <x v="2"/>
    <n v="5845.5"/>
  </r>
  <r>
    <s v="ORD00168"/>
    <d v="2026-03-25T00:00:00"/>
    <s v="C1419"/>
    <s v="Mechanical Keyboard"/>
    <x v="0"/>
    <n v="5"/>
    <n v="4999"/>
    <n v="0.05"/>
    <s v="West"/>
    <s v="Credit Card"/>
    <x v="2"/>
    <n v="2845.25"/>
  </r>
  <r>
    <s v="ORD00169"/>
    <d v="2026-01-09T00:00:00"/>
    <s v="C1258"/>
    <s v="Webcam"/>
    <x v="2"/>
    <n v="1"/>
    <n v="499"/>
    <n v="0.05"/>
    <s v="West"/>
    <s v="Debit Card"/>
    <x v="0"/>
    <n v="23745.25"/>
  </r>
  <r>
    <s v="ORD00170"/>
    <d v="2026-07-09T00:00:00"/>
    <s v="C1199"/>
    <s v="Mechanical Keyboard"/>
    <x v="2"/>
    <n v="2"/>
    <n v="1499"/>
    <n v="0.15"/>
    <s v="West"/>
    <s v="UPI"/>
    <x v="2"/>
    <n v="474.04999999999995"/>
  </r>
  <r>
    <s v="ORD00171"/>
    <d v="2026-04-02T00:00:00"/>
    <s v="C1625"/>
    <s v="USB-C Hub"/>
    <x v="1"/>
    <n v="5"/>
    <n v="4999"/>
    <n v="0.15"/>
    <s v="East"/>
    <s v="Credit Card"/>
    <x v="0"/>
    <n v="2548.2999999999997"/>
  </r>
  <r>
    <s v="ORD00172"/>
    <d v="2026-05-14T00:00:00"/>
    <s v="C1785"/>
    <s v="Wireless Mouse"/>
    <x v="3"/>
    <n v="2"/>
    <n v="1999"/>
    <n v="0"/>
    <s v="West"/>
    <s v="Net Banking"/>
    <x v="0"/>
    <n v="21245.75"/>
  </r>
  <r>
    <s v="ORD00173"/>
    <d v="2026-07-21T00:00:00"/>
    <s v="C1623"/>
    <s v="Keyboard"/>
    <x v="0"/>
    <n v="5"/>
    <n v="4999"/>
    <n v="0.1"/>
    <s v="North"/>
    <s v="UPI"/>
    <x v="0"/>
    <n v="3998"/>
  </r>
  <r>
    <s v="ORD00174"/>
    <d v="2026-04-30T00:00:00"/>
    <s v="C1017"/>
    <s v="Keyboard"/>
    <x v="1"/>
    <n v="2"/>
    <n v="2499"/>
    <n v="0"/>
    <s v="East"/>
    <s v="COD"/>
    <x v="1"/>
    <n v="22495.5"/>
  </r>
  <r>
    <s v="ORD00175"/>
    <d v="2026-08-02T00:00:00"/>
    <s v="C1494"/>
    <s v="Headphones"/>
    <x v="2"/>
    <n v="4"/>
    <n v="599"/>
    <n v="0.1"/>
    <s v="East"/>
    <s v="Net Banking"/>
    <x v="0"/>
    <n v="4998"/>
  </r>
  <r>
    <s v="ORD00176"/>
    <d v="2026-05-07T00:00:00"/>
    <s v="C1377"/>
    <s v="Monitor"/>
    <x v="0"/>
    <n v="4"/>
    <n v="799"/>
    <n v="0.15"/>
    <s v="East"/>
    <s v="Credit Card"/>
    <x v="0"/>
    <n v="2156.4"/>
  </r>
  <r>
    <s v="ORD00177"/>
    <d v="2026-03-27T00:00:00"/>
    <s v="C1271"/>
    <s v="Keyboard"/>
    <x v="1"/>
    <n v="5"/>
    <n v="2499"/>
    <n v="0"/>
    <s v="East"/>
    <s v="Debit Card"/>
    <x v="1"/>
    <n v="2716.6"/>
  </r>
  <r>
    <s v="ORD00178"/>
    <d v="2026-07-24T00:00:00"/>
    <s v="C1467"/>
    <s v="Laptop Stand"/>
    <x v="2"/>
    <n v="2"/>
    <n v="799"/>
    <n v="0.05"/>
    <s v="South"/>
    <s v="Net Banking"/>
    <x v="0"/>
    <n v="12495"/>
  </r>
  <r>
    <s v="ORD00179"/>
    <d v="2026-01-21T00:00:00"/>
    <s v="C1453"/>
    <s v="Webcam"/>
    <x v="2"/>
    <n v="5"/>
    <n v="1299"/>
    <n v="0.1"/>
    <s v="East"/>
    <s v="UPI"/>
    <x v="0"/>
    <n v="1518.1"/>
  </r>
  <r>
    <s v="ORD00180"/>
    <d v="2026-01-04T00:00:00"/>
    <s v="C1063"/>
    <s v="Monitor"/>
    <x v="0"/>
    <n v="1"/>
    <n v="1299"/>
    <n v="0"/>
    <s v="West"/>
    <s v="Net Banking"/>
    <x v="0"/>
    <n v="5845.5"/>
  </r>
  <r>
    <s v="ORD00181"/>
    <d v="2026-04-14T00:00:00"/>
    <s v="C1550"/>
    <s v="Webcam"/>
    <x v="2"/>
    <n v="1"/>
    <n v="1299"/>
    <n v="0.05"/>
    <s v="South"/>
    <s v="COD"/>
    <x v="0"/>
    <n v="1299"/>
  </r>
  <r>
    <s v="ORD00182"/>
    <d v="2026-04-27T00:00:00"/>
    <s v="C1003"/>
    <s v="Headphones"/>
    <x v="0"/>
    <n v="3"/>
    <n v="1299"/>
    <n v="0"/>
    <s v="West"/>
    <s v="Credit Card"/>
    <x v="0"/>
    <n v="1234.05"/>
  </r>
  <r>
    <s v="ORD00183"/>
    <d v="2026-09-29T00:00:00"/>
    <s v="C1177"/>
    <s v="Wireless Mouse"/>
    <x v="4"/>
    <n v="4"/>
    <n v="999"/>
    <n v="0.1"/>
    <s v="East"/>
    <s v="UPI"/>
    <x v="0"/>
    <n v="3897"/>
  </r>
  <r>
    <s v="ORD00184"/>
    <d v="2026-01-06T00:00:00"/>
    <s v="C1383"/>
    <s v="Mechanical Keyboard"/>
    <x v="0"/>
    <n v="1"/>
    <n v="1499"/>
    <n v="0.1"/>
    <s v="East"/>
    <s v="UPI"/>
    <x v="0"/>
    <n v="3596.4"/>
  </r>
  <r>
    <s v="ORD00185"/>
    <d v="2026-03-28T00:00:00"/>
    <s v="C1310"/>
    <s v="Headphones"/>
    <x v="1"/>
    <n v="3"/>
    <n v="499"/>
    <n v="0"/>
    <s v="East"/>
    <s v="COD"/>
    <x v="0"/>
    <n v="1349.1000000000001"/>
  </r>
  <r>
    <s v="ORD00186"/>
    <d v="2026-09-03T00:00:00"/>
    <s v="C1035"/>
    <s v="Webcam"/>
    <x v="0"/>
    <n v="3"/>
    <n v="7999"/>
    <n v="0.15"/>
    <s v="South"/>
    <s v="Debit Card"/>
    <x v="0"/>
    <n v="1497"/>
  </r>
  <r>
    <s v="ORD00187"/>
    <d v="2026-04-06T00:00:00"/>
    <s v="C1290"/>
    <s v="USB-C Hub"/>
    <x v="0"/>
    <n v="1"/>
    <n v="4999"/>
    <n v="0"/>
    <s v="East"/>
    <s v="Debit Card"/>
    <x v="0"/>
    <n v="20397.45"/>
  </r>
  <r>
    <s v="ORD00188"/>
    <d v="2026-06-03T00:00:00"/>
    <s v="C1663"/>
    <s v="Mechanical Keyboard"/>
    <x v="4"/>
    <n v="3"/>
    <n v="7999"/>
    <n v="0.15"/>
    <s v="North"/>
    <s v="Credit Card"/>
    <x v="0"/>
    <n v="4999"/>
  </r>
  <r>
    <s v="ORD00189"/>
    <d v="2026-06-10T00:00:00"/>
    <s v="C1199"/>
    <s v="Monitor"/>
    <x v="0"/>
    <n v="4"/>
    <n v="2499"/>
    <n v="0.1"/>
    <s v="West"/>
    <s v="Credit Card"/>
    <x v="1"/>
    <n v="20397.45"/>
  </r>
  <r>
    <s v="ORD00190"/>
    <d v="2026-04-23T00:00:00"/>
    <s v="C1508"/>
    <s v="Power Bank"/>
    <x v="4"/>
    <n v="5"/>
    <n v="499"/>
    <n v="0"/>
    <s v="South"/>
    <s v="Credit Card"/>
    <x v="2"/>
    <n v="8996.4"/>
  </r>
  <r>
    <s v="ORD00191"/>
    <d v="2026-04-10T00:00:00"/>
    <s v="C1763"/>
    <s v="Mechanical Keyboard"/>
    <x v="3"/>
    <n v="5"/>
    <n v="4999"/>
    <n v="0"/>
    <s v="West"/>
    <s v="Credit Card"/>
    <x v="0"/>
    <n v="2495"/>
  </r>
  <r>
    <s v="ORD00192"/>
    <d v="2026-04-07T00:00:00"/>
    <s v="C1089"/>
    <s v="Monitor"/>
    <x v="3"/>
    <n v="3"/>
    <n v="499"/>
    <n v="0"/>
    <s v="East"/>
    <s v="Net Banking"/>
    <x v="2"/>
    <n v="24995"/>
  </r>
  <r>
    <s v="ORD00193"/>
    <d v="2026-01-21T00:00:00"/>
    <s v="C1164"/>
    <s v="Keyboard"/>
    <x v="3"/>
    <n v="1"/>
    <n v="1499"/>
    <n v="0"/>
    <s v="West"/>
    <s v="COD"/>
    <x v="1"/>
    <n v="1497"/>
  </r>
  <r>
    <s v="ORD00194"/>
    <d v="2026-03-03T00:00:00"/>
    <s v="C1380"/>
    <s v="Laptop Stand"/>
    <x v="3"/>
    <n v="1"/>
    <n v="4999"/>
    <n v="0.1"/>
    <s v="South"/>
    <s v="COD"/>
    <x v="1"/>
    <n v="1499"/>
  </r>
  <r>
    <s v="ORD00195"/>
    <d v="2026-01-04T00:00:00"/>
    <s v="C1213"/>
    <s v="Bluetooth Speaker"/>
    <x v="2"/>
    <n v="5"/>
    <n v="4999"/>
    <n v="0.05"/>
    <s v="West"/>
    <s v="Credit Card"/>
    <x v="1"/>
    <n v="4499.1000000000004"/>
  </r>
  <r>
    <s v="ORD00196"/>
    <d v="2026-01-14T00:00:00"/>
    <s v="C1298"/>
    <s v="Wireless Mouse"/>
    <x v="2"/>
    <n v="3"/>
    <n v="1499"/>
    <n v="0.05"/>
    <s v="West"/>
    <s v="COD"/>
    <x v="1"/>
    <n v="23745.25"/>
  </r>
  <r>
    <s v="ORD00197"/>
    <d v="2026-09-04T00:00:00"/>
    <s v="C1694"/>
    <s v="Mechanical Keyboard"/>
    <x v="2"/>
    <n v="3"/>
    <n v="1499"/>
    <n v="0.05"/>
    <s v="North"/>
    <s v="COD"/>
    <x v="0"/>
    <n v="4272.1499999999996"/>
  </r>
  <r>
    <s v="ORD00198"/>
    <d v="2026-07-09T00:00:00"/>
    <s v="C1419"/>
    <s v="Monitor"/>
    <x v="3"/>
    <n v="1"/>
    <n v="999"/>
    <n v="0.15"/>
    <s v="East"/>
    <s v="COD"/>
    <x v="1"/>
    <n v="4272.1499999999996"/>
  </r>
  <r>
    <s v="ORD00199"/>
    <d v="2026-04-21T00:00:00"/>
    <s v="C1374"/>
    <s v="Mechanical Keyboard"/>
    <x v="3"/>
    <n v="5"/>
    <n v="4999"/>
    <n v="0.05"/>
    <s v="South"/>
    <s v="COD"/>
    <x v="0"/>
    <n v="849.15"/>
  </r>
  <r>
    <s v="ORD00200"/>
    <d v="2026-07-14T00:00:00"/>
    <s v="C1393"/>
    <s v="Headphones"/>
    <x v="2"/>
    <n v="2"/>
    <n v="1299"/>
    <n v="0.05"/>
    <s v="South"/>
    <s v="Credit Card"/>
    <x v="0"/>
    <n v="23745.25"/>
  </r>
  <r>
    <s v="ORD00201"/>
    <d v="2026-08-29T00:00:00"/>
    <s v="C1135"/>
    <s v="Webcam"/>
    <x v="3"/>
    <n v="5"/>
    <n v="599"/>
    <n v="0.15"/>
    <s v="North"/>
    <s v="UPI"/>
    <x v="0"/>
    <n v="2468.1"/>
  </r>
  <r>
    <s v="ORD00202"/>
    <d v="2026-04-23T00:00:00"/>
    <s v="C1059"/>
    <s v="Keyboard"/>
    <x v="4"/>
    <n v="2"/>
    <n v="1299"/>
    <n v="0"/>
    <s v="South"/>
    <s v="COD"/>
    <x v="2"/>
    <n v="2545.75"/>
  </r>
  <r>
    <s v="ORD00203"/>
    <d v="2026-01-15T00:00:00"/>
    <s v="C1501"/>
    <s v="Keyboard"/>
    <x v="1"/>
    <n v="1"/>
    <n v="1299"/>
    <n v="0"/>
    <s v="North"/>
    <s v="Net Banking"/>
    <x v="0"/>
    <n v="2598"/>
  </r>
  <r>
    <s v="ORD00204"/>
    <d v="2026-07-19T00:00:00"/>
    <s v="C1609"/>
    <s v="Keyboard"/>
    <x v="0"/>
    <n v="1"/>
    <n v="499"/>
    <n v="0.05"/>
    <s v="West"/>
    <s v="Debit Card"/>
    <x v="1"/>
    <n v="1299"/>
  </r>
  <r>
    <s v="ORD00205"/>
    <d v="2026-02-04T00:00:00"/>
    <s v="C1106"/>
    <s v="Laptop Stand"/>
    <x v="3"/>
    <n v="3"/>
    <n v="2499"/>
    <n v="0.05"/>
    <s v="South"/>
    <s v="Credit Card"/>
    <x v="0"/>
    <n v="474.04999999999995"/>
  </r>
  <r>
    <s v="ORD00206"/>
    <d v="2026-08-24T00:00:00"/>
    <s v="C1077"/>
    <s v="Mechanical Keyboard"/>
    <x v="4"/>
    <n v="5"/>
    <n v="1499"/>
    <n v="0"/>
    <s v="West"/>
    <s v="Credit Card"/>
    <x v="2"/>
    <n v="7122.15"/>
  </r>
  <r>
    <s v="ORD00207"/>
    <d v="2026-04-08T00:00:00"/>
    <s v="C1619"/>
    <s v="Keyboard"/>
    <x v="1"/>
    <n v="2"/>
    <n v="999"/>
    <n v="0.15"/>
    <s v="East"/>
    <s v="COD"/>
    <x v="0"/>
    <n v="7495"/>
  </r>
  <r>
    <s v="ORD00208"/>
    <d v="2026-03-29T00:00:00"/>
    <s v="C1613"/>
    <s v="Mechanical Keyboard"/>
    <x v="0"/>
    <n v="2"/>
    <n v="599"/>
    <n v="0.05"/>
    <s v="South"/>
    <s v="UPI"/>
    <x v="1"/>
    <n v="1698.3"/>
  </r>
  <r>
    <s v="ORD00209"/>
    <d v="2026-05-13T00:00:00"/>
    <s v="C1211"/>
    <s v="Webcam"/>
    <x v="3"/>
    <n v="4"/>
    <n v="1499"/>
    <n v="0"/>
    <s v="North"/>
    <s v="Net Banking"/>
    <x v="1"/>
    <n v="1138.0999999999999"/>
  </r>
  <r>
    <s v="ORD00210"/>
    <d v="2026-01-19T00:00:00"/>
    <s v="C1581"/>
    <s v="USB-C Hub"/>
    <x v="2"/>
    <n v="4"/>
    <n v="1299"/>
    <n v="0"/>
    <s v="East"/>
    <s v="UPI"/>
    <x v="1"/>
    <n v="5996"/>
  </r>
  <r>
    <s v="ORD00211"/>
    <d v="2026-05-24T00:00:00"/>
    <s v="C1216"/>
    <s v="Monitor"/>
    <x v="0"/>
    <n v="5"/>
    <n v="599"/>
    <n v="0.15"/>
    <s v="North"/>
    <s v="UPI"/>
    <x v="0"/>
    <n v="5196"/>
  </r>
  <r>
    <s v="ORD00212"/>
    <d v="2026-05-27T00:00:00"/>
    <s v="C1373"/>
    <s v="Bluetooth Speaker"/>
    <x v="4"/>
    <n v="1"/>
    <n v="7999"/>
    <n v="0"/>
    <s v="Central"/>
    <s v="Net Banking"/>
    <x v="0"/>
    <n v="2545.75"/>
  </r>
  <r>
    <s v="ORD00213"/>
    <d v="2026-04-14T00:00:00"/>
    <s v="C1445"/>
    <s v="Keyboard"/>
    <x v="3"/>
    <n v="2"/>
    <n v="1999"/>
    <n v="0.15"/>
    <s v="North"/>
    <s v="UPI"/>
    <x v="0"/>
    <n v="7999"/>
  </r>
  <r>
    <s v="ORD00214"/>
    <d v="2026-06-26T00:00:00"/>
    <s v="C1119"/>
    <s v="Mechanical Keyboard"/>
    <x v="1"/>
    <n v="5"/>
    <n v="499"/>
    <n v="0"/>
    <s v="North"/>
    <s v="UPI"/>
    <x v="0"/>
    <n v="3398.2999999999997"/>
  </r>
  <r>
    <s v="ORD00215"/>
    <d v="2026-04-08T00:00:00"/>
    <s v="C1739"/>
    <s v="Laptop Stand"/>
    <x v="3"/>
    <n v="1"/>
    <n v="799"/>
    <n v="0.05"/>
    <s v="North"/>
    <s v="Debit Card"/>
    <x v="0"/>
    <n v="2495"/>
  </r>
  <r>
    <s v="ORD00216"/>
    <d v="2026-03-28T00:00:00"/>
    <s v="C1100"/>
    <s v="Wireless Mouse"/>
    <x v="2"/>
    <n v="4"/>
    <n v="2499"/>
    <n v="0.05"/>
    <s v="Central"/>
    <s v="UPI"/>
    <x v="1"/>
    <n v="759.05"/>
  </r>
  <r>
    <s v="ORD00217"/>
    <d v="2026-05-26T00:00:00"/>
    <s v="C1799"/>
    <s v="USB-C Hub"/>
    <x v="0"/>
    <n v="5"/>
    <n v="999"/>
    <n v="0.05"/>
    <s v="South"/>
    <s v="UPI"/>
    <x v="0"/>
    <n v="9496.1999999999989"/>
  </r>
  <r>
    <s v="ORD00218"/>
    <d v="2026-09-29T00:00:00"/>
    <s v="C1732"/>
    <s v="Wireless Mouse"/>
    <x v="4"/>
    <n v="1"/>
    <n v="1299"/>
    <n v="0.1"/>
    <s v="South"/>
    <s v="Net Banking"/>
    <x v="0"/>
    <n v="4745.25"/>
  </r>
  <r>
    <s v="ORD00219"/>
    <d v="2026-07-30T00:00:00"/>
    <s v="C1149"/>
    <s v="Monitor"/>
    <x v="1"/>
    <n v="4"/>
    <n v="1299"/>
    <n v="0"/>
    <s v="East"/>
    <s v="COD"/>
    <x v="0"/>
    <n v="1169.1000000000001"/>
  </r>
  <r>
    <s v="ORD00220"/>
    <d v="2026-09-04T00:00:00"/>
    <s v="C1399"/>
    <s v="Mechanical Keyboard"/>
    <x v="2"/>
    <n v="5"/>
    <n v="599"/>
    <n v="0.15"/>
    <s v="West"/>
    <s v="Credit Card"/>
    <x v="0"/>
    <n v="5196"/>
  </r>
  <r>
    <s v="ORD00221"/>
    <d v="2026-01-20T00:00:00"/>
    <s v="C1376"/>
    <s v="Bluetooth Speaker"/>
    <x v="4"/>
    <n v="1"/>
    <n v="1499"/>
    <n v="0"/>
    <s v="South"/>
    <s v="UPI"/>
    <x v="0"/>
    <n v="2545.75"/>
  </r>
  <r>
    <s v="ORD00222"/>
    <d v="2026-04-16T00:00:00"/>
    <s v="C1742"/>
    <s v="Headphones"/>
    <x v="2"/>
    <n v="3"/>
    <n v="1499"/>
    <n v="0.05"/>
    <s v="North"/>
    <s v="UPI"/>
    <x v="0"/>
    <n v="1499"/>
  </r>
  <r>
    <s v="ORD00223"/>
    <d v="2026-04-05T00:00:00"/>
    <s v="C1574"/>
    <s v="USB-C Hub"/>
    <x v="1"/>
    <n v="3"/>
    <n v="4999"/>
    <n v="0"/>
    <s v="South"/>
    <s v="Debit Card"/>
    <x v="0"/>
    <n v="4272.1499999999996"/>
  </r>
  <r>
    <s v="ORD00224"/>
    <d v="2026-08-03T00:00:00"/>
    <s v="C1194"/>
    <s v="Monitor"/>
    <x v="1"/>
    <n v="5"/>
    <n v="1499"/>
    <n v="0.15"/>
    <s v="South"/>
    <s v="Credit Card"/>
    <x v="0"/>
    <n v="14997"/>
  </r>
  <r>
    <s v="ORD00225"/>
    <d v="2026-05-16T00:00:00"/>
    <s v="C1026"/>
    <s v="Monitor"/>
    <x v="2"/>
    <n v="1"/>
    <n v="1499"/>
    <n v="0.15"/>
    <s v="North"/>
    <s v="Net Banking"/>
    <x v="2"/>
    <n v="6370.75"/>
  </r>
  <r>
    <s v="ORD00226"/>
    <d v="2026-02-13T00:00:00"/>
    <s v="C1175"/>
    <s v="Headphones"/>
    <x v="3"/>
    <n v="1"/>
    <n v="599"/>
    <n v="0.1"/>
    <s v="West"/>
    <s v="Net Banking"/>
    <x v="0"/>
    <n v="1274.1499999999999"/>
  </r>
  <r>
    <s v="ORD00227"/>
    <d v="2026-09-25T00:00:00"/>
    <s v="C1072"/>
    <s v="Bluetooth Speaker"/>
    <x v="3"/>
    <n v="5"/>
    <n v="799"/>
    <n v="0"/>
    <s v="West"/>
    <s v="Credit Card"/>
    <x v="1"/>
    <n v="539.1"/>
  </r>
  <r>
    <s v="ORD00228"/>
    <d v="2026-04-28T00:00:00"/>
    <s v="C1673"/>
    <s v="Keyboard"/>
    <x v="3"/>
    <n v="4"/>
    <n v="1999"/>
    <n v="0.05"/>
    <s v="Central"/>
    <s v="UPI"/>
    <x v="0"/>
    <n v="3995"/>
  </r>
  <r>
    <s v="ORD00229"/>
    <d v="2026-02-28T00:00:00"/>
    <s v="C1456"/>
    <s v="Headphones"/>
    <x v="4"/>
    <n v="3"/>
    <n v="1299"/>
    <n v="0"/>
    <s v="West"/>
    <s v="COD"/>
    <x v="2"/>
    <n v="7596.2"/>
  </r>
  <r>
    <s v="ORD00230"/>
    <d v="2026-09-07T00:00:00"/>
    <s v="C1726"/>
    <s v="Monitor"/>
    <x v="3"/>
    <n v="2"/>
    <n v="499"/>
    <n v="0.05"/>
    <s v="East"/>
    <s v="Credit Card"/>
    <x v="1"/>
    <n v="3897"/>
  </r>
  <r>
    <s v="ORD00231"/>
    <d v="2026-06-12T00:00:00"/>
    <s v="C1757"/>
    <s v="Mechanical Keyboard"/>
    <x v="4"/>
    <n v="4"/>
    <n v="1999"/>
    <n v="0.05"/>
    <s v="North"/>
    <s v="COD"/>
    <x v="0"/>
    <n v="948.09999999999991"/>
  </r>
  <r>
    <s v="ORD00232"/>
    <d v="2026-06-16T00:00:00"/>
    <s v="C1110"/>
    <s v="Mechanical Keyboard"/>
    <x v="2"/>
    <n v="2"/>
    <n v="1499"/>
    <n v="0"/>
    <s v="East"/>
    <s v="UPI"/>
    <x v="0"/>
    <n v="7596.2"/>
  </r>
  <r>
    <s v="ORD00233"/>
    <d v="2026-05-26T00:00:00"/>
    <s v="C1403"/>
    <s v="Power Bank"/>
    <x v="1"/>
    <n v="5"/>
    <n v="4999"/>
    <n v="0.1"/>
    <s v="Central"/>
    <s v="Net Banking"/>
    <x v="1"/>
    <n v="2998"/>
  </r>
  <r>
    <s v="ORD00234"/>
    <d v="2026-08-10T00:00:00"/>
    <s v="C1726"/>
    <s v="Monitor"/>
    <x v="4"/>
    <n v="2"/>
    <n v="2499"/>
    <n v="0.15"/>
    <s v="Central"/>
    <s v="Debit Card"/>
    <x v="1"/>
    <n v="22495.5"/>
  </r>
  <r>
    <s v="ORD00235"/>
    <d v="2026-02-08T00:00:00"/>
    <s v="C1114"/>
    <s v="USB-C Hub"/>
    <x v="2"/>
    <n v="2"/>
    <n v="1999"/>
    <n v="0.15"/>
    <s v="North"/>
    <s v="COD"/>
    <x v="0"/>
    <n v="4248.3"/>
  </r>
  <r>
    <s v="ORD00236"/>
    <d v="2026-08-19T00:00:00"/>
    <s v="C1087"/>
    <s v="Webcam"/>
    <x v="0"/>
    <n v="2"/>
    <n v="999"/>
    <n v="0.15"/>
    <s v="East"/>
    <s v="Debit Card"/>
    <x v="1"/>
    <n v="3398.2999999999997"/>
  </r>
  <r>
    <s v="ORD00237"/>
    <d v="2026-05-27T00:00:00"/>
    <s v="C1307"/>
    <s v="Headphones"/>
    <x v="3"/>
    <n v="3"/>
    <n v="7999"/>
    <n v="0"/>
    <s v="North"/>
    <s v="UPI"/>
    <x v="0"/>
    <n v="1698.3"/>
  </r>
  <r>
    <s v="ORD00238"/>
    <d v="2026-01-11T00:00:00"/>
    <s v="C1657"/>
    <s v="Headphones"/>
    <x v="0"/>
    <n v="4"/>
    <n v="1299"/>
    <n v="0.05"/>
    <s v="East"/>
    <s v="UPI"/>
    <x v="0"/>
    <n v="23997"/>
  </r>
  <r>
    <s v="ORD00239"/>
    <d v="2026-02-10T00:00:00"/>
    <s v="C1226"/>
    <s v="Headphones"/>
    <x v="0"/>
    <n v="4"/>
    <n v="1999"/>
    <n v="0.1"/>
    <s v="South"/>
    <s v="COD"/>
    <x v="0"/>
    <n v="4936.2"/>
  </r>
  <r>
    <s v="ORD00240"/>
    <d v="2026-05-23T00:00:00"/>
    <s v="C1120"/>
    <s v="Bluetooth Speaker"/>
    <x v="2"/>
    <n v="3"/>
    <n v="4999"/>
    <n v="0.05"/>
    <s v="Central"/>
    <s v="UPI"/>
    <x v="0"/>
    <n v="7196.4000000000005"/>
  </r>
  <r>
    <s v="ORD00241"/>
    <d v="2026-05-27T00:00:00"/>
    <s v="C1311"/>
    <s v="Webcam"/>
    <x v="2"/>
    <n v="5"/>
    <n v="2499"/>
    <n v="0"/>
    <s v="West"/>
    <s v="UPI"/>
    <x v="0"/>
    <n v="14247.15"/>
  </r>
  <r>
    <s v="ORD00242"/>
    <d v="2026-06-13T00:00:00"/>
    <s v="C1778"/>
    <s v="Headphones"/>
    <x v="2"/>
    <n v="3"/>
    <n v="7999"/>
    <n v="0.1"/>
    <s v="North"/>
    <s v="Debit Card"/>
    <x v="2"/>
    <n v="12495"/>
  </r>
  <r>
    <s v="ORD00243"/>
    <d v="2026-04-22T00:00:00"/>
    <s v="C1607"/>
    <s v="Keyboard"/>
    <x v="2"/>
    <n v="3"/>
    <n v="799"/>
    <n v="0"/>
    <s v="North"/>
    <s v="Net Banking"/>
    <x v="0"/>
    <n v="21597.3"/>
  </r>
  <r>
    <s v="ORD00244"/>
    <d v="2026-03-01T00:00:00"/>
    <s v="C1447"/>
    <s v="Mechanical Keyboard"/>
    <x v="0"/>
    <n v="4"/>
    <n v="799"/>
    <n v="0.05"/>
    <s v="South"/>
    <s v="COD"/>
    <x v="2"/>
    <n v="2397"/>
  </r>
  <r>
    <s v="ORD00245"/>
    <d v="2026-08-06T00:00:00"/>
    <s v="C1679"/>
    <s v="Keyboard"/>
    <x v="2"/>
    <n v="3"/>
    <n v="799"/>
    <n v="0.15"/>
    <s v="North"/>
    <s v="Credit Card"/>
    <x v="0"/>
    <n v="3036.2"/>
  </r>
  <r>
    <s v="ORD00246"/>
    <d v="2026-01-28T00:00:00"/>
    <s v="C1322"/>
    <s v="Webcam"/>
    <x v="3"/>
    <n v="2"/>
    <n v="1999"/>
    <n v="0.05"/>
    <s v="South"/>
    <s v="Debit Card"/>
    <x v="0"/>
    <n v="2037.45"/>
  </r>
  <r>
    <s v="ORD00247"/>
    <d v="2026-04-27T00:00:00"/>
    <s v="C1065"/>
    <s v="Bluetooth Speaker"/>
    <x v="2"/>
    <n v="5"/>
    <n v="799"/>
    <n v="0.05"/>
    <s v="West"/>
    <s v="Net Banking"/>
    <x v="2"/>
    <n v="3798.1"/>
  </r>
  <r>
    <s v="ORD00248"/>
    <d v="2026-04-06T00:00:00"/>
    <s v="C1269"/>
    <s v="USB-C Hub"/>
    <x v="2"/>
    <n v="2"/>
    <n v="2499"/>
    <n v="0.15"/>
    <s v="North"/>
    <s v="Credit Card"/>
    <x v="1"/>
    <n v="3795.25"/>
  </r>
  <r>
    <s v="ORD00249"/>
    <d v="2026-03-24T00:00:00"/>
    <s v="C1315"/>
    <s v="USB-C Hub"/>
    <x v="1"/>
    <n v="1"/>
    <n v="1999"/>
    <n v="0.05"/>
    <s v="East"/>
    <s v="UPI"/>
    <x v="0"/>
    <n v="4248.3"/>
  </r>
  <r>
    <s v="ORD00250"/>
    <d v="2026-04-09T00:00:00"/>
    <s v="C1657"/>
    <s v="Wireless Mouse"/>
    <x v="3"/>
    <n v="4"/>
    <n v="599"/>
    <n v="0"/>
    <s v="Central"/>
    <s v="Net Banking"/>
    <x v="2"/>
    <n v="1899.05"/>
  </r>
  <r>
    <s v="ORD00251"/>
    <d v="2026-08-13T00:00:00"/>
    <s v="C1010"/>
    <s v="Monitor"/>
    <x v="4"/>
    <n v="4"/>
    <n v="4999"/>
    <n v="0"/>
    <s v="West"/>
    <s v="Net Banking"/>
    <x v="0"/>
    <n v="2396"/>
  </r>
  <r>
    <s v="ORD00252"/>
    <d v="2026-09-12T00:00:00"/>
    <s v="C1099"/>
    <s v="Webcam"/>
    <x v="1"/>
    <n v="3"/>
    <n v="799"/>
    <n v="0.05"/>
    <s v="West"/>
    <s v="COD"/>
    <x v="0"/>
    <n v="19996"/>
  </r>
  <r>
    <s v="ORD00253"/>
    <d v="2026-04-23T00:00:00"/>
    <s v="C1598"/>
    <s v="USB-C Hub"/>
    <x v="4"/>
    <n v="2"/>
    <n v="2499"/>
    <n v="0"/>
    <s v="Central"/>
    <s v="COD"/>
    <x v="1"/>
    <n v="2277.15"/>
  </r>
  <r>
    <s v="ORD00254"/>
    <d v="2026-06-27T00:00:00"/>
    <s v="C1286"/>
    <s v="Webcam"/>
    <x v="0"/>
    <n v="2"/>
    <n v="2499"/>
    <n v="0.1"/>
    <s v="Central"/>
    <s v="COD"/>
    <x v="0"/>
    <n v="4998"/>
  </r>
  <r>
    <s v="ORD00255"/>
    <d v="2026-07-19T00:00:00"/>
    <s v="C1436"/>
    <s v="Mechanical Keyboard"/>
    <x v="3"/>
    <n v="4"/>
    <n v="4999"/>
    <n v="0.15"/>
    <s v="East"/>
    <s v="UPI"/>
    <x v="0"/>
    <n v="4498.2"/>
  </r>
  <r>
    <s v="ORD00256"/>
    <d v="2026-07-28T00:00:00"/>
    <s v="C1786"/>
    <s v="Laptop Stand"/>
    <x v="2"/>
    <n v="2"/>
    <n v="1999"/>
    <n v="0"/>
    <s v="West"/>
    <s v="Net Banking"/>
    <x v="0"/>
    <n v="16996.599999999999"/>
  </r>
  <r>
    <s v="ORD00257"/>
    <d v="2026-09-25T00:00:00"/>
    <s v="C1392"/>
    <s v="Bluetooth Speaker"/>
    <x v="1"/>
    <n v="1"/>
    <n v="999"/>
    <n v="0.05"/>
    <s v="South"/>
    <s v="Debit Card"/>
    <x v="0"/>
    <n v="3998"/>
  </r>
  <r>
    <s v="ORD00258"/>
    <d v="2026-08-08T00:00:00"/>
    <s v="C1332"/>
    <s v="Keyboard"/>
    <x v="1"/>
    <n v="4"/>
    <n v="499"/>
    <n v="0"/>
    <s v="South"/>
    <s v="COD"/>
    <x v="0"/>
    <n v="949.05"/>
  </r>
  <r>
    <s v="ORD00259"/>
    <d v="2026-01-29T00:00:00"/>
    <s v="C1684"/>
    <s v="Mechanical Keyboard"/>
    <x v="4"/>
    <n v="5"/>
    <n v="499"/>
    <n v="0.1"/>
    <s v="North"/>
    <s v="UPI"/>
    <x v="0"/>
    <n v="1996"/>
  </r>
  <r>
    <s v="ORD00260"/>
    <d v="2026-05-28T00:00:00"/>
    <s v="C1152"/>
    <s v="Headphones"/>
    <x v="1"/>
    <n v="4"/>
    <n v="7999"/>
    <n v="0"/>
    <s v="East"/>
    <s v="Credit Card"/>
    <x v="0"/>
    <n v="2245.5"/>
  </r>
  <r>
    <s v="ORD00261"/>
    <d v="2026-07-15T00:00:00"/>
    <s v="C1295"/>
    <s v="USB-C Hub"/>
    <x v="3"/>
    <n v="1"/>
    <n v="2499"/>
    <n v="0.05"/>
    <s v="North"/>
    <s v="Debit Card"/>
    <x v="0"/>
    <n v="31996"/>
  </r>
  <r>
    <s v="ORD00262"/>
    <d v="2026-04-24T00:00:00"/>
    <s v="C1129"/>
    <s v="Keyboard"/>
    <x v="0"/>
    <n v="4"/>
    <n v="1999"/>
    <n v="0.1"/>
    <s v="South"/>
    <s v="UPI"/>
    <x v="2"/>
    <n v="2374.0499999999997"/>
  </r>
  <r>
    <s v="ORD00263"/>
    <d v="2026-01-08T00:00:00"/>
    <s v="C1174"/>
    <s v="Wireless Mouse"/>
    <x v="1"/>
    <n v="5"/>
    <n v="999"/>
    <n v="0.1"/>
    <s v="North"/>
    <s v="COD"/>
    <x v="0"/>
    <n v="7196.4000000000005"/>
  </r>
  <r>
    <s v="ORD00264"/>
    <d v="2026-02-16T00:00:00"/>
    <s v="C1016"/>
    <s v="Keyboard"/>
    <x v="0"/>
    <n v="4"/>
    <n v="7999"/>
    <n v="0.05"/>
    <s v="East"/>
    <s v="COD"/>
    <x v="0"/>
    <n v="4495.5"/>
  </r>
  <r>
    <s v="ORD00265"/>
    <d v="2026-03-22T00:00:00"/>
    <s v="C1060"/>
    <s v="Wireless Mouse"/>
    <x v="1"/>
    <n v="2"/>
    <n v="2499"/>
    <n v="0"/>
    <s v="South"/>
    <s v="Net Banking"/>
    <x v="2"/>
    <n v="30396.199999999997"/>
  </r>
  <r>
    <s v="ORD00266"/>
    <d v="2026-09-14T00:00:00"/>
    <s v="C1220"/>
    <s v="Mechanical Keyboard"/>
    <x v="2"/>
    <n v="5"/>
    <n v="799"/>
    <n v="0.05"/>
    <s v="Central"/>
    <s v="Net Banking"/>
    <x v="0"/>
    <n v="4998"/>
  </r>
  <r>
    <s v="ORD00267"/>
    <d v="2026-04-28T00:00:00"/>
    <s v="C1689"/>
    <s v="Keyboard"/>
    <x v="2"/>
    <n v="3"/>
    <n v="799"/>
    <n v="0.1"/>
    <s v="Central"/>
    <s v="UPI"/>
    <x v="1"/>
    <n v="3795.25"/>
  </r>
  <r>
    <s v="ORD00268"/>
    <d v="2026-06-08T00:00:00"/>
    <s v="C1622"/>
    <s v="Bluetooth Speaker"/>
    <x v="1"/>
    <n v="2"/>
    <n v="7999"/>
    <n v="0.05"/>
    <s v="East"/>
    <s v="Credit Card"/>
    <x v="2"/>
    <n v="2157.3000000000002"/>
  </r>
  <r>
    <s v="ORD00269"/>
    <d v="2026-01-15T00:00:00"/>
    <s v="C1069"/>
    <s v="Monitor"/>
    <x v="3"/>
    <n v="4"/>
    <n v="1499"/>
    <n v="0.15"/>
    <s v="West"/>
    <s v="Debit Card"/>
    <x v="0"/>
    <n v="15198.099999999999"/>
  </r>
  <r>
    <s v="ORD00270"/>
    <d v="2026-03-19T00:00:00"/>
    <s v="C1219"/>
    <s v="Wireless Mouse"/>
    <x v="2"/>
    <n v="4"/>
    <n v="7999"/>
    <n v="0"/>
    <s v="East"/>
    <s v="UPI"/>
    <x v="0"/>
    <n v="5096.5999999999995"/>
  </r>
  <r>
    <s v="ORD00271"/>
    <d v="2026-01-01T00:00:00"/>
    <s v="C1761"/>
    <s v="Wireless Mouse"/>
    <x v="0"/>
    <n v="3"/>
    <n v="999"/>
    <n v="0.1"/>
    <s v="Central"/>
    <s v="COD"/>
    <x v="2"/>
    <n v="31996"/>
  </r>
  <r>
    <s v="ORD00272"/>
    <d v="2026-08-24T00:00:00"/>
    <s v="C1016"/>
    <s v="Laptop Stand"/>
    <x v="4"/>
    <n v="1"/>
    <n v="799"/>
    <n v="0.1"/>
    <s v="South"/>
    <s v="Credit Card"/>
    <x v="1"/>
    <n v="2697.3"/>
  </r>
  <r>
    <s v="ORD00273"/>
    <d v="2026-03-31T00:00:00"/>
    <s v="C1277"/>
    <s v="Webcam"/>
    <x v="4"/>
    <n v="5"/>
    <n v="1499"/>
    <n v="0.15"/>
    <s v="North"/>
    <s v="UPI"/>
    <x v="0"/>
    <n v="719.1"/>
  </r>
  <r>
    <s v="ORD00274"/>
    <d v="2026-06-14T00:00:00"/>
    <s v="C1770"/>
    <s v="Keyboard"/>
    <x v="4"/>
    <n v="3"/>
    <n v="799"/>
    <n v="0.1"/>
    <s v="Central"/>
    <s v="Credit Card"/>
    <x v="2"/>
    <n v="6370.75"/>
  </r>
  <r>
    <s v="ORD00275"/>
    <d v="2026-03-23T00:00:00"/>
    <s v="C1420"/>
    <s v="Laptop Stand"/>
    <x v="4"/>
    <n v="3"/>
    <n v="799"/>
    <n v="0.1"/>
    <s v="North"/>
    <s v="Credit Card"/>
    <x v="0"/>
    <n v="2157.3000000000002"/>
  </r>
  <r>
    <s v="ORD00276"/>
    <d v="2026-02-25T00:00:00"/>
    <s v="C1414"/>
    <s v="Laptop Stand"/>
    <x v="3"/>
    <n v="1"/>
    <n v="499"/>
    <n v="0.1"/>
    <s v="Central"/>
    <s v="Credit Card"/>
    <x v="2"/>
    <n v="2157.3000000000002"/>
  </r>
  <r>
    <s v="ORD00277"/>
    <d v="2026-07-24T00:00:00"/>
    <s v="C1085"/>
    <s v="Laptop Stand"/>
    <x v="3"/>
    <n v="4"/>
    <n v="1499"/>
    <n v="0.1"/>
    <s v="South"/>
    <s v="Credit Card"/>
    <x v="0"/>
    <n v="449.1"/>
  </r>
  <r>
    <s v="ORD00278"/>
    <d v="2026-05-17T00:00:00"/>
    <s v="C1494"/>
    <s v="Wireless Mouse"/>
    <x v="1"/>
    <n v="2"/>
    <n v="7999"/>
    <n v="0.05"/>
    <s v="South"/>
    <s v="Net Banking"/>
    <x v="2"/>
    <n v="5396.4000000000005"/>
  </r>
  <r>
    <s v="ORD00279"/>
    <d v="2026-03-17T00:00:00"/>
    <s v="C1670"/>
    <s v="Laptop Stand"/>
    <x v="4"/>
    <n v="4"/>
    <n v="1499"/>
    <n v="0.15"/>
    <s v="North"/>
    <s v="COD"/>
    <x v="0"/>
    <n v="15198.099999999999"/>
  </r>
  <r>
    <s v="ORD00280"/>
    <d v="2026-05-18T00:00:00"/>
    <s v="C1220"/>
    <s v="Headphones"/>
    <x v="0"/>
    <n v="5"/>
    <n v="599"/>
    <n v="0.15"/>
    <s v="South"/>
    <s v="UPI"/>
    <x v="1"/>
    <n v="5096.5999999999995"/>
  </r>
  <r>
    <s v="ORD00281"/>
    <d v="2026-01-16T00:00:00"/>
    <s v="C1198"/>
    <s v="Webcam"/>
    <x v="1"/>
    <n v="3"/>
    <n v="1499"/>
    <n v="0.05"/>
    <s v="North"/>
    <s v="Credit Card"/>
    <x v="0"/>
    <n v="2545.75"/>
  </r>
  <r>
    <s v="ORD00282"/>
    <d v="2026-05-07T00:00:00"/>
    <s v="C1380"/>
    <s v="USB-C Hub"/>
    <x v="3"/>
    <n v="2"/>
    <n v="4999"/>
    <n v="0.1"/>
    <s v="East"/>
    <s v="Credit Card"/>
    <x v="0"/>
    <n v="4272.1499999999996"/>
  </r>
  <r>
    <s v="ORD00283"/>
    <d v="2026-08-31T00:00:00"/>
    <s v="C1486"/>
    <s v="Laptop Stand"/>
    <x v="2"/>
    <n v="1"/>
    <n v="2499"/>
    <n v="0.1"/>
    <s v="East"/>
    <s v="Net Banking"/>
    <x v="0"/>
    <n v="8998.2000000000007"/>
  </r>
  <r>
    <s v="ORD00284"/>
    <d v="2026-02-13T00:00:00"/>
    <s v="C1108"/>
    <s v="Power Bank"/>
    <x v="4"/>
    <n v="3"/>
    <n v="499"/>
    <n v="0"/>
    <s v="East"/>
    <s v="COD"/>
    <x v="1"/>
    <n v="2249.1"/>
  </r>
  <r>
    <s v="ORD00285"/>
    <d v="2026-07-20T00:00:00"/>
    <s v="C1789"/>
    <s v="USB-C Hub"/>
    <x v="3"/>
    <n v="1"/>
    <n v="799"/>
    <n v="0.05"/>
    <s v="East"/>
    <s v="COD"/>
    <x v="0"/>
    <n v="1497"/>
  </r>
  <r>
    <s v="ORD00286"/>
    <d v="2026-04-25T00:00:00"/>
    <s v="C1139"/>
    <s v="Bluetooth Speaker"/>
    <x v="2"/>
    <n v="2"/>
    <n v="4999"/>
    <n v="0"/>
    <s v="North"/>
    <s v="Net Banking"/>
    <x v="1"/>
    <n v="759.05"/>
  </r>
  <r>
    <s v="ORD00287"/>
    <d v="2026-04-15T00:00:00"/>
    <s v="C1550"/>
    <s v="Webcam"/>
    <x v="4"/>
    <n v="1"/>
    <n v="499"/>
    <n v="0.1"/>
    <s v="South"/>
    <s v="UPI"/>
    <x v="0"/>
    <n v="9998"/>
  </r>
  <r>
    <s v="ORD00288"/>
    <d v="2026-03-17T00:00:00"/>
    <s v="C1107"/>
    <s v="Monitor"/>
    <x v="3"/>
    <n v="4"/>
    <n v="1499"/>
    <n v="0.05"/>
    <s v="South"/>
    <s v="Debit Card"/>
    <x v="0"/>
    <n v="449.1"/>
  </r>
  <r>
    <s v="ORD00289"/>
    <d v="2026-08-26T00:00:00"/>
    <s v="C1072"/>
    <s v="Mechanical Keyboard"/>
    <x v="4"/>
    <n v="3"/>
    <n v="1299"/>
    <n v="0.05"/>
    <s v="North"/>
    <s v="Debit Card"/>
    <x v="0"/>
    <n v="5696.2"/>
  </r>
  <r>
    <s v="ORD00290"/>
    <d v="2026-05-26T00:00:00"/>
    <s v="C1183"/>
    <s v="Monitor"/>
    <x v="0"/>
    <n v="1"/>
    <n v="999"/>
    <n v="0.1"/>
    <s v="East"/>
    <s v="COD"/>
    <x v="2"/>
    <n v="3702.1499999999996"/>
  </r>
  <r>
    <s v="ORD00291"/>
    <d v="2026-08-09T00:00:00"/>
    <s v="C1048"/>
    <s v="Headphones"/>
    <x v="4"/>
    <n v="4"/>
    <n v="1999"/>
    <n v="0.05"/>
    <s v="West"/>
    <s v="Credit Card"/>
    <x v="0"/>
    <n v="899.1"/>
  </r>
  <r>
    <s v="ORD00292"/>
    <d v="2026-09-06T00:00:00"/>
    <s v="C1082"/>
    <s v="USB-C Hub"/>
    <x v="0"/>
    <n v="5"/>
    <n v="2499"/>
    <n v="0"/>
    <s v="Central"/>
    <s v="COD"/>
    <x v="0"/>
    <n v="7596.2"/>
  </r>
  <r>
    <s v="ORD00293"/>
    <d v="2026-08-02T00:00:00"/>
    <s v="C1086"/>
    <s v="Wireless Mouse"/>
    <x v="0"/>
    <n v="5"/>
    <n v="599"/>
    <n v="0.15"/>
    <s v="North"/>
    <s v="UPI"/>
    <x v="0"/>
    <n v="12495"/>
  </r>
  <r>
    <s v="ORD00294"/>
    <d v="2026-02-02T00:00:00"/>
    <s v="C1728"/>
    <s v="Bluetooth Speaker"/>
    <x v="1"/>
    <n v="2"/>
    <n v="799"/>
    <n v="0"/>
    <s v="South"/>
    <s v="Net Banking"/>
    <x v="0"/>
    <n v="2545.75"/>
  </r>
  <r>
    <s v="ORD00295"/>
    <d v="2026-02-26T00:00:00"/>
    <s v="C1346"/>
    <s v="Mechanical Keyboard"/>
    <x v="4"/>
    <n v="2"/>
    <n v="799"/>
    <n v="0"/>
    <s v="South"/>
    <s v="Credit Card"/>
    <x v="0"/>
    <n v="1598"/>
  </r>
  <r>
    <s v="ORD00296"/>
    <d v="2026-03-04T00:00:00"/>
    <s v="C1155"/>
    <s v="Bluetooth Speaker"/>
    <x v="0"/>
    <n v="1"/>
    <n v="4999"/>
    <n v="0.1"/>
    <s v="South"/>
    <s v="Credit Card"/>
    <x v="0"/>
    <n v="1598"/>
  </r>
  <r>
    <s v="ORD00297"/>
    <d v="2026-07-23T00:00:00"/>
    <s v="C1059"/>
    <s v="Wireless Mouse"/>
    <x v="4"/>
    <n v="3"/>
    <n v="1999"/>
    <n v="0"/>
    <s v="South"/>
    <s v="Credit Card"/>
    <x v="1"/>
    <n v="4499.1000000000004"/>
  </r>
  <r>
    <s v="ORD00298"/>
    <d v="2026-03-02T00:00:00"/>
    <s v="C1699"/>
    <s v="Power Bank"/>
    <x v="4"/>
    <n v="3"/>
    <n v="599"/>
    <n v="0.1"/>
    <s v="North"/>
    <s v="COD"/>
    <x v="2"/>
    <n v="5997"/>
  </r>
  <r>
    <s v="ORD00299"/>
    <d v="2026-09-28T00:00:00"/>
    <s v="C1738"/>
    <s v="Bluetooth Speaker"/>
    <x v="1"/>
    <n v="5"/>
    <n v="599"/>
    <n v="0.05"/>
    <s v="East"/>
    <s v="Credit Card"/>
    <x v="0"/>
    <n v="1617.3"/>
  </r>
  <r>
    <s v="ORD00300"/>
    <d v="2026-07-12T00:00:00"/>
    <s v="C1458"/>
    <s v="Keyboard"/>
    <x v="3"/>
    <n v="2"/>
    <n v="499"/>
    <n v="0"/>
    <s v="East"/>
    <s v="COD"/>
    <x v="0"/>
    <n v="2845.25"/>
  </r>
  <r>
    <s v="ORD00301"/>
    <d v="2026-08-20T00:00:00"/>
    <s v="C1324"/>
    <s v="Mechanical Keyboard"/>
    <x v="4"/>
    <n v="3"/>
    <n v="4999"/>
    <n v="0"/>
    <s v="West"/>
    <s v="Debit Card"/>
    <x v="0"/>
    <n v="998"/>
  </r>
  <r>
    <s v="ORD00302"/>
    <d v="2026-07-26T00:00:00"/>
    <s v="C1565"/>
    <s v="Keyboard"/>
    <x v="0"/>
    <n v="2"/>
    <n v="1999"/>
    <n v="0.15"/>
    <s v="West"/>
    <s v="COD"/>
    <x v="0"/>
    <n v="14997"/>
  </r>
  <r>
    <s v="ORD00303"/>
    <d v="2026-03-20T00:00:00"/>
    <s v="C1629"/>
    <s v="Bluetooth Speaker"/>
    <x v="4"/>
    <n v="1"/>
    <n v="1999"/>
    <n v="0.15"/>
    <s v="East"/>
    <s v="Credit Card"/>
    <x v="2"/>
    <n v="3398.2999999999997"/>
  </r>
  <r>
    <s v="ORD00304"/>
    <d v="2026-01-18T00:00:00"/>
    <s v="C1556"/>
    <s v="Laptop Stand"/>
    <x v="1"/>
    <n v="5"/>
    <n v="599"/>
    <n v="0"/>
    <s v="West"/>
    <s v="COD"/>
    <x v="0"/>
    <n v="1699.1499999999999"/>
  </r>
  <r>
    <s v="ORD00305"/>
    <d v="2026-06-29T00:00:00"/>
    <s v="C1203"/>
    <s v="Headphones"/>
    <x v="4"/>
    <n v="5"/>
    <n v="999"/>
    <n v="0.15"/>
    <s v="South"/>
    <s v="Debit Card"/>
    <x v="2"/>
    <n v="2995"/>
  </r>
  <r>
    <s v="ORD00306"/>
    <d v="2026-05-22T00:00:00"/>
    <s v="C1425"/>
    <s v="Wireless Mouse"/>
    <x v="3"/>
    <n v="1"/>
    <n v="599"/>
    <n v="0"/>
    <s v="West"/>
    <s v="Net Banking"/>
    <x v="1"/>
    <n v="4245.75"/>
  </r>
  <r>
    <s v="ORD00307"/>
    <d v="2026-06-02T00:00:00"/>
    <s v="C1090"/>
    <s v="Webcam"/>
    <x v="2"/>
    <n v="4"/>
    <n v="999"/>
    <n v="0.15"/>
    <s v="Central"/>
    <s v="COD"/>
    <x v="1"/>
    <n v="599"/>
  </r>
  <r>
    <s v="ORD00308"/>
    <d v="2026-08-11T00:00:00"/>
    <s v="C1482"/>
    <s v="Webcam"/>
    <x v="4"/>
    <n v="5"/>
    <n v="2499"/>
    <n v="0.15"/>
    <s v="North"/>
    <s v="Credit Card"/>
    <x v="0"/>
    <n v="3396.6"/>
  </r>
  <r>
    <s v="ORD00309"/>
    <d v="2026-04-13T00:00:00"/>
    <s v="C1281"/>
    <s v="Power Bank"/>
    <x v="2"/>
    <n v="3"/>
    <n v="999"/>
    <n v="0.05"/>
    <s v="South"/>
    <s v="Debit Card"/>
    <x v="0"/>
    <n v="10620.75"/>
  </r>
  <r>
    <s v="ORD00310"/>
    <d v="2026-03-29T00:00:00"/>
    <s v="C1516"/>
    <s v="USB-C Hub"/>
    <x v="1"/>
    <n v="1"/>
    <n v="499"/>
    <n v="0.15"/>
    <s v="North"/>
    <s v="Net Banking"/>
    <x v="0"/>
    <n v="2847.15"/>
  </r>
  <r>
    <s v="ORD00311"/>
    <d v="2026-06-24T00:00:00"/>
    <s v="C1020"/>
    <s v="Headphones"/>
    <x v="2"/>
    <n v="1"/>
    <n v="799"/>
    <n v="0.15"/>
    <s v="North"/>
    <s v="UPI"/>
    <x v="2"/>
    <n v="424.15"/>
  </r>
  <r>
    <s v="ORD00312"/>
    <d v="2026-02-20T00:00:00"/>
    <s v="C1594"/>
    <s v="Bluetooth Speaker"/>
    <x v="0"/>
    <n v="5"/>
    <n v="1499"/>
    <n v="0"/>
    <s v="North"/>
    <s v="COD"/>
    <x v="0"/>
    <n v="679.15"/>
  </r>
  <r>
    <s v="ORD00313"/>
    <d v="2026-09-03T00:00:00"/>
    <s v="C1425"/>
    <s v="Mechanical Keyboard"/>
    <x v="4"/>
    <n v="2"/>
    <n v="999"/>
    <n v="0"/>
    <s v="North"/>
    <s v="Net Banking"/>
    <x v="1"/>
    <n v="7495"/>
  </r>
  <r>
    <s v="ORD00314"/>
    <d v="2026-05-22T00:00:00"/>
    <s v="C1554"/>
    <s v="Keyboard"/>
    <x v="3"/>
    <n v="2"/>
    <n v="7999"/>
    <n v="0"/>
    <s v="East"/>
    <s v="Debit Card"/>
    <x v="1"/>
    <n v="1998"/>
  </r>
  <r>
    <s v="ORD00315"/>
    <d v="2026-09-26T00:00:00"/>
    <s v="C1227"/>
    <s v="Keyboard"/>
    <x v="1"/>
    <n v="5"/>
    <n v="499"/>
    <n v="0.05"/>
    <s v="West"/>
    <s v="Debit Card"/>
    <x v="2"/>
    <n v="15998"/>
  </r>
  <r>
    <s v="ORD00316"/>
    <d v="2026-07-28T00:00:00"/>
    <s v="C1409"/>
    <s v="Power Bank"/>
    <x v="0"/>
    <n v="2"/>
    <n v="799"/>
    <n v="0"/>
    <s v="South"/>
    <s v="COD"/>
    <x v="1"/>
    <n v="2370.25"/>
  </r>
  <r>
    <s v="ORD00317"/>
    <d v="2026-06-22T00:00:00"/>
    <s v="C1207"/>
    <s v="Webcam"/>
    <x v="0"/>
    <n v="3"/>
    <n v="499"/>
    <n v="0"/>
    <s v="Central"/>
    <s v="Net Banking"/>
    <x v="2"/>
    <n v="1598"/>
  </r>
  <r>
    <s v="ORD00318"/>
    <d v="2026-05-10T00:00:00"/>
    <s v="C1205"/>
    <s v="Keyboard"/>
    <x v="2"/>
    <n v="3"/>
    <n v="999"/>
    <n v="0.15"/>
    <s v="East"/>
    <s v="UPI"/>
    <x v="1"/>
    <n v="1497"/>
  </r>
  <r>
    <s v="ORD00319"/>
    <d v="2026-02-07T00:00:00"/>
    <s v="C1463"/>
    <s v="USB-C Hub"/>
    <x v="1"/>
    <n v="1"/>
    <n v="1499"/>
    <n v="0.15"/>
    <s v="Central"/>
    <s v="COD"/>
    <x v="0"/>
    <n v="2547.4499999999998"/>
  </r>
  <r>
    <s v="ORD00320"/>
    <d v="2026-04-09T00:00:00"/>
    <s v="C1600"/>
    <s v="Bluetooth Speaker"/>
    <x v="1"/>
    <n v="1"/>
    <n v="7999"/>
    <n v="0"/>
    <s v="Central"/>
    <s v="UPI"/>
    <x v="0"/>
    <n v="1274.1499999999999"/>
  </r>
  <r>
    <s v="ORD00321"/>
    <d v="2026-09-22T00:00:00"/>
    <s v="C1223"/>
    <s v="Wireless Mouse"/>
    <x v="4"/>
    <n v="4"/>
    <n v="999"/>
    <n v="0.1"/>
    <s v="East"/>
    <s v="UPI"/>
    <x v="0"/>
    <n v="7999"/>
  </r>
  <r>
    <s v="ORD00322"/>
    <d v="2026-07-20T00:00:00"/>
    <s v="C1714"/>
    <s v="Monitor"/>
    <x v="4"/>
    <n v="4"/>
    <n v="2499"/>
    <n v="0.05"/>
    <s v="West"/>
    <s v="UPI"/>
    <x v="0"/>
    <n v="3596.4"/>
  </r>
  <r>
    <s v="ORD00323"/>
    <d v="2026-01-11T00:00:00"/>
    <s v="C1786"/>
    <s v="Mechanical Keyboard"/>
    <x v="1"/>
    <n v="5"/>
    <n v="1499"/>
    <n v="0.1"/>
    <s v="West"/>
    <s v="COD"/>
    <x v="0"/>
    <n v="9496.1999999999989"/>
  </r>
  <r>
    <s v="ORD00324"/>
    <d v="2026-01-02T00:00:00"/>
    <s v="C1335"/>
    <s v="Monitor"/>
    <x v="3"/>
    <n v="5"/>
    <n v="599"/>
    <n v="0.1"/>
    <s v="Central"/>
    <s v="Net Banking"/>
    <x v="1"/>
    <n v="6745.5"/>
  </r>
  <r>
    <s v="ORD00325"/>
    <d v="2026-08-10T00:00:00"/>
    <s v="C1155"/>
    <s v="Wireless Mouse"/>
    <x v="3"/>
    <n v="4"/>
    <n v="1299"/>
    <n v="0.1"/>
    <s v="South"/>
    <s v="Debit Card"/>
    <x v="0"/>
    <n v="2695.5"/>
  </r>
  <r>
    <s v="ORD00326"/>
    <d v="2026-01-18T00:00:00"/>
    <s v="C1635"/>
    <s v="Webcam"/>
    <x v="0"/>
    <n v="4"/>
    <n v="1499"/>
    <n v="0"/>
    <s v="West"/>
    <s v="Net Banking"/>
    <x v="1"/>
    <n v="4676.4000000000005"/>
  </r>
  <r>
    <s v="ORD00327"/>
    <d v="2026-02-12T00:00:00"/>
    <s v="C1148"/>
    <s v="Keyboard"/>
    <x v="2"/>
    <n v="3"/>
    <n v="599"/>
    <n v="0"/>
    <s v="North"/>
    <s v="Net Banking"/>
    <x v="0"/>
    <n v="5996"/>
  </r>
  <r>
    <s v="ORD00328"/>
    <d v="2026-07-25T00:00:00"/>
    <s v="C1465"/>
    <s v="Keyboard"/>
    <x v="4"/>
    <n v="2"/>
    <n v="1999"/>
    <n v="0.15"/>
    <s v="West"/>
    <s v="COD"/>
    <x v="0"/>
    <n v="1797"/>
  </r>
  <r>
    <s v="ORD00329"/>
    <d v="2026-05-30T00:00:00"/>
    <s v="C1279"/>
    <s v="Power Bank"/>
    <x v="2"/>
    <n v="4"/>
    <n v="499"/>
    <n v="0"/>
    <s v="North"/>
    <s v="Debit Card"/>
    <x v="1"/>
    <n v="3398.2999999999997"/>
  </r>
  <r>
    <s v="ORD00330"/>
    <d v="2026-01-04T00:00:00"/>
    <s v="C1144"/>
    <s v="Mechanical Keyboard"/>
    <x v="2"/>
    <n v="5"/>
    <n v="1499"/>
    <n v="0.05"/>
    <s v="Central"/>
    <s v="Credit Card"/>
    <x v="0"/>
    <n v="1996"/>
  </r>
  <r>
    <s v="ORD00331"/>
    <d v="2026-04-23T00:00:00"/>
    <s v="C1423"/>
    <s v="Wireless Mouse"/>
    <x v="2"/>
    <n v="2"/>
    <n v="1299"/>
    <n v="0"/>
    <s v="East"/>
    <s v="Credit Card"/>
    <x v="0"/>
    <n v="7120.25"/>
  </r>
  <r>
    <s v="ORD00332"/>
    <d v="2026-05-23T00:00:00"/>
    <s v="C1024"/>
    <s v="Webcam"/>
    <x v="2"/>
    <n v="5"/>
    <n v="1999"/>
    <n v="0.05"/>
    <s v="North"/>
    <s v="UPI"/>
    <x v="0"/>
    <n v="2598"/>
  </r>
  <r>
    <s v="ORD00333"/>
    <d v="2026-02-14T00:00:00"/>
    <s v="C1343"/>
    <s v="Keyboard"/>
    <x v="4"/>
    <n v="1"/>
    <n v="1499"/>
    <n v="0.1"/>
    <s v="Central"/>
    <s v="COD"/>
    <x v="1"/>
    <n v="9495.25"/>
  </r>
  <r>
    <s v="ORD00334"/>
    <d v="2026-06-08T00:00:00"/>
    <s v="C1552"/>
    <s v="Bluetooth Speaker"/>
    <x v="4"/>
    <n v="4"/>
    <n v="1299"/>
    <n v="0.05"/>
    <s v="East"/>
    <s v="UPI"/>
    <x v="0"/>
    <n v="1349.1000000000001"/>
  </r>
  <r>
    <s v="ORD00335"/>
    <d v="2026-08-22T00:00:00"/>
    <s v="C1590"/>
    <s v="Wireless Mouse"/>
    <x v="3"/>
    <n v="1"/>
    <n v="999"/>
    <n v="0.15"/>
    <s v="West"/>
    <s v="Debit Card"/>
    <x v="0"/>
    <n v="4936.2"/>
  </r>
  <r>
    <s v="ORD00336"/>
    <d v="2026-04-10T00:00:00"/>
    <s v="C1168"/>
    <s v="Headphones"/>
    <x v="4"/>
    <n v="3"/>
    <n v="599"/>
    <n v="0"/>
    <s v="South"/>
    <s v="Debit Card"/>
    <x v="2"/>
    <n v="849.15"/>
  </r>
  <r>
    <s v="ORD00337"/>
    <d v="2026-01-22T00:00:00"/>
    <s v="C1036"/>
    <s v="Monitor"/>
    <x v="3"/>
    <n v="4"/>
    <n v="7999"/>
    <n v="0.15"/>
    <s v="East"/>
    <s v="UPI"/>
    <x v="1"/>
    <n v="1797"/>
  </r>
  <r>
    <s v="ORD00338"/>
    <d v="2026-06-11T00:00:00"/>
    <s v="C1221"/>
    <s v="Wireless Mouse"/>
    <x v="2"/>
    <n v="3"/>
    <n v="999"/>
    <n v="0.05"/>
    <s v="East"/>
    <s v="Credit Card"/>
    <x v="0"/>
    <n v="27196.6"/>
  </r>
  <r>
    <s v="ORD00339"/>
    <d v="2026-08-14T00:00:00"/>
    <s v="C1607"/>
    <s v="USB-C Hub"/>
    <x v="4"/>
    <n v="1"/>
    <n v="599"/>
    <n v="0"/>
    <s v="South"/>
    <s v="Debit Card"/>
    <x v="2"/>
    <n v="2847.15"/>
  </r>
  <r>
    <s v="ORD00340"/>
    <d v="2026-07-17T00:00:00"/>
    <s v="C1260"/>
    <s v="Power Bank"/>
    <x v="0"/>
    <n v="2"/>
    <n v="999"/>
    <n v="0.15"/>
    <s v="North"/>
    <s v="UPI"/>
    <x v="1"/>
    <n v="599"/>
  </r>
  <r>
    <s v="ORD00341"/>
    <d v="2026-02-15T00:00:00"/>
    <s v="C1541"/>
    <s v="Webcam"/>
    <x v="4"/>
    <n v="4"/>
    <n v="4999"/>
    <n v="0"/>
    <s v="East"/>
    <s v="COD"/>
    <x v="0"/>
    <n v="1698.3"/>
  </r>
  <r>
    <s v="ORD00342"/>
    <d v="2026-08-05T00:00:00"/>
    <s v="C1783"/>
    <s v="Keyboard"/>
    <x v="3"/>
    <n v="4"/>
    <n v="499"/>
    <n v="0.05"/>
    <s v="West"/>
    <s v="Credit Card"/>
    <x v="1"/>
    <n v="19996"/>
  </r>
  <r>
    <s v="ORD00343"/>
    <d v="2026-02-13T00:00:00"/>
    <s v="C1163"/>
    <s v="Wireless Mouse"/>
    <x v="1"/>
    <n v="4"/>
    <n v="1299"/>
    <n v="0"/>
    <s v="East"/>
    <s v="UPI"/>
    <x v="1"/>
    <n v="1896.1999999999998"/>
  </r>
  <r>
    <s v="ORD00344"/>
    <d v="2026-01-25T00:00:00"/>
    <s v="C1589"/>
    <s v="Bluetooth Speaker"/>
    <x v="2"/>
    <n v="4"/>
    <n v="999"/>
    <n v="0.05"/>
    <s v="East"/>
    <s v="COD"/>
    <x v="0"/>
    <n v="5196"/>
  </r>
  <r>
    <s v="ORD00345"/>
    <d v="2026-05-16T00:00:00"/>
    <s v="C1640"/>
    <s v="Power Bank"/>
    <x v="4"/>
    <n v="2"/>
    <n v="4999"/>
    <n v="0.05"/>
    <s v="North"/>
    <s v="COD"/>
    <x v="1"/>
    <n v="3796.2"/>
  </r>
  <r>
    <s v="ORD00346"/>
    <d v="2026-03-17T00:00:00"/>
    <s v="C1293"/>
    <s v="Keyboard"/>
    <x v="4"/>
    <n v="4"/>
    <n v="2499"/>
    <n v="0"/>
    <s v="North"/>
    <s v="Credit Card"/>
    <x v="0"/>
    <n v="9498.1"/>
  </r>
  <r>
    <s v="ORD00347"/>
    <d v="2026-09-01T00:00:00"/>
    <s v="C1452"/>
    <s v="Webcam"/>
    <x v="2"/>
    <n v="5"/>
    <n v="1499"/>
    <n v="0.1"/>
    <s v="Central"/>
    <s v="Net Banking"/>
    <x v="0"/>
    <n v="9996"/>
  </r>
  <r>
    <s v="ORD00348"/>
    <d v="2026-04-02T00:00:00"/>
    <s v="C1490"/>
    <s v="Webcam"/>
    <x v="2"/>
    <n v="2"/>
    <n v="799"/>
    <n v="0.15"/>
    <s v="West"/>
    <s v="Debit Card"/>
    <x v="2"/>
    <n v="6745.5"/>
  </r>
  <r>
    <s v="ORD00349"/>
    <d v="2026-07-25T00:00:00"/>
    <s v="C1194"/>
    <s v="Mechanical Keyboard"/>
    <x v="4"/>
    <n v="1"/>
    <n v="999"/>
    <n v="0.15"/>
    <s v="South"/>
    <s v="Net Banking"/>
    <x v="0"/>
    <n v="1358.3"/>
  </r>
  <r>
    <s v="ORD00350"/>
    <d v="2026-09-26T00:00:00"/>
    <s v="C1135"/>
    <s v="Wireless Mouse"/>
    <x v="2"/>
    <n v="5"/>
    <n v="499"/>
    <n v="0.15"/>
    <s v="West"/>
    <s v="Debit Card"/>
    <x v="0"/>
    <n v="849.15"/>
  </r>
  <r>
    <s v="ORD00351"/>
    <d v="2026-02-20T00:00:00"/>
    <s v="C1692"/>
    <s v="USB-C Hub"/>
    <x v="1"/>
    <n v="5"/>
    <n v="499"/>
    <n v="0"/>
    <s v="Central"/>
    <s v="Net Banking"/>
    <x v="0"/>
    <n v="2120.75"/>
  </r>
  <r>
    <s v="ORD00352"/>
    <d v="2026-05-16T00:00:00"/>
    <s v="C1138"/>
    <s v="Bluetooth Speaker"/>
    <x v="1"/>
    <n v="4"/>
    <n v="7999"/>
    <n v="0.15"/>
    <s v="West"/>
    <s v="Debit Card"/>
    <x v="2"/>
    <n v="2495"/>
  </r>
  <r>
    <s v="ORD00353"/>
    <d v="2026-01-31T00:00:00"/>
    <s v="C1777"/>
    <s v="Monitor"/>
    <x v="2"/>
    <n v="1"/>
    <n v="999"/>
    <n v="0.15"/>
    <s v="Central"/>
    <s v="COD"/>
    <x v="0"/>
    <n v="27196.6"/>
  </r>
  <r>
    <s v="ORD00354"/>
    <d v="2026-04-10T00:00:00"/>
    <s v="C1290"/>
    <s v="Power Bank"/>
    <x v="4"/>
    <n v="1"/>
    <n v="4999"/>
    <n v="0.15"/>
    <s v="West"/>
    <s v="Credit Card"/>
    <x v="0"/>
    <n v="849.15"/>
  </r>
  <r>
    <s v="ORD00355"/>
    <d v="2026-09-02T00:00:00"/>
    <s v="C1173"/>
    <s v="Headphones"/>
    <x v="0"/>
    <n v="4"/>
    <n v="499"/>
    <n v="0.15"/>
    <s v="Central"/>
    <s v="Credit Card"/>
    <x v="2"/>
    <n v="4249.1499999999996"/>
  </r>
  <r>
    <s v="ORD00356"/>
    <d v="2026-03-01T00:00:00"/>
    <s v="C1224"/>
    <s v="Power Bank"/>
    <x v="1"/>
    <n v="5"/>
    <n v="799"/>
    <n v="0"/>
    <s v="North"/>
    <s v="Debit Card"/>
    <x v="0"/>
    <n v="1696.6"/>
  </r>
  <r>
    <s v="ORD00357"/>
    <d v="2026-04-06T00:00:00"/>
    <s v="C1784"/>
    <s v="Power Bank"/>
    <x v="3"/>
    <n v="5"/>
    <n v="499"/>
    <n v="0.15"/>
    <s v="North"/>
    <s v="COD"/>
    <x v="2"/>
    <n v="3995"/>
  </r>
  <r>
    <s v="ORD00358"/>
    <d v="2026-06-03T00:00:00"/>
    <s v="C1709"/>
    <s v="Laptop Stand"/>
    <x v="1"/>
    <n v="4"/>
    <n v="799"/>
    <n v="0.05"/>
    <s v="North"/>
    <s v="COD"/>
    <x v="0"/>
    <n v="2120.75"/>
  </r>
  <r>
    <s v="ORD00359"/>
    <d v="2026-09-06T00:00:00"/>
    <s v="C1149"/>
    <s v="USB-C Hub"/>
    <x v="1"/>
    <n v="1"/>
    <n v="7999"/>
    <n v="0"/>
    <s v="West"/>
    <s v="COD"/>
    <x v="1"/>
    <n v="3036.2"/>
  </r>
  <r>
    <s v="ORD00360"/>
    <d v="2026-05-07T00:00:00"/>
    <s v="C1193"/>
    <s v="Headphones"/>
    <x v="2"/>
    <n v="5"/>
    <n v="4999"/>
    <n v="0.15"/>
    <s v="Central"/>
    <s v="UPI"/>
    <x v="0"/>
    <n v="7999"/>
  </r>
  <r>
    <s v="ORD00361"/>
    <d v="2026-07-26T00:00:00"/>
    <s v="C1325"/>
    <s v="Webcam"/>
    <x v="2"/>
    <n v="2"/>
    <n v="2499"/>
    <n v="0.1"/>
    <s v="West"/>
    <s v="Credit Card"/>
    <x v="2"/>
    <n v="21245.75"/>
  </r>
  <r>
    <s v="ORD00362"/>
    <d v="2026-03-09T00:00:00"/>
    <s v="C1579"/>
    <s v="Headphones"/>
    <x v="1"/>
    <n v="2"/>
    <n v="499"/>
    <n v="0.15"/>
    <s v="West"/>
    <s v="Credit Card"/>
    <x v="0"/>
    <n v="4498.2"/>
  </r>
  <r>
    <s v="ORD00363"/>
    <d v="2026-09-07T00:00:00"/>
    <s v="C1406"/>
    <s v="Monitor"/>
    <x v="0"/>
    <n v="2"/>
    <n v="1499"/>
    <n v="0"/>
    <s v="North"/>
    <s v="Credit Card"/>
    <x v="0"/>
    <n v="848.3"/>
  </r>
  <r>
    <s v="ORD00364"/>
    <d v="2026-01-24T00:00:00"/>
    <s v="C1394"/>
    <s v="Mechanical Keyboard"/>
    <x v="3"/>
    <n v="2"/>
    <n v="1999"/>
    <n v="0"/>
    <s v="West"/>
    <s v="Net Banking"/>
    <x v="0"/>
    <n v="2998"/>
  </r>
  <r>
    <s v="ORD00365"/>
    <d v="2026-03-07T00:00:00"/>
    <s v="C1607"/>
    <s v="Mechanical Keyboard"/>
    <x v="3"/>
    <n v="5"/>
    <n v="7999"/>
    <n v="0"/>
    <s v="North"/>
    <s v="Net Banking"/>
    <x v="0"/>
    <n v="3998"/>
  </r>
  <r>
    <s v="ORD00366"/>
    <d v="2026-03-04T00:00:00"/>
    <s v="C1795"/>
    <s v="Keyboard"/>
    <x v="3"/>
    <n v="5"/>
    <n v="1999"/>
    <n v="0.05"/>
    <s v="North"/>
    <s v="Credit Card"/>
    <x v="0"/>
    <n v="39995"/>
  </r>
  <r>
    <s v="ORD00367"/>
    <d v="2026-06-15T00:00:00"/>
    <s v="C1301"/>
    <s v="Power Bank"/>
    <x v="2"/>
    <n v="3"/>
    <n v="599"/>
    <n v="0.15"/>
    <s v="East"/>
    <s v="UPI"/>
    <x v="2"/>
    <n v="9495.25"/>
  </r>
  <r>
    <s v="ORD00368"/>
    <d v="2026-06-22T00:00:00"/>
    <s v="C1024"/>
    <s v="Laptop Stand"/>
    <x v="0"/>
    <n v="4"/>
    <n v="2499"/>
    <n v="0.05"/>
    <s v="East"/>
    <s v="Net Banking"/>
    <x v="1"/>
    <n v="1527.45"/>
  </r>
  <r>
    <s v="ORD00369"/>
    <d v="2026-03-30T00:00:00"/>
    <s v="C1516"/>
    <s v="Keyboard"/>
    <x v="4"/>
    <n v="4"/>
    <n v="999"/>
    <n v="0.15"/>
    <s v="South"/>
    <s v="COD"/>
    <x v="1"/>
    <n v="9496.1999999999989"/>
  </r>
  <r>
    <s v="ORD00370"/>
    <d v="2026-03-20T00:00:00"/>
    <s v="C1083"/>
    <s v="Laptop Stand"/>
    <x v="2"/>
    <n v="2"/>
    <n v="1299"/>
    <n v="0.15"/>
    <s v="East"/>
    <s v="Debit Card"/>
    <x v="0"/>
    <n v="3396.6"/>
  </r>
  <r>
    <s v="ORD00371"/>
    <d v="2026-08-07T00:00:00"/>
    <s v="C1449"/>
    <s v="Monitor"/>
    <x v="0"/>
    <n v="2"/>
    <n v="499"/>
    <n v="0"/>
    <s v="North"/>
    <s v="Debit Card"/>
    <x v="2"/>
    <n v="2208.2999999999997"/>
  </r>
  <r>
    <s v="ORD00372"/>
    <d v="2026-03-06T00:00:00"/>
    <s v="C1728"/>
    <s v="Laptop Stand"/>
    <x v="3"/>
    <n v="2"/>
    <n v="1499"/>
    <n v="0.05"/>
    <s v="North"/>
    <s v="COD"/>
    <x v="0"/>
    <n v="998"/>
  </r>
  <r>
    <s v="ORD00373"/>
    <d v="2026-09-05T00:00:00"/>
    <s v="C1036"/>
    <s v="Headphones"/>
    <x v="1"/>
    <n v="3"/>
    <n v="999"/>
    <n v="0.05"/>
    <s v="South"/>
    <s v="UPI"/>
    <x v="0"/>
    <n v="2848.1"/>
  </r>
  <r>
    <s v="ORD00374"/>
    <d v="2026-06-20T00:00:00"/>
    <s v="C1075"/>
    <s v="Laptop Stand"/>
    <x v="1"/>
    <n v="1"/>
    <n v="799"/>
    <n v="0"/>
    <s v="West"/>
    <s v="UPI"/>
    <x v="2"/>
    <n v="2847.15"/>
  </r>
  <r>
    <s v="ORD00375"/>
    <d v="2026-02-19T00:00:00"/>
    <s v="C1022"/>
    <s v="Keyboard"/>
    <x v="1"/>
    <n v="2"/>
    <n v="1999"/>
    <n v="0"/>
    <s v="Central"/>
    <s v="Credit Card"/>
    <x v="1"/>
    <n v="799"/>
  </r>
  <r>
    <s v="ORD00376"/>
    <d v="2026-02-18T00:00:00"/>
    <s v="C1512"/>
    <s v="Laptop Stand"/>
    <x v="3"/>
    <n v="1"/>
    <n v="999"/>
    <n v="0.05"/>
    <s v="Central"/>
    <s v="UPI"/>
    <x v="2"/>
    <n v="3998"/>
  </r>
  <r>
    <s v="ORD00377"/>
    <d v="2026-08-11T00:00:00"/>
    <s v="C1424"/>
    <s v="Keyboard"/>
    <x v="3"/>
    <n v="1"/>
    <n v="999"/>
    <n v="0.05"/>
    <s v="East"/>
    <s v="Debit Card"/>
    <x v="2"/>
    <n v="949.05"/>
  </r>
  <r>
    <s v="ORD00378"/>
    <d v="2026-01-05T00:00:00"/>
    <s v="C1427"/>
    <s v="Mechanical Keyboard"/>
    <x v="2"/>
    <n v="2"/>
    <n v="2499"/>
    <n v="0.15"/>
    <s v="Central"/>
    <s v="COD"/>
    <x v="0"/>
    <n v="949.05"/>
  </r>
  <r>
    <s v="ORD00379"/>
    <d v="2026-07-01T00:00:00"/>
    <s v="C1691"/>
    <s v="Wireless Mouse"/>
    <x v="1"/>
    <n v="4"/>
    <n v="799"/>
    <n v="0.15"/>
    <s v="North"/>
    <s v="UPI"/>
    <x v="2"/>
    <n v="4248.3"/>
  </r>
  <r>
    <s v="ORD00380"/>
    <d v="2026-09-05T00:00:00"/>
    <s v="C1375"/>
    <s v="Monitor"/>
    <x v="3"/>
    <n v="2"/>
    <n v="499"/>
    <n v="0.1"/>
    <s v="South"/>
    <s v="UPI"/>
    <x v="0"/>
    <n v="2716.6"/>
  </r>
  <r>
    <s v="ORD00381"/>
    <d v="2026-08-15T00:00:00"/>
    <s v="C1061"/>
    <s v="Wireless Mouse"/>
    <x v="2"/>
    <n v="1"/>
    <n v="799"/>
    <n v="0"/>
    <s v="South"/>
    <s v="Net Banking"/>
    <x v="0"/>
    <n v="898.2"/>
  </r>
  <r>
    <s v="ORD00382"/>
    <d v="2026-09-21T00:00:00"/>
    <s v="C1709"/>
    <s v="Headphones"/>
    <x v="2"/>
    <n v="4"/>
    <n v="1999"/>
    <n v="0.15"/>
    <s v="West"/>
    <s v="COD"/>
    <x v="2"/>
    <n v="799"/>
  </r>
  <r>
    <s v="ORD00383"/>
    <d v="2026-05-26T00:00:00"/>
    <s v="C1237"/>
    <s v="Headphones"/>
    <x v="1"/>
    <n v="3"/>
    <n v="1499"/>
    <n v="0.15"/>
    <s v="West"/>
    <s v="Net Banking"/>
    <x v="2"/>
    <n v="6796.5999999999995"/>
  </r>
  <r>
    <s v="ORD00384"/>
    <d v="2026-05-13T00:00:00"/>
    <s v="C1765"/>
    <s v="Bluetooth Speaker"/>
    <x v="3"/>
    <n v="1"/>
    <n v="499"/>
    <n v="0"/>
    <s v="Central"/>
    <s v="COD"/>
    <x v="0"/>
    <n v="3822.45"/>
  </r>
  <r>
    <s v="ORD00385"/>
    <d v="2026-04-11T00:00:00"/>
    <s v="C1678"/>
    <s v="Keyboard"/>
    <x v="2"/>
    <n v="1"/>
    <n v="1299"/>
    <n v="0"/>
    <s v="West"/>
    <s v="Debit Card"/>
    <x v="2"/>
    <n v="499"/>
  </r>
  <r>
    <s v="ORD00386"/>
    <d v="2026-08-15T00:00:00"/>
    <s v="C1485"/>
    <s v="Keyboard"/>
    <x v="0"/>
    <n v="1"/>
    <n v="7999"/>
    <n v="0.15"/>
    <s v="South"/>
    <s v="COD"/>
    <x v="0"/>
    <n v="1299"/>
  </r>
  <r>
    <s v="ORD00387"/>
    <d v="2026-06-27T00:00:00"/>
    <s v="C1257"/>
    <s v="Monitor"/>
    <x v="4"/>
    <n v="4"/>
    <n v="799"/>
    <n v="0"/>
    <s v="East"/>
    <s v="Credit Card"/>
    <x v="0"/>
    <n v="6799.15"/>
  </r>
  <r>
    <s v="ORD00388"/>
    <d v="2026-02-24T00:00:00"/>
    <s v="C1691"/>
    <s v="Keyboard"/>
    <x v="4"/>
    <n v="4"/>
    <n v="1999"/>
    <n v="0"/>
    <s v="South"/>
    <s v="Credit Card"/>
    <x v="2"/>
    <n v="3196"/>
  </r>
  <r>
    <s v="ORD00389"/>
    <d v="2026-05-13T00:00:00"/>
    <s v="C1486"/>
    <s v="Mechanical Keyboard"/>
    <x v="3"/>
    <n v="1"/>
    <n v="7999"/>
    <n v="0"/>
    <s v="East"/>
    <s v="Credit Card"/>
    <x v="2"/>
    <n v="7996"/>
  </r>
  <r>
    <s v="ORD00390"/>
    <d v="2026-08-14T00:00:00"/>
    <s v="C1309"/>
    <s v="USB-C Hub"/>
    <x v="1"/>
    <n v="3"/>
    <n v="2499"/>
    <n v="0.15"/>
    <s v="Central"/>
    <s v="Net Banking"/>
    <x v="0"/>
    <n v="7999"/>
  </r>
  <r>
    <s v="ORD00391"/>
    <d v="2026-07-04T00:00:00"/>
    <s v="C1287"/>
    <s v="Wireless Mouse"/>
    <x v="1"/>
    <n v="2"/>
    <n v="599"/>
    <n v="0.15"/>
    <s v="Central"/>
    <s v="Net Banking"/>
    <x v="0"/>
    <n v="6372.45"/>
  </r>
  <r>
    <s v="ORD00392"/>
    <d v="2026-01-25T00:00:00"/>
    <s v="C1608"/>
    <s v="USB-C Hub"/>
    <x v="1"/>
    <n v="1"/>
    <n v="799"/>
    <n v="0"/>
    <s v="North"/>
    <s v="COD"/>
    <x v="2"/>
    <n v="1018.3"/>
  </r>
  <r>
    <s v="ORD00393"/>
    <d v="2026-06-11T00:00:00"/>
    <s v="C1582"/>
    <s v="Wireless Mouse"/>
    <x v="2"/>
    <n v="1"/>
    <n v="2499"/>
    <n v="0.1"/>
    <s v="Central"/>
    <s v="UPI"/>
    <x v="2"/>
    <n v="799"/>
  </r>
  <r>
    <s v="ORD00394"/>
    <d v="2026-06-27T00:00:00"/>
    <s v="C1779"/>
    <s v="Headphones"/>
    <x v="3"/>
    <n v="1"/>
    <n v="599"/>
    <n v="0"/>
    <s v="South"/>
    <s v="COD"/>
    <x v="2"/>
    <n v="2249.1"/>
  </r>
  <r>
    <s v="ORD00395"/>
    <d v="2026-02-07T00:00:00"/>
    <s v="C1577"/>
    <s v="Laptop Stand"/>
    <x v="2"/>
    <n v="2"/>
    <n v="1999"/>
    <n v="0.05"/>
    <s v="North"/>
    <s v="COD"/>
    <x v="0"/>
    <n v="599"/>
  </r>
  <r>
    <s v="ORD00396"/>
    <d v="2026-03-07T00:00:00"/>
    <s v="C1151"/>
    <s v="Keyboard"/>
    <x v="4"/>
    <n v="4"/>
    <n v="4999"/>
    <n v="0.15"/>
    <s v="Central"/>
    <s v="Net Banking"/>
    <x v="0"/>
    <n v="3798.1"/>
  </r>
  <r>
    <s v="ORD00397"/>
    <d v="2026-02-14T00:00:00"/>
    <s v="C1204"/>
    <s v="Wireless Mouse"/>
    <x v="2"/>
    <n v="5"/>
    <n v="1499"/>
    <n v="0.15"/>
    <s v="West"/>
    <s v="Debit Card"/>
    <x v="0"/>
    <n v="16996.599999999999"/>
  </r>
  <r>
    <s v="ORD00398"/>
    <d v="2026-03-13T00:00:00"/>
    <s v="C1551"/>
    <s v="Monitor"/>
    <x v="1"/>
    <n v="2"/>
    <n v="1999"/>
    <n v="0.15"/>
    <s v="West"/>
    <s v="Debit Card"/>
    <x v="0"/>
    <n v="6370.75"/>
  </r>
  <r>
    <s v="ORD00399"/>
    <d v="2026-04-30T00:00:00"/>
    <s v="C1557"/>
    <s v="Keyboard"/>
    <x v="2"/>
    <n v="4"/>
    <n v="999"/>
    <n v="0.1"/>
    <s v="Central"/>
    <s v="Debit Card"/>
    <x v="0"/>
    <n v="3398.2999999999997"/>
  </r>
  <r>
    <s v="ORD00400"/>
    <d v="2026-08-05T00:00:00"/>
    <s v="C1369"/>
    <s v="Wireless Mouse"/>
    <x v="3"/>
    <n v="3"/>
    <n v="499"/>
    <n v="0"/>
    <s v="East"/>
    <s v="COD"/>
    <x v="0"/>
    <n v="3596.4"/>
  </r>
  <r>
    <s v="ORD00401"/>
    <d v="2026-03-18T00:00:00"/>
    <s v="C1570"/>
    <s v="Headphones"/>
    <x v="1"/>
    <n v="3"/>
    <n v="799"/>
    <n v="0"/>
    <s v="East"/>
    <s v="COD"/>
    <x v="2"/>
    <n v="1497"/>
  </r>
  <r>
    <s v="ORD00402"/>
    <d v="2026-06-18T00:00:00"/>
    <s v="C1450"/>
    <s v="USB-C Hub"/>
    <x v="3"/>
    <n v="2"/>
    <n v="2499"/>
    <n v="0.1"/>
    <s v="Central"/>
    <s v="Debit Card"/>
    <x v="2"/>
    <n v="2397"/>
  </r>
  <r>
    <s v="ORD00403"/>
    <d v="2026-01-31T00:00:00"/>
    <s v="C1617"/>
    <s v="Webcam"/>
    <x v="2"/>
    <n v="1"/>
    <n v="599"/>
    <n v="0.1"/>
    <s v="Central"/>
    <s v="COD"/>
    <x v="1"/>
    <n v="4498.2"/>
  </r>
  <r>
    <s v="ORD00404"/>
    <d v="2026-01-06T00:00:00"/>
    <s v="C1424"/>
    <s v="Webcam"/>
    <x v="4"/>
    <n v="5"/>
    <n v="999"/>
    <n v="0"/>
    <s v="East"/>
    <s v="Credit Card"/>
    <x v="0"/>
    <n v="539.1"/>
  </r>
  <r>
    <s v="ORD00405"/>
    <d v="2026-03-22T00:00:00"/>
    <s v="C1761"/>
    <s v="USB-C Hub"/>
    <x v="3"/>
    <n v="3"/>
    <n v="1499"/>
    <n v="0.1"/>
    <s v="East"/>
    <s v="Credit Card"/>
    <x v="0"/>
    <n v="4995"/>
  </r>
  <r>
    <s v="ORD00406"/>
    <d v="2026-04-15T00:00:00"/>
    <s v="C1407"/>
    <s v="Wireless Mouse"/>
    <x v="2"/>
    <n v="1"/>
    <n v="1499"/>
    <n v="0"/>
    <s v="Central"/>
    <s v="UPI"/>
    <x v="0"/>
    <n v="4047.3"/>
  </r>
  <r>
    <s v="ORD00407"/>
    <d v="2026-02-26T00:00:00"/>
    <s v="C1689"/>
    <s v="Bluetooth Speaker"/>
    <x v="0"/>
    <n v="2"/>
    <n v="499"/>
    <n v="0"/>
    <s v="Central"/>
    <s v="Net Banking"/>
    <x v="2"/>
    <n v="1499"/>
  </r>
  <r>
    <s v="ORD00408"/>
    <d v="2026-06-20T00:00:00"/>
    <s v="C1629"/>
    <s v="Wireless Mouse"/>
    <x v="4"/>
    <n v="4"/>
    <n v="599"/>
    <n v="0.15"/>
    <s v="East"/>
    <s v="Debit Card"/>
    <x v="0"/>
    <n v="998"/>
  </r>
  <r>
    <s v="ORD00409"/>
    <d v="2026-06-11T00:00:00"/>
    <s v="C1078"/>
    <s v="Monitor"/>
    <x v="0"/>
    <n v="4"/>
    <n v="599"/>
    <n v="0"/>
    <s v="Central"/>
    <s v="Net Banking"/>
    <x v="0"/>
    <n v="2036.6"/>
  </r>
  <r>
    <s v="ORD00410"/>
    <d v="2026-05-25T00:00:00"/>
    <s v="C1717"/>
    <s v="USB-C Hub"/>
    <x v="4"/>
    <n v="1"/>
    <n v="799"/>
    <n v="0"/>
    <s v="Central"/>
    <s v="Net Banking"/>
    <x v="0"/>
    <n v="2396"/>
  </r>
  <r>
    <s v="ORD00411"/>
    <d v="2026-06-29T00:00:00"/>
    <s v="C1422"/>
    <s v="Bluetooth Speaker"/>
    <x v="4"/>
    <n v="4"/>
    <n v="799"/>
    <n v="0.1"/>
    <s v="North"/>
    <s v="Credit Card"/>
    <x v="1"/>
    <n v="799"/>
  </r>
  <r>
    <s v="ORD00412"/>
    <d v="2026-06-20T00:00:00"/>
    <s v="C1712"/>
    <s v="Keyboard"/>
    <x v="4"/>
    <n v="1"/>
    <n v="499"/>
    <n v="0.15"/>
    <s v="South"/>
    <s v="Debit Card"/>
    <x v="0"/>
    <n v="2876.4"/>
  </r>
  <r>
    <s v="ORD00413"/>
    <d v="2026-09-04T00:00:00"/>
    <s v="C1161"/>
    <s v="Laptop Stand"/>
    <x v="0"/>
    <n v="3"/>
    <n v="2499"/>
    <n v="0.15"/>
    <s v="South"/>
    <s v="Credit Card"/>
    <x v="0"/>
    <n v="424.15"/>
  </r>
  <r>
    <s v="ORD00414"/>
    <d v="2026-03-03T00:00:00"/>
    <s v="C1695"/>
    <s v="Bluetooth Speaker"/>
    <x v="4"/>
    <n v="1"/>
    <n v="2499"/>
    <n v="0.05"/>
    <s v="West"/>
    <s v="Credit Card"/>
    <x v="2"/>
    <n v="6372.45"/>
  </r>
  <r>
    <s v="ORD00415"/>
    <d v="2026-04-01T00:00:00"/>
    <s v="C1620"/>
    <s v="Keyboard"/>
    <x v="4"/>
    <n v="3"/>
    <n v="799"/>
    <n v="0.05"/>
    <s v="Central"/>
    <s v="Credit Card"/>
    <x v="0"/>
    <n v="2374.0499999999997"/>
  </r>
  <r>
    <s v="ORD00416"/>
    <d v="2026-08-06T00:00:00"/>
    <s v="C1174"/>
    <s v="Wireless Mouse"/>
    <x v="3"/>
    <n v="5"/>
    <n v="1999"/>
    <n v="0"/>
    <s v="South"/>
    <s v="COD"/>
    <x v="0"/>
    <n v="2277.15"/>
  </r>
  <r>
    <s v="ORD00417"/>
    <d v="2026-01-13T00:00:00"/>
    <s v="C1565"/>
    <s v="Webcam"/>
    <x v="4"/>
    <n v="3"/>
    <n v="7999"/>
    <n v="0.1"/>
    <s v="Central"/>
    <s v="Debit Card"/>
    <x v="0"/>
    <n v="9995"/>
  </r>
  <r>
    <s v="ORD00418"/>
    <d v="2026-05-19T00:00:00"/>
    <s v="C1407"/>
    <s v="USB-C Hub"/>
    <x v="3"/>
    <n v="5"/>
    <n v="1499"/>
    <n v="0.1"/>
    <s v="East"/>
    <s v="UPI"/>
    <x v="0"/>
    <n v="21597.3"/>
  </r>
  <r>
    <s v="ORD00419"/>
    <d v="2026-01-01T00:00:00"/>
    <s v="C1337"/>
    <s v="Laptop Stand"/>
    <x v="3"/>
    <n v="5"/>
    <n v="1999"/>
    <n v="0.05"/>
    <s v="West"/>
    <s v="COD"/>
    <x v="1"/>
    <n v="6745.5"/>
  </r>
  <r>
    <s v="ORD00420"/>
    <d v="2026-03-16T00:00:00"/>
    <s v="C1716"/>
    <s v="Power Bank"/>
    <x v="3"/>
    <n v="5"/>
    <n v="799"/>
    <n v="0.15"/>
    <s v="North"/>
    <s v="Debit Card"/>
    <x v="2"/>
    <n v="9495.25"/>
  </r>
  <r>
    <s v="ORD00421"/>
    <d v="2026-05-13T00:00:00"/>
    <s v="C1721"/>
    <s v="Webcam"/>
    <x v="1"/>
    <n v="4"/>
    <n v="799"/>
    <n v="0.05"/>
    <s v="South"/>
    <s v="Net Banking"/>
    <x v="1"/>
    <n v="3395.75"/>
  </r>
  <r>
    <s v="ORD00422"/>
    <d v="2026-01-29T00:00:00"/>
    <s v="C1523"/>
    <s v="Bluetooth Speaker"/>
    <x v="4"/>
    <n v="2"/>
    <n v="1999"/>
    <n v="0.1"/>
    <s v="Central"/>
    <s v="COD"/>
    <x v="1"/>
    <n v="3036.2"/>
  </r>
  <r>
    <s v="ORD00423"/>
    <d v="2026-05-03T00:00:00"/>
    <s v="C1325"/>
    <s v="Power Bank"/>
    <x v="4"/>
    <n v="3"/>
    <n v="1999"/>
    <n v="0.05"/>
    <s v="East"/>
    <s v="Debit Card"/>
    <x v="0"/>
    <n v="3598.2000000000003"/>
  </r>
  <r>
    <s v="ORD00424"/>
    <d v="2026-01-16T00:00:00"/>
    <s v="C1246"/>
    <s v="Webcam"/>
    <x v="1"/>
    <n v="3"/>
    <n v="1499"/>
    <n v="0"/>
    <s v="East"/>
    <s v="Credit Card"/>
    <x v="1"/>
    <n v="5697.15"/>
  </r>
  <r>
    <s v="ORD00425"/>
    <d v="2026-01-21T00:00:00"/>
    <s v="C1543"/>
    <s v="Power Bank"/>
    <x v="0"/>
    <n v="2"/>
    <n v="4999"/>
    <n v="0"/>
    <s v="West"/>
    <s v="Debit Card"/>
    <x v="1"/>
    <n v="4497"/>
  </r>
  <r>
    <s v="ORD00426"/>
    <d v="2026-06-13T00:00:00"/>
    <s v="C1246"/>
    <s v="Headphones"/>
    <x v="2"/>
    <n v="1"/>
    <n v="1499"/>
    <n v="0.1"/>
    <s v="North"/>
    <s v="UPI"/>
    <x v="0"/>
    <n v="9998"/>
  </r>
  <r>
    <s v="ORD00427"/>
    <d v="2026-05-25T00:00:00"/>
    <s v="C1357"/>
    <s v="Mechanical Keyboard"/>
    <x v="3"/>
    <n v="2"/>
    <n v="1299"/>
    <n v="0.15"/>
    <s v="East"/>
    <s v="Debit Card"/>
    <x v="0"/>
    <n v="1349.1000000000001"/>
  </r>
  <r>
    <s v="ORD00428"/>
    <d v="2026-06-19T00:00:00"/>
    <s v="C1613"/>
    <s v="Power Bank"/>
    <x v="0"/>
    <n v="1"/>
    <n v="7999"/>
    <n v="0.1"/>
    <s v="East"/>
    <s v="Debit Card"/>
    <x v="1"/>
    <n v="2208.2999999999997"/>
  </r>
  <r>
    <s v="ORD00429"/>
    <d v="2026-03-28T00:00:00"/>
    <s v="C1612"/>
    <s v="Laptop Stand"/>
    <x v="0"/>
    <n v="4"/>
    <n v="1299"/>
    <n v="0.05"/>
    <s v="North"/>
    <s v="Credit Card"/>
    <x v="0"/>
    <n v="7199.1"/>
  </r>
  <r>
    <s v="ORD00430"/>
    <d v="2026-07-02T00:00:00"/>
    <s v="C1698"/>
    <s v="Monitor"/>
    <x v="4"/>
    <n v="2"/>
    <n v="1299"/>
    <n v="0"/>
    <s v="North"/>
    <s v="UPI"/>
    <x v="1"/>
    <n v="4936.2"/>
  </r>
  <r>
    <s v="ORD00431"/>
    <d v="2026-09-25T00:00:00"/>
    <s v="C1492"/>
    <s v="Mechanical Keyboard"/>
    <x v="4"/>
    <n v="5"/>
    <n v="999"/>
    <n v="0"/>
    <s v="East"/>
    <s v="Credit Card"/>
    <x v="2"/>
    <n v="2598"/>
  </r>
  <r>
    <s v="ORD00432"/>
    <d v="2026-05-28T00:00:00"/>
    <s v="C1387"/>
    <s v="Mechanical Keyboard"/>
    <x v="1"/>
    <n v="3"/>
    <n v="1299"/>
    <n v="0.05"/>
    <s v="East"/>
    <s v="COD"/>
    <x v="0"/>
    <n v="4995"/>
  </r>
  <r>
    <s v="ORD00433"/>
    <d v="2026-01-31T00:00:00"/>
    <s v="C1147"/>
    <s v="Wireless Mouse"/>
    <x v="4"/>
    <n v="2"/>
    <n v="499"/>
    <n v="0.05"/>
    <s v="North"/>
    <s v="Credit Card"/>
    <x v="0"/>
    <n v="3702.1499999999996"/>
  </r>
  <r>
    <s v="ORD00434"/>
    <d v="2026-04-27T00:00:00"/>
    <s v="C1374"/>
    <s v="Monitor"/>
    <x v="4"/>
    <n v="3"/>
    <n v="999"/>
    <n v="0.05"/>
    <s v="Central"/>
    <s v="Net Banking"/>
    <x v="1"/>
    <n v="948.09999999999991"/>
  </r>
  <r>
    <s v="ORD00435"/>
    <d v="2026-08-18T00:00:00"/>
    <s v="C1096"/>
    <s v="Keyboard"/>
    <x v="4"/>
    <n v="3"/>
    <n v="799"/>
    <n v="0.1"/>
    <s v="South"/>
    <s v="Credit Card"/>
    <x v="0"/>
    <n v="2847.15"/>
  </r>
  <r>
    <s v="ORD00436"/>
    <d v="2026-06-21T00:00:00"/>
    <s v="C1014"/>
    <s v="Webcam"/>
    <x v="0"/>
    <n v="3"/>
    <n v="799"/>
    <n v="0.1"/>
    <s v="East"/>
    <s v="UPI"/>
    <x v="0"/>
    <n v="2157.3000000000002"/>
  </r>
  <r>
    <s v="ORD00437"/>
    <d v="2026-02-16T00:00:00"/>
    <s v="C1385"/>
    <s v="Monitor"/>
    <x v="3"/>
    <n v="4"/>
    <n v="1999"/>
    <n v="0.15"/>
    <s v="West"/>
    <s v="Debit Card"/>
    <x v="0"/>
    <n v="2157.3000000000002"/>
  </r>
  <r>
    <s v="ORD00438"/>
    <d v="2026-01-31T00:00:00"/>
    <s v="C1175"/>
    <s v="Mechanical Keyboard"/>
    <x v="1"/>
    <n v="3"/>
    <n v="1299"/>
    <n v="0"/>
    <s v="East"/>
    <s v="Debit Card"/>
    <x v="0"/>
    <n v="6796.5999999999995"/>
  </r>
  <r>
    <s v="ORD00439"/>
    <d v="2026-02-16T00:00:00"/>
    <s v="C1030"/>
    <s v="Power Bank"/>
    <x v="1"/>
    <n v="3"/>
    <n v="499"/>
    <n v="0.05"/>
    <s v="Central"/>
    <s v="Credit Card"/>
    <x v="0"/>
    <n v="3897"/>
  </r>
  <r>
    <s v="ORD00440"/>
    <d v="2026-06-05T00:00:00"/>
    <s v="C1607"/>
    <s v="Monitor"/>
    <x v="4"/>
    <n v="4"/>
    <n v="799"/>
    <n v="0.1"/>
    <s v="South"/>
    <s v="Net Banking"/>
    <x v="0"/>
    <n v="1422.1499999999999"/>
  </r>
  <r>
    <s v="ORD00441"/>
    <d v="2026-02-17T00:00:00"/>
    <s v="C1449"/>
    <s v="Keyboard"/>
    <x v="3"/>
    <n v="4"/>
    <n v="4999"/>
    <n v="0.05"/>
    <s v="East"/>
    <s v="COD"/>
    <x v="0"/>
    <n v="2876.4"/>
  </r>
  <r>
    <s v="ORD00442"/>
    <d v="2026-01-23T00:00:00"/>
    <s v="C1291"/>
    <s v="Laptop Stand"/>
    <x v="4"/>
    <n v="4"/>
    <n v="1299"/>
    <n v="0.1"/>
    <s v="Central"/>
    <s v="Net Banking"/>
    <x v="1"/>
    <n v="18996.2"/>
  </r>
  <r>
    <s v="ORD00443"/>
    <d v="2026-05-08T00:00:00"/>
    <s v="C1100"/>
    <s v="Bluetooth Speaker"/>
    <x v="4"/>
    <n v="1"/>
    <n v="999"/>
    <n v="0"/>
    <s v="West"/>
    <s v="UPI"/>
    <x v="0"/>
    <n v="4676.4000000000005"/>
  </r>
  <r>
    <s v="ORD00444"/>
    <d v="2026-05-29T00:00:00"/>
    <s v="C1271"/>
    <s v="Webcam"/>
    <x v="2"/>
    <n v="3"/>
    <n v="799"/>
    <n v="0"/>
    <s v="East"/>
    <s v="UPI"/>
    <x v="0"/>
    <n v="999"/>
  </r>
  <r>
    <s v="ORD00445"/>
    <d v="2026-05-02T00:00:00"/>
    <s v="C1282"/>
    <s v="Bluetooth Speaker"/>
    <x v="2"/>
    <n v="1"/>
    <n v="1999"/>
    <n v="0"/>
    <s v="East"/>
    <s v="COD"/>
    <x v="0"/>
    <n v="2397"/>
  </r>
  <r>
    <s v="ORD00446"/>
    <d v="2026-01-02T00:00:00"/>
    <s v="C1298"/>
    <s v="Mechanical Keyboard"/>
    <x v="1"/>
    <n v="1"/>
    <n v="4999"/>
    <n v="0.1"/>
    <s v="Central"/>
    <s v="UPI"/>
    <x v="0"/>
    <n v="1999"/>
  </r>
  <r>
    <s v="ORD00447"/>
    <d v="2026-04-06T00:00:00"/>
    <s v="C1224"/>
    <s v="Laptop Stand"/>
    <x v="2"/>
    <n v="2"/>
    <n v="7999"/>
    <n v="0"/>
    <s v="North"/>
    <s v="Net Banking"/>
    <x v="0"/>
    <n v="4499.1000000000004"/>
  </r>
  <r>
    <s v="ORD00448"/>
    <d v="2026-07-01T00:00:00"/>
    <s v="C1137"/>
    <s v="Laptop Stand"/>
    <x v="0"/>
    <n v="4"/>
    <n v="4999"/>
    <n v="0.15"/>
    <s v="North"/>
    <s v="Debit Card"/>
    <x v="0"/>
    <n v="15998"/>
  </r>
  <r>
    <s v="ORD00449"/>
    <d v="2026-07-17T00:00:00"/>
    <s v="C1302"/>
    <s v="Power Bank"/>
    <x v="4"/>
    <n v="4"/>
    <n v="4999"/>
    <n v="0.05"/>
    <s v="Central"/>
    <s v="Net Banking"/>
    <x v="1"/>
    <n v="16996.599999999999"/>
  </r>
  <r>
    <s v="ORD00450"/>
    <d v="2026-03-30T00:00:00"/>
    <s v="C1621"/>
    <s v="USB-C Hub"/>
    <x v="4"/>
    <n v="4"/>
    <n v="2499"/>
    <n v="0.1"/>
    <s v="East"/>
    <s v="COD"/>
    <x v="2"/>
    <n v="18996.2"/>
  </r>
  <r>
    <s v="ORD00451"/>
    <d v="2026-03-15T00:00:00"/>
    <s v="C1477"/>
    <s v="Webcam"/>
    <x v="4"/>
    <n v="3"/>
    <n v="599"/>
    <n v="0.15"/>
    <s v="East"/>
    <s v="UPI"/>
    <x v="1"/>
    <n v="8996.4"/>
  </r>
  <r>
    <s v="ORD00452"/>
    <d v="2026-03-17T00:00:00"/>
    <s v="C1301"/>
    <s v="Webcam"/>
    <x v="3"/>
    <n v="3"/>
    <n v="4999"/>
    <n v="0.1"/>
    <s v="North"/>
    <s v="UPI"/>
    <x v="0"/>
    <n v="1527.45"/>
  </r>
  <r>
    <s v="ORD00453"/>
    <d v="2026-03-11T00:00:00"/>
    <s v="C1347"/>
    <s v="Wireless Mouse"/>
    <x v="4"/>
    <n v="2"/>
    <n v="599"/>
    <n v="0"/>
    <s v="West"/>
    <s v="UPI"/>
    <x v="0"/>
    <n v="13497.300000000001"/>
  </r>
  <r>
    <s v="ORD00454"/>
    <d v="2026-09-25T00:00:00"/>
    <s v="C1357"/>
    <s v="Mechanical Keyboard"/>
    <x v="1"/>
    <n v="2"/>
    <n v="499"/>
    <n v="0.05"/>
    <s v="South"/>
    <s v="Net Banking"/>
    <x v="0"/>
    <n v="1198"/>
  </r>
  <r>
    <s v="ORD00455"/>
    <d v="2026-01-18T00:00:00"/>
    <s v="C1545"/>
    <s v="Webcam"/>
    <x v="4"/>
    <n v="2"/>
    <n v="7999"/>
    <n v="0.15"/>
    <s v="East"/>
    <s v="COD"/>
    <x v="0"/>
    <n v="948.09999999999991"/>
  </r>
  <r>
    <s v="ORD00456"/>
    <d v="2026-04-05T00:00:00"/>
    <s v="C1721"/>
    <s v="Webcam"/>
    <x v="0"/>
    <n v="3"/>
    <n v="799"/>
    <n v="0"/>
    <s v="North"/>
    <s v="COD"/>
    <x v="1"/>
    <n v="13598.3"/>
  </r>
  <r>
    <s v="ORD00457"/>
    <d v="2026-01-23T00:00:00"/>
    <s v="C1133"/>
    <s v="Monitor"/>
    <x v="1"/>
    <n v="5"/>
    <n v="1299"/>
    <n v="0"/>
    <s v="North"/>
    <s v="Debit Card"/>
    <x v="2"/>
    <n v="2397"/>
  </r>
  <r>
    <s v="ORD00458"/>
    <d v="2026-02-08T00:00:00"/>
    <s v="C1106"/>
    <s v="Monitor"/>
    <x v="1"/>
    <n v="3"/>
    <n v="4999"/>
    <n v="0"/>
    <s v="South"/>
    <s v="COD"/>
    <x v="1"/>
    <n v="6495"/>
  </r>
  <r>
    <s v="ORD00459"/>
    <d v="2026-06-24T00:00:00"/>
    <s v="C1182"/>
    <s v="Webcam"/>
    <x v="3"/>
    <n v="5"/>
    <n v="999"/>
    <n v="0"/>
    <s v="South"/>
    <s v="COD"/>
    <x v="0"/>
    <n v="14997"/>
  </r>
  <r>
    <s v="ORD00460"/>
    <d v="2026-01-03T00:00:00"/>
    <s v="C1263"/>
    <s v="Mechanical Keyboard"/>
    <x v="3"/>
    <n v="2"/>
    <n v="1999"/>
    <n v="0.1"/>
    <s v="West"/>
    <s v="Credit Card"/>
    <x v="0"/>
    <n v="4995"/>
  </r>
  <r>
    <s v="ORD00461"/>
    <d v="2026-08-30T00:00:00"/>
    <s v="C1536"/>
    <s v="Keyboard"/>
    <x v="4"/>
    <n v="2"/>
    <n v="2499"/>
    <n v="0"/>
    <s v="Central"/>
    <s v="Debit Card"/>
    <x v="0"/>
    <n v="3598.2000000000003"/>
  </r>
  <r>
    <s v="ORD00462"/>
    <d v="2026-06-29T00:00:00"/>
    <s v="C1317"/>
    <s v="Laptop Stand"/>
    <x v="2"/>
    <n v="4"/>
    <n v="2499"/>
    <n v="0"/>
    <s v="Central"/>
    <s v="Debit Card"/>
    <x v="0"/>
    <n v="4998"/>
  </r>
  <r>
    <s v="ORD00463"/>
    <d v="2026-02-01T00:00:00"/>
    <s v="C1152"/>
    <s v="Wireless Mouse"/>
    <x v="0"/>
    <n v="1"/>
    <n v="1499"/>
    <n v="0.15"/>
    <s v="South"/>
    <s v="Debit Card"/>
    <x v="1"/>
    <n v="9996"/>
  </r>
  <r>
    <s v="ORD00464"/>
    <d v="2026-09-30T00:00:00"/>
    <s v="C1190"/>
    <s v="USB-C Hub"/>
    <x v="0"/>
    <n v="4"/>
    <n v="4999"/>
    <n v="0"/>
    <s v="Central"/>
    <s v="Debit Card"/>
    <x v="1"/>
    <n v="1274.1499999999999"/>
  </r>
  <r>
    <s v="ORD00465"/>
    <d v="2026-07-20T00:00:00"/>
    <s v="C1621"/>
    <s v="Laptop Stand"/>
    <x v="0"/>
    <n v="5"/>
    <n v="1999"/>
    <n v="0.1"/>
    <s v="East"/>
    <s v="Debit Card"/>
    <x v="0"/>
    <n v="19996"/>
  </r>
  <r>
    <s v="ORD00466"/>
    <d v="2026-07-27T00:00:00"/>
    <s v="C1176"/>
    <s v="Wireless Mouse"/>
    <x v="0"/>
    <n v="2"/>
    <n v="999"/>
    <n v="0"/>
    <s v="East"/>
    <s v="UPI"/>
    <x v="0"/>
    <n v="8995.5"/>
  </r>
  <r>
    <s v="ORD00467"/>
    <d v="2026-07-10T00:00:00"/>
    <s v="C1013"/>
    <s v="Monitor"/>
    <x v="1"/>
    <n v="2"/>
    <n v="2499"/>
    <n v="0.15"/>
    <s v="West"/>
    <s v="UPI"/>
    <x v="0"/>
    <n v="1998"/>
  </r>
  <r>
    <s v="ORD00468"/>
    <d v="2026-01-15T00:00:00"/>
    <s v="C1657"/>
    <s v="Keyboard"/>
    <x v="0"/>
    <n v="4"/>
    <n v="799"/>
    <n v="0"/>
    <s v="West"/>
    <s v="UPI"/>
    <x v="1"/>
    <n v="4248.3"/>
  </r>
  <r>
    <s v="ORD00469"/>
    <d v="2026-08-27T00:00:00"/>
    <s v="C1007"/>
    <s v="Monitor"/>
    <x v="2"/>
    <n v="1"/>
    <n v="599"/>
    <n v="0.05"/>
    <s v="West"/>
    <s v="Debit Card"/>
    <x v="1"/>
    <n v="3196"/>
  </r>
  <r>
    <s v="ORD00470"/>
    <d v="2026-04-16T00:00:00"/>
    <s v="C1551"/>
    <s v="Webcam"/>
    <x v="1"/>
    <n v="3"/>
    <n v="1499"/>
    <n v="0.05"/>
    <s v="South"/>
    <s v="Credit Card"/>
    <x v="0"/>
    <n v="569.04999999999995"/>
  </r>
  <r>
    <s v="ORD00471"/>
    <d v="2026-01-19T00:00:00"/>
    <s v="C1220"/>
    <s v="Keyboard"/>
    <x v="4"/>
    <n v="3"/>
    <n v="499"/>
    <n v="0.15"/>
    <s v="Central"/>
    <s v="Credit Card"/>
    <x v="0"/>
    <n v="4272.1499999999996"/>
  </r>
  <r>
    <s v="ORD00472"/>
    <d v="2026-08-25T00:00:00"/>
    <s v="C1137"/>
    <s v="Headphones"/>
    <x v="2"/>
    <n v="2"/>
    <n v="599"/>
    <n v="0"/>
    <s v="West"/>
    <s v="Net Banking"/>
    <x v="0"/>
    <n v="1272.45"/>
  </r>
  <r>
    <s v="ORD00473"/>
    <d v="2026-07-23T00:00:00"/>
    <s v="C1494"/>
    <s v="Power Bank"/>
    <x v="1"/>
    <n v="5"/>
    <n v="1999"/>
    <n v="0.1"/>
    <s v="East"/>
    <s v="Net Banking"/>
    <x v="0"/>
    <n v="1198"/>
  </r>
  <r>
    <s v="ORD00474"/>
    <d v="2026-07-15T00:00:00"/>
    <s v="C1192"/>
    <s v="Wireless Mouse"/>
    <x v="1"/>
    <n v="1"/>
    <n v="499"/>
    <n v="0"/>
    <s v="North"/>
    <s v="COD"/>
    <x v="1"/>
    <n v="8995.5"/>
  </r>
  <r>
    <s v="ORD00475"/>
    <d v="2026-04-26T00:00:00"/>
    <s v="C1036"/>
    <s v="Power Bank"/>
    <x v="3"/>
    <n v="2"/>
    <n v="499"/>
    <n v="0"/>
    <s v="South"/>
    <s v="Net Banking"/>
    <x v="1"/>
    <n v="499"/>
  </r>
  <r>
    <s v="ORD00476"/>
    <d v="2026-08-10T00:00:00"/>
    <s v="C1540"/>
    <s v="Bluetooth Speaker"/>
    <x v="2"/>
    <n v="1"/>
    <n v="1499"/>
    <n v="0.1"/>
    <s v="West"/>
    <s v="Debit Card"/>
    <x v="2"/>
    <n v="998"/>
  </r>
  <r>
    <s v="ORD00477"/>
    <d v="2026-09-05T00:00:00"/>
    <s v="C1102"/>
    <s v="Monitor"/>
    <x v="2"/>
    <n v="2"/>
    <n v="4999"/>
    <n v="0"/>
    <s v="North"/>
    <s v="Credit Card"/>
    <x v="2"/>
    <n v="1349.1000000000001"/>
  </r>
  <r>
    <s v="ORD00478"/>
    <d v="2026-04-13T00:00:00"/>
    <s v="C1537"/>
    <s v="Laptop Stand"/>
    <x v="1"/>
    <n v="3"/>
    <n v="4999"/>
    <n v="0"/>
    <s v="North"/>
    <s v="Debit Card"/>
    <x v="2"/>
    <n v="9998"/>
  </r>
  <r>
    <s v="ORD00479"/>
    <d v="2026-09-16T00:00:00"/>
    <s v="C1344"/>
    <s v="USB-C Hub"/>
    <x v="2"/>
    <n v="3"/>
    <n v="599"/>
    <n v="0.05"/>
    <s v="South"/>
    <s v="Debit Card"/>
    <x v="1"/>
    <n v="14997"/>
  </r>
  <r>
    <s v="ORD00480"/>
    <d v="2026-03-23T00:00:00"/>
    <s v="C1026"/>
    <s v="Keyboard"/>
    <x v="1"/>
    <n v="2"/>
    <n v="599"/>
    <n v="0.1"/>
    <s v="North"/>
    <s v="UPI"/>
    <x v="0"/>
    <n v="1707.1499999999999"/>
  </r>
  <r>
    <s v="ORD00481"/>
    <d v="2026-01-16T00:00:00"/>
    <s v="C1477"/>
    <s v="Bluetooth Speaker"/>
    <x v="0"/>
    <n v="2"/>
    <n v="799"/>
    <n v="0.15"/>
    <s v="West"/>
    <s v="COD"/>
    <x v="1"/>
    <n v="1078.2"/>
  </r>
  <r>
    <s v="ORD00482"/>
    <d v="2026-09-29T00:00:00"/>
    <s v="C1082"/>
    <s v="Webcam"/>
    <x v="2"/>
    <n v="3"/>
    <n v="1299"/>
    <n v="0"/>
    <s v="South"/>
    <s v="Debit Card"/>
    <x v="0"/>
    <n v="1358.3"/>
  </r>
  <r>
    <s v="ORD00483"/>
    <d v="2026-09-23T00:00:00"/>
    <s v="C1011"/>
    <s v="Wireless Mouse"/>
    <x v="1"/>
    <n v="1"/>
    <n v="1499"/>
    <n v="0"/>
    <s v="North"/>
    <s v="Credit Card"/>
    <x v="0"/>
    <n v="3897"/>
  </r>
  <r>
    <s v="ORD00484"/>
    <d v="2026-08-15T00:00:00"/>
    <s v="C1417"/>
    <s v="Mechanical Keyboard"/>
    <x v="4"/>
    <n v="1"/>
    <n v="499"/>
    <n v="0.1"/>
    <s v="East"/>
    <s v="UPI"/>
    <x v="2"/>
    <n v="1499"/>
  </r>
  <r>
    <s v="ORD00485"/>
    <d v="2026-01-31T00:00:00"/>
    <s v="C1243"/>
    <s v="Power Bank"/>
    <x v="1"/>
    <n v="1"/>
    <n v="599"/>
    <n v="0.05"/>
    <s v="South"/>
    <s v="Net Banking"/>
    <x v="0"/>
    <n v="449.1"/>
  </r>
  <r>
    <s v="ORD00486"/>
    <d v="2026-03-20T00:00:00"/>
    <s v="C1007"/>
    <s v="Wireless Mouse"/>
    <x v="0"/>
    <n v="3"/>
    <n v="1299"/>
    <n v="0.15"/>
    <s v="West"/>
    <s v="Net Banking"/>
    <x v="0"/>
    <n v="569.04999999999995"/>
  </r>
  <r>
    <s v="ORD00487"/>
    <d v="2026-02-18T00:00:00"/>
    <s v="C1441"/>
    <s v="Power Bank"/>
    <x v="0"/>
    <n v="4"/>
    <n v="7999"/>
    <n v="0.1"/>
    <s v="North"/>
    <s v="Net Banking"/>
    <x v="1"/>
    <n v="3312.45"/>
  </r>
  <r>
    <s v="ORD00488"/>
    <d v="2026-01-14T00:00:00"/>
    <s v="C1257"/>
    <s v="Wireless Mouse"/>
    <x v="0"/>
    <n v="3"/>
    <n v="1299"/>
    <n v="0"/>
    <s v="South"/>
    <s v="Net Banking"/>
    <x v="2"/>
    <n v="28796.400000000001"/>
  </r>
  <r>
    <s v="ORD00489"/>
    <d v="2026-08-15T00:00:00"/>
    <s v="C1675"/>
    <s v="Laptop Stand"/>
    <x v="2"/>
    <n v="5"/>
    <n v="999"/>
    <n v="0.05"/>
    <s v="East"/>
    <s v="COD"/>
    <x v="0"/>
    <n v="3897"/>
  </r>
  <r>
    <s v="ORD00490"/>
    <d v="2026-01-24T00:00:00"/>
    <s v="C1404"/>
    <s v="Monitor"/>
    <x v="0"/>
    <n v="3"/>
    <n v="1499"/>
    <n v="0.15"/>
    <s v="East"/>
    <s v="Debit Card"/>
    <x v="2"/>
    <n v="4745.25"/>
  </r>
  <r>
    <s v="ORD00491"/>
    <d v="2026-02-02T00:00:00"/>
    <s v="C1418"/>
    <s v="Monitor"/>
    <x v="1"/>
    <n v="3"/>
    <n v="1499"/>
    <n v="0.05"/>
    <s v="West"/>
    <s v="Net Banking"/>
    <x v="0"/>
    <n v="3822.45"/>
  </r>
  <r>
    <s v="ORD00492"/>
    <d v="2026-02-27T00:00:00"/>
    <s v="C1732"/>
    <s v="Mechanical Keyboard"/>
    <x v="2"/>
    <n v="2"/>
    <n v="1299"/>
    <n v="0"/>
    <s v="Central"/>
    <s v="COD"/>
    <x v="1"/>
    <n v="4272.1499999999996"/>
  </r>
  <r>
    <s v="ORD00493"/>
    <d v="2026-03-27T00:00:00"/>
    <s v="C1428"/>
    <s v="Mechanical Keyboard"/>
    <x v="2"/>
    <n v="1"/>
    <n v="499"/>
    <n v="0.1"/>
    <s v="South"/>
    <s v="Debit Card"/>
    <x v="0"/>
    <n v="2598"/>
  </r>
  <r>
    <s v="ORD00494"/>
    <d v="2026-06-02T00:00:00"/>
    <s v="C1619"/>
    <s v="Webcam"/>
    <x v="4"/>
    <n v="2"/>
    <n v="1299"/>
    <n v="0"/>
    <s v="West"/>
    <s v="Credit Card"/>
    <x v="2"/>
    <n v="449.1"/>
  </r>
  <r>
    <s v="ORD00495"/>
    <d v="2026-04-02T00:00:00"/>
    <s v="C1049"/>
    <s v="Keyboard"/>
    <x v="3"/>
    <n v="1"/>
    <n v="1499"/>
    <n v="0"/>
    <s v="West"/>
    <s v="Credit Card"/>
    <x v="0"/>
    <n v="2598"/>
  </r>
  <r>
    <s v="ORD00496"/>
    <d v="2026-04-10T00:00:00"/>
    <s v="C1643"/>
    <s v="Power Bank"/>
    <x v="3"/>
    <n v="3"/>
    <n v="1999"/>
    <n v="0"/>
    <s v="East"/>
    <s v="Credit Card"/>
    <x v="0"/>
    <n v="1499"/>
  </r>
  <r>
    <s v="ORD00497"/>
    <d v="2026-01-14T00:00:00"/>
    <s v="C1652"/>
    <s v="Webcam"/>
    <x v="2"/>
    <n v="5"/>
    <n v="2499"/>
    <n v="0.05"/>
    <s v="Central"/>
    <s v="Net Banking"/>
    <x v="0"/>
    <n v="5997"/>
  </r>
  <r>
    <s v="ORD00498"/>
    <d v="2026-08-05T00:00:00"/>
    <s v="C1166"/>
    <s v="Mechanical Keyboard"/>
    <x v="0"/>
    <n v="4"/>
    <n v="499"/>
    <n v="0"/>
    <s v="South"/>
    <s v="COD"/>
    <x v="2"/>
    <n v="11870.25"/>
  </r>
  <r>
    <s v="ORD00499"/>
    <d v="2026-06-15T00:00:00"/>
    <s v="C1656"/>
    <s v="Monitor"/>
    <x v="4"/>
    <n v="4"/>
    <n v="1499"/>
    <n v="0.1"/>
    <s v="West"/>
    <s v="Net Banking"/>
    <x v="0"/>
    <n v="1996"/>
  </r>
  <r>
    <s v="ORD00500"/>
    <d v="2026-09-01T00:00:00"/>
    <s v="C1059"/>
    <s v="Monitor"/>
    <x v="2"/>
    <n v="1"/>
    <n v="599"/>
    <n v="0.05"/>
    <s v="South"/>
    <s v="Debit Card"/>
    <x v="2"/>
    <n v="5396.4000000000005"/>
  </r>
  <r>
    <s v="ORD00501"/>
    <d v="2026-09-13T00:00:00"/>
    <s v="C1534"/>
    <s v="USB-C Hub"/>
    <x v="4"/>
    <n v="1"/>
    <n v="799"/>
    <n v="0.15"/>
    <s v="Central"/>
    <s v="Debit Card"/>
    <x v="0"/>
    <n v="569.04999999999995"/>
  </r>
  <r>
    <s v="ORD00502"/>
    <d v="2026-05-04T00:00:00"/>
    <s v="C1609"/>
    <s v="Mechanical Keyboard"/>
    <x v="2"/>
    <n v="4"/>
    <n v="4999"/>
    <n v="0"/>
    <s v="West"/>
    <s v="UPI"/>
    <x v="1"/>
    <n v="679.15"/>
  </r>
  <r>
    <s v="ORD00503"/>
    <d v="2026-07-03T00:00:00"/>
    <s v="C1729"/>
    <s v="USB-C Hub"/>
    <x v="2"/>
    <n v="3"/>
    <n v="1999"/>
    <n v="0.1"/>
    <s v="South"/>
    <s v="Debit Card"/>
    <x v="0"/>
    <n v="19996"/>
  </r>
  <r>
    <s v="ORD00504"/>
    <d v="2026-07-19T00:00:00"/>
    <s v="C1410"/>
    <s v="Monitor"/>
    <x v="0"/>
    <n v="3"/>
    <n v="499"/>
    <n v="0.05"/>
    <s v="West"/>
    <s v="Net Banking"/>
    <x v="1"/>
    <n v="5397.3"/>
  </r>
  <r>
    <s v="ORD00505"/>
    <d v="2026-09-18T00:00:00"/>
    <s v="C1584"/>
    <s v="Bluetooth Speaker"/>
    <x v="4"/>
    <n v="5"/>
    <n v="7999"/>
    <n v="0"/>
    <s v="South"/>
    <s v="UPI"/>
    <x v="1"/>
    <n v="1422.1499999999999"/>
  </r>
  <r>
    <s v="ORD00506"/>
    <d v="2026-02-20T00:00:00"/>
    <s v="C1585"/>
    <s v="Keyboard"/>
    <x v="3"/>
    <n v="4"/>
    <n v="4999"/>
    <n v="0.05"/>
    <s v="Central"/>
    <s v="UPI"/>
    <x v="2"/>
    <n v="39995"/>
  </r>
  <r>
    <s v="ORD00507"/>
    <d v="2026-01-31T00:00:00"/>
    <s v="C1185"/>
    <s v="Webcam"/>
    <x v="2"/>
    <n v="2"/>
    <n v="1999"/>
    <n v="0.05"/>
    <s v="East"/>
    <s v="UPI"/>
    <x v="1"/>
    <n v="18996.2"/>
  </r>
  <r>
    <s v="ORD00508"/>
    <d v="2026-06-24T00:00:00"/>
    <s v="C1567"/>
    <s v="Keyboard"/>
    <x v="2"/>
    <n v="3"/>
    <n v="599"/>
    <n v="0.1"/>
    <s v="South"/>
    <s v="UPI"/>
    <x v="0"/>
    <n v="3798.1"/>
  </r>
  <r>
    <s v="ORD00509"/>
    <d v="2026-06-04T00:00:00"/>
    <s v="C1260"/>
    <s v="Bluetooth Speaker"/>
    <x v="2"/>
    <n v="2"/>
    <n v="1499"/>
    <n v="0"/>
    <s v="West"/>
    <s v="Credit Card"/>
    <x v="0"/>
    <n v="1617.3"/>
  </r>
  <r>
    <s v="ORD00510"/>
    <d v="2026-04-08T00:00:00"/>
    <s v="C1584"/>
    <s v="Mechanical Keyboard"/>
    <x v="4"/>
    <n v="3"/>
    <n v="999"/>
    <n v="0"/>
    <s v="East"/>
    <s v="Debit Card"/>
    <x v="2"/>
    <n v="2998"/>
  </r>
  <r>
    <s v="ORD00511"/>
    <d v="2026-03-27T00:00:00"/>
    <s v="C1029"/>
    <s v="Monitor"/>
    <x v="1"/>
    <n v="5"/>
    <n v="4999"/>
    <n v="0.15"/>
    <s v="East"/>
    <s v="Net Banking"/>
    <x v="0"/>
    <n v="2997"/>
  </r>
  <r>
    <s v="ORD00512"/>
    <d v="2026-05-04T00:00:00"/>
    <s v="C1164"/>
    <s v="Bluetooth Speaker"/>
    <x v="3"/>
    <n v="2"/>
    <n v="499"/>
    <n v="0"/>
    <s v="North"/>
    <s v="Net Banking"/>
    <x v="2"/>
    <n v="21245.75"/>
  </r>
  <r>
    <s v="ORD00513"/>
    <d v="2026-09-29T00:00:00"/>
    <s v="C1363"/>
    <s v="Wireless Mouse"/>
    <x v="4"/>
    <n v="2"/>
    <n v="1499"/>
    <n v="0"/>
    <s v="Central"/>
    <s v="COD"/>
    <x v="0"/>
    <n v="998"/>
  </r>
  <r>
    <s v="ORD00514"/>
    <d v="2026-04-20T00:00:00"/>
    <s v="C1219"/>
    <s v="Headphones"/>
    <x v="3"/>
    <n v="4"/>
    <n v="1299"/>
    <n v="0"/>
    <s v="North"/>
    <s v="UPI"/>
    <x v="0"/>
    <n v="2998"/>
  </r>
  <r>
    <s v="ORD00515"/>
    <d v="2026-09-17T00:00:00"/>
    <s v="C1225"/>
    <s v="Laptop Stand"/>
    <x v="0"/>
    <n v="2"/>
    <n v="999"/>
    <n v="0.05"/>
    <s v="Central"/>
    <s v="Net Banking"/>
    <x v="2"/>
    <n v="5196"/>
  </r>
  <r>
    <s v="ORD00516"/>
    <d v="2026-06-22T00:00:00"/>
    <s v="C1165"/>
    <s v="Mechanical Keyboard"/>
    <x v="1"/>
    <n v="2"/>
    <n v="499"/>
    <n v="0.05"/>
    <s v="Central"/>
    <s v="Net Banking"/>
    <x v="0"/>
    <n v="1898.1"/>
  </r>
  <r>
    <s v="ORD00517"/>
    <d v="2026-08-08T00:00:00"/>
    <s v="C1797"/>
    <s v="Laptop Stand"/>
    <x v="1"/>
    <n v="5"/>
    <n v="599"/>
    <n v="0.1"/>
    <s v="South"/>
    <s v="UPI"/>
    <x v="0"/>
    <n v="948.09999999999991"/>
  </r>
  <r>
    <s v="ORD00518"/>
    <d v="2026-05-09T00:00:00"/>
    <s v="C1123"/>
    <s v="Keyboard"/>
    <x v="4"/>
    <n v="3"/>
    <n v="1499"/>
    <n v="0"/>
    <s v="North"/>
    <s v="Credit Card"/>
    <x v="0"/>
    <n v="2695.5"/>
  </r>
  <r>
    <s v="ORD00519"/>
    <d v="2026-07-31T00:00:00"/>
    <s v="C1215"/>
    <s v="Webcam"/>
    <x v="3"/>
    <n v="4"/>
    <n v="1499"/>
    <n v="0.1"/>
    <s v="South"/>
    <s v="UPI"/>
    <x v="0"/>
    <n v="4497"/>
  </r>
  <r>
    <s v="ORD00520"/>
    <d v="2026-07-13T00:00:00"/>
    <s v="C1548"/>
    <s v="Monitor"/>
    <x v="1"/>
    <n v="4"/>
    <n v="799"/>
    <n v="0.05"/>
    <s v="South"/>
    <s v="Net Banking"/>
    <x v="1"/>
    <n v="5396.4000000000005"/>
  </r>
  <r>
    <s v="ORD00521"/>
    <d v="2026-02-20T00:00:00"/>
    <s v="C1071"/>
    <s v="USB-C Hub"/>
    <x v="4"/>
    <n v="3"/>
    <n v="799"/>
    <n v="0"/>
    <s v="East"/>
    <s v="COD"/>
    <x v="1"/>
    <n v="3036.2"/>
  </r>
  <r>
    <s v="ORD00522"/>
    <d v="2026-06-06T00:00:00"/>
    <s v="C1182"/>
    <s v="Wireless Mouse"/>
    <x v="3"/>
    <n v="3"/>
    <n v="1999"/>
    <n v="0.1"/>
    <s v="West"/>
    <s v="UPI"/>
    <x v="0"/>
    <n v="2397"/>
  </r>
  <r>
    <s v="ORD00523"/>
    <d v="2026-04-26T00:00:00"/>
    <s v="C1199"/>
    <s v="Mechanical Keyboard"/>
    <x v="4"/>
    <n v="3"/>
    <n v="999"/>
    <n v="0.05"/>
    <s v="East"/>
    <s v="Debit Card"/>
    <x v="1"/>
    <n v="5397.3"/>
  </r>
  <r>
    <s v="ORD00524"/>
    <d v="2026-09-26T00:00:00"/>
    <s v="C1397"/>
    <s v="Bluetooth Speaker"/>
    <x v="4"/>
    <n v="4"/>
    <n v="799"/>
    <n v="0.05"/>
    <s v="West"/>
    <s v="Credit Card"/>
    <x v="0"/>
    <n v="2847.15"/>
  </r>
  <r>
    <s v="ORD00525"/>
    <d v="2026-05-19T00:00:00"/>
    <s v="C1566"/>
    <s v="Bluetooth Speaker"/>
    <x v="2"/>
    <n v="5"/>
    <n v="2499"/>
    <n v="0"/>
    <s v="West"/>
    <s v="Debit Card"/>
    <x v="2"/>
    <n v="3036.2"/>
  </r>
  <r>
    <s v="ORD00526"/>
    <d v="2026-09-19T00:00:00"/>
    <s v="C1728"/>
    <s v="Mechanical Keyboard"/>
    <x v="0"/>
    <n v="2"/>
    <n v="999"/>
    <n v="0"/>
    <s v="Central"/>
    <s v="UPI"/>
    <x v="0"/>
    <n v="12495"/>
  </r>
  <r>
    <s v="ORD00527"/>
    <d v="2026-02-10T00:00:00"/>
    <s v="C1586"/>
    <s v="Keyboard"/>
    <x v="2"/>
    <n v="5"/>
    <n v="4999"/>
    <n v="0"/>
    <s v="Central"/>
    <s v="COD"/>
    <x v="2"/>
    <n v="1998"/>
  </r>
  <r>
    <s v="ORD00528"/>
    <d v="2026-07-07T00:00:00"/>
    <s v="C1553"/>
    <s v="Mechanical Keyboard"/>
    <x v="4"/>
    <n v="2"/>
    <n v="799"/>
    <n v="0.15"/>
    <s v="East"/>
    <s v="Net Banking"/>
    <x v="2"/>
    <n v="24995"/>
  </r>
  <r>
    <s v="ORD00529"/>
    <d v="2026-05-27T00:00:00"/>
    <s v="C1118"/>
    <s v="Headphones"/>
    <x v="3"/>
    <n v="1"/>
    <n v="7999"/>
    <n v="0.1"/>
    <s v="South"/>
    <s v="Net Banking"/>
    <x v="0"/>
    <n v="1358.3"/>
  </r>
  <r>
    <s v="ORD00530"/>
    <d v="2026-04-27T00:00:00"/>
    <s v="C1162"/>
    <s v="Monitor"/>
    <x v="4"/>
    <n v="1"/>
    <n v="2499"/>
    <n v="0.1"/>
    <s v="Central"/>
    <s v="UPI"/>
    <x v="0"/>
    <n v="7199.1"/>
  </r>
  <r>
    <s v="ORD00531"/>
    <d v="2026-04-09T00:00:00"/>
    <s v="C1102"/>
    <s v="Bluetooth Speaker"/>
    <x v="4"/>
    <n v="2"/>
    <n v="1299"/>
    <n v="0"/>
    <s v="South"/>
    <s v="Credit Card"/>
    <x v="0"/>
    <n v="2249.1"/>
  </r>
  <r>
    <s v="ORD00532"/>
    <d v="2026-08-26T00:00:00"/>
    <s v="C1127"/>
    <s v="Monitor"/>
    <x v="4"/>
    <n v="4"/>
    <n v="2499"/>
    <n v="0"/>
    <s v="South"/>
    <s v="Credit Card"/>
    <x v="2"/>
    <n v="2598"/>
  </r>
  <r>
    <s v="ORD00533"/>
    <d v="2026-05-21T00:00:00"/>
    <s v="C1715"/>
    <s v="Webcam"/>
    <x v="0"/>
    <n v="5"/>
    <n v="999"/>
    <n v="0"/>
    <s v="South"/>
    <s v="COD"/>
    <x v="2"/>
    <n v="9996"/>
  </r>
  <r>
    <s v="ORD00534"/>
    <d v="2026-01-21T00:00:00"/>
    <s v="C1044"/>
    <s v="Power Bank"/>
    <x v="1"/>
    <n v="1"/>
    <n v="4999"/>
    <n v="0.05"/>
    <s v="North"/>
    <s v="Credit Card"/>
    <x v="0"/>
    <n v="4995"/>
  </r>
  <r>
    <s v="ORD00535"/>
    <d v="2026-06-19T00:00:00"/>
    <s v="C1653"/>
    <s v="Laptop Stand"/>
    <x v="3"/>
    <n v="2"/>
    <n v="2499"/>
    <n v="0.15"/>
    <s v="East"/>
    <s v="UPI"/>
    <x v="1"/>
    <n v="4749.05"/>
  </r>
  <r>
    <s v="ORD00536"/>
    <d v="2026-02-24T00:00:00"/>
    <s v="C1120"/>
    <s v="Laptop Stand"/>
    <x v="2"/>
    <n v="5"/>
    <n v="499"/>
    <n v="0"/>
    <s v="South"/>
    <s v="Debit Card"/>
    <x v="0"/>
    <n v="4248.3"/>
  </r>
  <r>
    <s v="ORD00537"/>
    <d v="2026-06-21T00:00:00"/>
    <s v="C1684"/>
    <s v="Headphones"/>
    <x v="3"/>
    <n v="5"/>
    <n v="1299"/>
    <n v="0.05"/>
    <s v="West"/>
    <s v="UPI"/>
    <x v="0"/>
    <n v="2495"/>
  </r>
  <r>
    <s v="ORD00538"/>
    <d v="2026-05-26T00:00:00"/>
    <s v="C1092"/>
    <s v="Power Bank"/>
    <x v="0"/>
    <n v="1"/>
    <n v="1299"/>
    <n v="0"/>
    <s v="North"/>
    <s v="Net Banking"/>
    <x v="0"/>
    <n v="6170.25"/>
  </r>
  <r>
    <s v="ORD00539"/>
    <d v="2026-09-08T00:00:00"/>
    <s v="C1630"/>
    <s v="Monitor"/>
    <x v="4"/>
    <n v="2"/>
    <n v="1499"/>
    <n v="0.1"/>
    <s v="North"/>
    <s v="Debit Card"/>
    <x v="0"/>
    <n v="1299"/>
  </r>
  <r>
    <s v="ORD00540"/>
    <d v="2026-05-14T00:00:00"/>
    <s v="C1185"/>
    <s v="Wireless Mouse"/>
    <x v="3"/>
    <n v="3"/>
    <n v="599"/>
    <n v="0"/>
    <s v="South"/>
    <s v="UPI"/>
    <x v="0"/>
    <n v="2698.2000000000003"/>
  </r>
  <r>
    <s v="ORD00541"/>
    <d v="2026-03-05T00:00:00"/>
    <s v="C1644"/>
    <s v="Webcam"/>
    <x v="4"/>
    <n v="1"/>
    <n v="1499"/>
    <n v="0"/>
    <s v="North"/>
    <s v="Credit Card"/>
    <x v="2"/>
    <n v="1797"/>
  </r>
  <r>
    <s v="ORD00542"/>
    <d v="2026-01-02T00:00:00"/>
    <s v="C1665"/>
    <s v="Laptop Stand"/>
    <x v="3"/>
    <n v="4"/>
    <n v="499"/>
    <n v="0"/>
    <s v="South"/>
    <s v="Debit Card"/>
    <x v="0"/>
    <n v="1499"/>
  </r>
  <r>
    <s v="ORD00543"/>
    <d v="2026-01-11T00:00:00"/>
    <s v="C1505"/>
    <s v="USB-C Hub"/>
    <x v="0"/>
    <n v="2"/>
    <n v="1299"/>
    <n v="0.15"/>
    <s v="North"/>
    <s v="Net Banking"/>
    <x v="0"/>
    <n v="1996"/>
  </r>
  <r>
    <s v="ORD00544"/>
    <d v="2026-09-24T00:00:00"/>
    <s v="C1377"/>
    <s v="Webcam"/>
    <x v="0"/>
    <n v="1"/>
    <n v="7999"/>
    <n v="0"/>
    <s v="North"/>
    <s v="UPI"/>
    <x v="0"/>
    <n v="2208.2999999999997"/>
  </r>
  <r>
    <s v="ORD00545"/>
    <d v="2026-08-07T00:00:00"/>
    <s v="C1488"/>
    <s v="Wireless Mouse"/>
    <x v="3"/>
    <n v="1"/>
    <n v="1999"/>
    <n v="0.05"/>
    <s v="East"/>
    <s v="Net Banking"/>
    <x v="0"/>
    <n v="7999"/>
  </r>
  <r>
    <s v="ORD00546"/>
    <d v="2026-01-03T00:00:00"/>
    <s v="C1062"/>
    <s v="Headphones"/>
    <x v="4"/>
    <n v="1"/>
    <n v="1499"/>
    <n v="0.15"/>
    <s v="East"/>
    <s v="Net Banking"/>
    <x v="0"/>
    <n v="1899.05"/>
  </r>
  <r>
    <s v="ORD00547"/>
    <d v="2026-04-03T00:00:00"/>
    <s v="C1223"/>
    <s v="Keyboard"/>
    <x v="4"/>
    <n v="3"/>
    <n v="1299"/>
    <n v="0.05"/>
    <s v="East"/>
    <s v="Debit Card"/>
    <x v="1"/>
    <n v="1274.1499999999999"/>
  </r>
  <r>
    <s v="ORD00548"/>
    <d v="2026-05-16T00:00:00"/>
    <s v="C1584"/>
    <s v="Wireless Mouse"/>
    <x v="1"/>
    <n v="5"/>
    <n v="1299"/>
    <n v="0"/>
    <s v="East"/>
    <s v="Net Banking"/>
    <x v="0"/>
    <n v="3702.1499999999996"/>
  </r>
  <r>
    <s v="ORD00549"/>
    <d v="2026-08-24T00:00:00"/>
    <s v="C1551"/>
    <s v="Keyboard"/>
    <x v="2"/>
    <n v="2"/>
    <n v="2499"/>
    <n v="0.15"/>
    <s v="South"/>
    <s v="Net Banking"/>
    <x v="0"/>
    <n v="6495"/>
  </r>
  <r>
    <s v="ORD00550"/>
    <d v="2026-09-27T00:00:00"/>
    <s v="C1599"/>
    <s v="Headphones"/>
    <x v="1"/>
    <n v="4"/>
    <n v="1999"/>
    <n v="0.05"/>
    <s v="North"/>
    <s v="COD"/>
    <x v="2"/>
    <n v="4248.3"/>
  </r>
  <r>
    <s v="ORD00551"/>
    <d v="2026-08-19T00:00:00"/>
    <s v="C1164"/>
    <s v="Keyboard"/>
    <x v="3"/>
    <n v="1"/>
    <n v="4999"/>
    <n v="0"/>
    <s v="East"/>
    <s v="UPI"/>
    <x v="0"/>
    <n v="7596.2"/>
  </r>
  <r>
    <s v="ORD00552"/>
    <d v="2026-09-01T00:00:00"/>
    <s v="C1216"/>
    <s v="USB-C Hub"/>
    <x v="3"/>
    <n v="4"/>
    <n v="1299"/>
    <n v="0.15"/>
    <s v="North"/>
    <s v="UPI"/>
    <x v="1"/>
    <n v="4999"/>
  </r>
  <r>
    <s v="ORD00553"/>
    <d v="2026-03-03T00:00:00"/>
    <s v="C1279"/>
    <s v="Mechanical Keyboard"/>
    <x v="3"/>
    <n v="4"/>
    <n v="4999"/>
    <n v="0.05"/>
    <s v="Central"/>
    <s v="Net Banking"/>
    <x v="0"/>
    <n v="4416.5999999999995"/>
  </r>
  <r>
    <s v="ORD00554"/>
    <d v="2026-05-14T00:00:00"/>
    <s v="C1352"/>
    <s v="Headphones"/>
    <x v="3"/>
    <n v="3"/>
    <n v="999"/>
    <n v="0.05"/>
    <s v="North"/>
    <s v="UPI"/>
    <x v="0"/>
    <n v="18996.2"/>
  </r>
  <r>
    <s v="ORD00555"/>
    <d v="2026-01-03T00:00:00"/>
    <s v="C1182"/>
    <s v="Laptop Stand"/>
    <x v="4"/>
    <n v="2"/>
    <n v="2499"/>
    <n v="0.1"/>
    <s v="North"/>
    <s v="COD"/>
    <x v="0"/>
    <n v="2847.15"/>
  </r>
  <r>
    <s v="ORD00556"/>
    <d v="2026-02-24T00:00:00"/>
    <s v="C1685"/>
    <s v="Webcam"/>
    <x v="4"/>
    <n v="1"/>
    <n v="599"/>
    <n v="0"/>
    <s v="Central"/>
    <s v="Debit Card"/>
    <x v="2"/>
    <n v="4498.2"/>
  </r>
  <r>
    <s v="ORD00557"/>
    <d v="2026-02-03T00:00:00"/>
    <s v="C1611"/>
    <s v="Headphones"/>
    <x v="1"/>
    <n v="4"/>
    <n v="999"/>
    <n v="0"/>
    <s v="East"/>
    <s v="COD"/>
    <x v="0"/>
    <n v="599"/>
  </r>
  <r>
    <s v="ORD00558"/>
    <d v="2026-01-29T00:00:00"/>
    <s v="C1102"/>
    <s v="Power Bank"/>
    <x v="1"/>
    <n v="5"/>
    <n v="7999"/>
    <n v="0.05"/>
    <s v="South"/>
    <s v="Net Banking"/>
    <x v="2"/>
    <n v="3996"/>
  </r>
  <r>
    <s v="ORD00559"/>
    <d v="2026-08-30T00:00:00"/>
    <s v="C1623"/>
    <s v="Monitor"/>
    <x v="2"/>
    <n v="3"/>
    <n v="4999"/>
    <n v="0"/>
    <s v="West"/>
    <s v="UPI"/>
    <x v="2"/>
    <n v="37995.25"/>
  </r>
  <r>
    <s v="ORD00560"/>
    <d v="2026-01-10T00:00:00"/>
    <s v="C1442"/>
    <s v="USB-C Hub"/>
    <x v="3"/>
    <n v="4"/>
    <n v="1499"/>
    <n v="0.05"/>
    <s v="East"/>
    <s v="UPI"/>
    <x v="0"/>
    <n v="14997"/>
  </r>
  <r>
    <s v="ORD00561"/>
    <d v="2026-06-06T00:00:00"/>
    <s v="C1702"/>
    <s v="Monitor"/>
    <x v="3"/>
    <n v="4"/>
    <n v="1299"/>
    <n v="0"/>
    <s v="South"/>
    <s v="Debit Card"/>
    <x v="0"/>
    <n v="5696.2"/>
  </r>
  <r>
    <s v="ORD00562"/>
    <d v="2026-04-17T00:00:00"/>
    <s v="C1618"/>
    <s v="Bluetooth Speaker"/>
    <x v="2"/>
    <n v="1"/>
    <n v="499"/>
    <n v="0"/>
    <s v="East"/>
    <s v="Credit Card"/>
    <x v="0"/>
    <n v="5196"/>
  </r>
  <r>
    <s v="ORD00563"/>
    <d v="2026-01-08T00:00:00"/>
    <s v="C1209"/>
    <s v="Power Bank"/>
    <x v="0"/>
    <n v="3"/>
    <n v="499"/>
    <n v="0.1"/>
    <s v="North"/>
    <s v="Credit Card"/>
    <x v="2"/>
    <n v="499"/>
  </r>
  <r>
    <s v="ORD00564"/>
    <d v="2026-07-18T00:00:00"/>
    <s v="C1663"/>
    <s v="Monitor"/>
    <x v="0"/>
    <n v="3"/>
    <n v="999"/>
    <n v="0"/>
    <s v="Central"/>
    <s v="COD"/>
    <x v="2"/>
    <n v="1347.3"/>
  </r>
  <r>
    <s v="ORD00565"/>
    <d v="2026-07-02T00:00:00"/>
    <s v="C1417"/>
    <s v="Bluetooth Speaker"/>
    <x v="1"/>
    <n v="5"/>
    <n v="1299"/>
    <n v="0.15"/>
    <s v="North"/>
    <s v="UPI"/>
    <x v="0"/>
    <n v="2997"/>
  </r>
  <r>
    <s v="ORD00566"/>
    <d v="2026-02-16T00:00:00"/>
    <s v="C1535"/>
    <s v="Power Bank"/>
    <x v="3"/>
    <n v="1"/>
    <n v="499"/>
    <n v="0"/>
    <s v="North"/>
    <s v="UPI"/>
    <x v="1"/>
    <n v="5520.75"/>
  </r>
  <r>
    <s v="ORD00567"/>
    <d v="2026-08-12T00:00:00"/>
    <s v="C1675"/>
    <s v="Webcam"/>
    <x v="4"/>
    <n v="3"/>
    <n v="1999"/>
    <n v="0"/>
    <s v="South"/>
    <s v="COD"/>
    <x v="2"/>
    <n v="499"/>
  </r>
  <r>
    <s v="ORD00568"/>
    <d v="2026-07-30T00:00:00"/>
    <s v="C1347"/>
    <s v="Power Bank"/>
    <x v="2"/>
    <n v="3"/>
    <n v="1999"/>
    <n v="0.15"/>
    <s v="North"/>
    <s v="Net Banking"/>
    <x v="0"/>
    <n v="5997"/>
  </r>
  <r>
    <s v="ORD00569"/>
    <d v="2026-04-25T00:00:00"/>
    <s v="C1324"/>
    <s v="Headphones"/>
    <x v="4"/>
    <n v="1"/>
    <n v="599"/>
    <n v="0.15"/>
    <s v="West"/>
    <s v="Net Banking"/>
    <x v="0"/>
    <n v="5097.45"/>
  </r>
  <r>
    <s v="ORD00570"/>
    <d v="2026-01-28T00:00:00"/>
    <s v="C1538"/>
    <s v="Monitor"/>
    <x v="3"/>
    <n v="5"/>
    <n v="4999"/>
    <n v="0.05"/>
    <s v="East"/>
    <s v="UPI"/>
    <x v="2"/>
    <n v="509.15"/>
  </r>
  <r>
    <s v="ORD00571"/>
    <d v="2026-01-18T00:00:00"/>
    <s v="C1511"/>
    <s v="Mechanical Keyboard"/>
    <x v="2"/>
    <n v="4"/>
    <n v="4999"/>
    <n v="0.15"/>
    <s v="West"/>
    <s v="Credit Card"/>
    <x v="0"/>
    <n v="23745.25"/>
  </r>
  <r>
    <s v="ORD00572"/>
    <d v="2026-04-11T00:00:00"/>
    <s v="C1057"/>
    <s v="Monitor"/>
    <x v="3"/>
    <n v="3"/>
    <n v="1499"/>
    <n v="0"/>
    <s v="West"/>
    <s v="UPI"/>
    <x v="0"/>
    <n v="16996.599999999999"/>
  </r>
  <r>
    <s v="ORD00573"/>
    <d v="2026-07-26T00:00:00"/>
    <s v="C1148"/>
    <s v="Wireless Mouse"/>
    <x v="3"/>
    <n v="3"/>
    <n v="499"/>
    <n v="0.05"/>
    <s v="Central"/>
    <s v="UPI"/>
    <x v="0"/>
    <n v="4497"/>
  </r>
  <r>
    <s v="ORD00574"/>
    <d v="2026-07-26T00:00:00"/>
    <s v="C1268"/>
    <s v="Headphones"/>
    <x v="2"/>
    <n v="4"/>
    <n v="599"/>
    <n v="0.1"/>
    <s v="North"/>
    <s v="Net Banking"/>
    <x v="0"/>
    <n v="1422.1499999999999"/>
  </r>
  <r>
    <s v="ORD00575"/>
    <d v="2026-05-11T00:00:00"/>
    <s v="C1186"/>
    <s v="Monitor"/>
    <x v="0"/>
    <n v="1"/>
    <n v="7999"/>
    <n v="0"/>
    <s v="North"/>
    <s v="UPI"/>
    <x v="2"/>
    <n v="2156.4"/>
  </r>
  <r>
    <s v="ORD00576"/>
    <d v="2026-06-29T00:00:00"/>
    <s v="C1093"/>
    <s v="Power Bank"/>
    <x v="1"/>
    <n v="1"/>
    <n v="599"/>
    <n v="0.05"/>
    <s v="East"/>
    <s v="COD"/>
    <x v="0"/>
    <n v="7999"/>
  </r>
  <r>
    <s v="ORD00577"/>
    <d v="2026-04-06T00:00:00"/>
    <s v="C1377"/>
    <s v="Wireless Mouse"/>
    <x v="0"/>
    <n v="4"/>
    <n v="599"/>
    <n v="0.15"/>
    <s v="Central"/>
    <s v="Debit Card"/>
    <x v="0"/>
    <n v="569.04999999999995"/>
  </r>
  <r>
    <s v="ORD00578"/>
    <d v="2026-07-26T00:00:00"/>
    <s v="C1077"/>
    <s v="Power Bank"/>
    <x v="1"/>
    <n v="4"/>
    <n v="499"/>
    <n v="0.1"/>
    <s v="South"/>
    <s v="Net Banking"/>
    <x v="0"/>
    <n v="2036.6"/>
  </r>
  <r>
    <s v="ORD00579"/>
    <d v="2026-08-19T00:00:00"/>
    <s v="C1560"/>
    <s v="Mechanical Keyboard"/>
    <x v="1"/>
    <n v="3"/>
    <n v="4999"/>
    <n v="0.1"/>
    <s v="South"/>
    <s v="UPI"/>
    <x v="0"/>
    <n v="1796.4"/>
  </r>
  <r>
    <s v="ORD00580"/>
    <d v="2026-06-18T00:00:00"/>
    <s v="C1675"/>
    <s v="Bluetooth Speaker"/>
    <x v="4"/>
    <n v="4"/>
    <n v="1299"/>
    <n v="0.05"/>
    <s v="North"/>
    <s v="UPI"/>
    <x v="1"/>
    <n v="13497.300000000001"/>
  </r>
  <r>
    <s v="ORD00581"/>
    <d v="2026-02-05T00:00:00"/>
    <s v="C1117"/>
    <s v="Headphones"/>
    <x v="2"/>
    <n v="5"/>
    <n v="599"/>
    <n v="0"/>
    <s v="West"/>
    <s v="UPI"/>
    <x v="2"/>
    <n v="4936.2"/>
  </r>
  <r>
    <s v="ORD00582"/>
    <d v="2026-01-05T00:00:00"/>
    <s v="C1030"/>
    <s v="Monitor"/>
    <x v="0"/>
    <n v="4"/>
    <n v="799"/>
    <n v="0"/>
    <s v="Central"/>
    <s v="Debit Card"/>
    <x v="1"/>
    <n v="2995"/>
  </r>
  <r>
    <s v="ORD00583"/>
    <d v="2026-07-18T00:00:00"/>
    <s v="C1456"/>
    <s v="USB-C Hub"/>
    <x v="4"/>
    <n v="1"/>
    <n v="1999"/>
    <n v="0.15"/>
    <s v="South"/>
    <s v="Credit Card"/>
    <x v="0"/>
    <n v="3196"/>
  </r>
  <r>
    <s v="ORD00584"/>
    <d v="2026-08-17T00:00:00"/>
    <s v="C1137"/>
    <s v="Power Bank"/>
    <x v="1"/>
    <n v="5"/>
    <n v="2499"/>
    <n v="0"/>
    <s v="East"/>
    <s v="Credit Card"/>
    <x v="2"/>
    <n v="1699.1499999999999"/>
  </r>
  <r>
    <s v="ORD00585"/>
    <d v="2026-06-02T00:00:00"/>
    <s v="C1637"/>
    <s v="Laptop Stand"/>
    <x v="0"/>
    <n v="3"/>
    <n v="7999"/>
    <n v="0.05"/>
    <s v="East"/>
    <s v="Debit Card"/>
    <x v="0"/>
    <n v="12495"/>
  </r>
  <r>
    <s v="ORD00586"/>
    <d v="2026-05-11T00:00:00"/>
    <s v="C1358"/>
    <s v="Headphones"/>
    <x v="2"/>
    <n v="4"/>
    <n v="799"/>
    <n v="0.15"/>
    <s v="South"/>
    <s v="Net Banking"/>
    <x v="0"/>
    <n v="22797.149999999998"/>
  </r>
  <r>
    <s v="ORD00587"/>
    <d v="2026-03-31T00:00:00"/>
    <s v="C1461"/>
    <s v="Mechanical Keyboard"/>
    <x v="1"/>
    <n v="5"/>
    <n v="599"/>
    <n v="0.1"/>
    <s v="Central"/>
    <s v="Debit Card"/>
    <x v="0"/>
    <n v="2716.6"/>
  </r>
  <r>
    <s v="ORD00588"/>
    <d v="2026-09-21T00:00:00"/>
    <s v="C1517"/>
    <s v="Monitor"/>
    <x v="4"/>
    <n v="3"/>
    <n v="999"/>
    <n v="0.05"/>
    <s v="Central"/>
    <s v="UPI"/>
    <x v="0"/>
    <n v="2695.5"/>
  </r>
  <r>
    <s v="ORD00589"/>
    <d v="2026-01-20T00:00:00"/>
    <s v="C1421"/>
    <s v="Headphones"/>
    <x v="4"/>
    <n v="4"/>
    <n v="999"/>
    <n v="0"/>
    <s v="Central"/>
    <s v="Credit Card"/>
    <x v="0"/>
    <n v="2847.15"/>
  </r>
  <r>
    <s v="ORD00590"/>
    <d v="2026-03-01T00:00:00"/>
    <s v="C1779"/>
    <s v="Wireless Mouse"/>
    <x v="2"/>
    <n v="1"/>
    <n v="799"/>
    <n v="0"/>
    <s v="East"/>
    <s v="Debit Card"/>
    <x v="1"/>
    <n v="3996"/>
  </r>
  <r>
    <s v="ORD00591"/>
    <d v="2026-07-26T00:00:00"/>
    <s v="C1487"/>
    <s v="Laptop Stand"/>
    <x v="4"/>
    <n v="2"/>
    <n v="599"/>
    <n v="0"/>
    <s v="West"/>
    <s v="Net Banking"/>
    <x v="0"/>
    <n v="799"/>
  </r>
  <r>
    <s v="ORD00592"/>
    <d v="2026-03-20T00:00:00"/>
    <s v="C1603"/>
    <s v="Keyboard"/>
    <x v="0"/>
    <n v="4"/>
    <n v="499"/>
    <n v="0"/>
    <s v="South"/>
    <s v="Debit Card"/>
    <x v="0"/>
    <n v="1198"/>
  </r>
  <r>
    <s v="ORD00593"/>
    <d v="2026-07-06T00:00:00"/>
    <s v="C1706"/>
    <s v="Wireless Mouse"/>
    <x v="1"/>
    <n v="3"/>
    <n v="1299"/>
    <n v="0"/>
    <s v="North"/>
    <s v="UPI"/>
    <x v="0"/>
    <n v="1996"/>
  </r>
  <r>
    <s v="ORD00594"/>
    <d v="2026-02-11T00:00:00"/>
    <s v="C1561"/>
    <s v="USB-C Hub"/>
    <x v="2"/>
    <n v="4"/>
    <n v="499"/>
    <n v="0.15"/>
    <s v="South"/>
    <s v="Debit Card"/>
    <x v="2"/>
    <n v="3897"/>
  </r>
  <r>
    <s v="ORD00595"/>
    <d v="2026-06-04T00:00:00"/>
    <s v="C1300"/>
    <s v="Laptop Stand"/>
    <x v="1"/>
    <n v="2"/>
    <n v="499"/>
    <n v="0"/>
    <s v="West"/>
    <s v="Debit Card"/>
    <x v="0"/>
    <n v="1696.6"/>
  </r>
  <r>
    <s v="ORD00596"/>
    <d v="2026-09-20T00:00:00"/>
    <s v="C1678"/>
    <s v="Mechanical Keyboard"/>
    <x v="2"/>
    <n v="5"/>
    <n v="4999"/>
    <n v="0"/>
    <s v="East"/>
    <s v="Credit Card"/>
    <x v="0"/>
    <n v="998"/>
  </r>
  <r>
    <s v="ORD00597"/>
    <d v="2026-02-25T00:00:00"/>
    <s v="C1610"/>
    <s v="Webcam"/>
    <x v="0"/>
    <n v="1"/>
    <n v="499"/>
    <n v="0"/>
    <s v="North"/>
    <s v="Debit Card"/>
    <x v="2"/>
    <n v="24995"/>
  </r>
  <r>
    <s v="ORD00598"/>
    <d v="2026-02-24T00:00:00"/>
    <s v="C1132"/>
    <s v="Power Bank"/>
    <x v="4"/>
    <n v="3"/>
    <n v="999"/>
    <n v="0"/>
    <s v="East"/>
    <s v="COD"/>
    <x v="2"/>
    <n v="499"/>
  </r>
  <r>
    <s v="ORD00599"/>
    <d v="2026-07-20T00:00:00"/>
    <s v="C1388"/>
    <s v="Headphones"/>
    <x v="3"/>
    <n v="3"/>
    <n v="1999"/>
    <n v="0.15"/>
    <s v="East"/>
    <s v="Debit Card"/>
    <x v="1"/>
    <n v="2997"/>
  </r>
  <r>
    <s v="ORD00600"/>
    <d v="2026-02-14T00:00:00"/>
    <s v="C1296"/>
    <s v="Power Bank"/>
    <x v="1"/>
    <n v="2"/>
    <n v="1299"/>
    <n v="0.15"/>
    <s v="South"/>
    <s v="Debit Card"/>
    <x v="0"/>
    <n v="5097.45"/>
  </r>
  <r>
    <s v="ORD00601"/>
    <d v="2026-02-01T00:00:00"/>
    <s v="C1041"/>
    <s v="Bluetooth Speaker"/>
    <x v="2"/>
    <n v="4"/>
    <n v="499"/>
    <n v="0.15"/>
    <s v="South"/>
    <s v="Debit Card"/>
    <x v="2"/>
    <n v="2208.2999999999997"/>
  </r>
  <r>
    <s v="ORD00602"/>
    <d v="2026-01-12T00:00:00"/>
    <s v="C1330"/>
    <s v="Bluetooth Speaker"/>
    <x v="3"/>
    <n v="2"/>
    <n v="499"/>
    <n v="0.1"/>
    <s v="South"/>
    <s v="UPI"/>
    <x v="0"/>
    <n v="1696.6"/>
  </r>
  <r>
    <s v="ORD00603"/>
    <d v="2026-03-08T00:00:00"/>
    <s v="C1448"/>
    <s v="Keyboard"/>
    <x v="0"/>
    <n v="3"/>
    <n v="7999"/>
    <n v="0.1"/>
    <s v="Central"/>
    <s v="UPI"/>
    <x v="1"/>
    <n v="898.2"/>
  </r>
  <r>
    <s v="ORD00604"/>
    <d v="2026-05-16T00:00:00"/>
    <s v="C1275"/>
    <s v="Wireless Mouse"/>
    <x v="1"/>
    <n v="2"/>
    <n v="7999"/>
    <n v="0.15"/>
    <s v="West"/>
    <s v="Credit Card"/>
    <x v="0"/>
    <n v="21597.3"/>
  </r>
  <r>
    <s v="ORD00605"/>
    <d v="2026-01-26T00:00:00"/>
    <s v="C1285"/>
    <s v="Keyboard"/>
    <x v="0"/>
    <n v="4"/>
    <n v="2499"/>
    <n v="0.05"/>
    <s v="Central"/>
    <s v="Debit Card"/>
    <x v="2"/>
    <n v="13598.3"/>
  </r>
  <r>
    <s v="ORD00606"/>
    <d v="2026-03-24T00:00:00"/>
    <s v="C1170"/>
    <s v="Bluetooth Speaker"/>
    <x v="0"/>
    <n v="5"/>
    <n v="4999"/>
    <n v="0"/>
    <s v="South"/>
    <s v="Credit Card"/>
    <x v="0"/>
    <n v="9496.1999999999989"/>
  </r>
  <r>
    <s v="ORD00607"/>
    <d v="2026-02-04T00:00:00"/>
    <s v="C1564"/>
    <s v="Headphones"/>
    <x v="2"/>
    <n v="4"/>
    <n v="799"/>
    <n v="0.05"/>
    <s v="Central"/>
    <s v="Credit Card"/>
    <x v="0"/>
    <n v="24995"/>
  </r>
  <r>
    <s v="ORD00608"/>
    <d v="2026-09-26T00:00:00"/>
    <s v="C1174"/>
    <s v="Headphones"/>
    <x v="2"/>
    <n v="3"/>
    <n v="999"/>
    <n v="0.1"/>
    <s v="West"/>
    <s v="Credit Card"/>
    <x v="0"/>
    <n v="3036.2"/>
  </r>
  <r>
    <s v="ORD00609"/>
    <d v="2026-05-07T00:00:00"/>
    <s v="C1728"/>
    <s v="Laptop Stand"/>
    <x v="2"/>
    <n v="5"/>
    <n v="7999"/>
    <n v="0"/>
    <s v="North"/>
    <s v="Net Banking"/>
    <x v="0"/>
    <n v="2697.3"/>
  </r>
  <r>
    <s v="ORD00610"/>
    <d v="2026-08-19T00:00:00"/>
    <s v="C1188"/>
    <s v="Power Bank"/>
    <x v="1"/>
    <n v="4"/>
    <n v="1299"/>
    <n v="0"/>
    <s v="North"/>
    <s v="UPI"/>
    <x v="0"/>
    <n v="39995"/>
  </r>
  <r>
    <s v="ORD00611"/>
    <d v="2026-01-16T00:00:00"/>
    <s v="C1597"/>
    <s v="Mechanical Keyboard"/>
    <x v="2"/>
    <n v="1"/>
    <n v="1499"/>
    <n v="0"/>
    <s v="East"/>
    <s v="COD"/>
    <x v="2"/>
    <n v="5196"/>
  </r>
  <r>
    <s v="ORD00612"/>
    <d v="2026-04-28T00:00:00"/>
    <s v="C1325"/>
    <s v="Monitor"/>
    <x v="0"/>
    <n v="5"/>
    <n v="1999"/>
    <n v="0.1"/>
    <s v="North"/>
    <s v="UPI"/>
    <x v="2"/>
    <n v="1499"/>
  </r>
  <r>
    <s v="ORD00613"/>
    <d v="2026-09-21T00:00:00"/>
    <s v="C1671"/>
    <s v="Power Bank"/>
    <x v="4"/>
    <n v="3"/>
    <n v="499"/>
    <n v="0.15"/>
    <s v="Central"/>
    <s v="Credit Card"/>
    <x v="0"/>
    <n v="8995.5"/>
  </r>
  <r>
    <s v="ORD00614"/>
    <d v="2026-01-18T00:00:00"/>
    <s v="C1611"/>
    <s v="Webcam"/>
    <x v="3"/>
    <n v="4"/>
    <n v="4999"/>
    <n v="0"/>
    <s v="East"/>
    <s v="UPI"/>
    <x v="0"/>
    <n v="1272.45"/>
  </r>
  <r>
    <s v="ORD00615"/>
    <d v="2026-03-24T00:00:00"/>
    <s v="C1131"/>
    <s v="Laptop Stand"/>
    <x v="2"/>
    <n v="4"/>
    <n v="999"/>
    <n v="0.15"/>
    <s v="East"/>
    <s v="Debit Card"/>
    <x v="0"/>
    <n v="19996"/>
  </r>
  <r>
    <s v="ORD00616"/>
    <d v="2026-05-31T00:00:00"/>
    <s v="C1706"/>
    <s v="Monitor"/>
    <x v="2"/>
    <n v="4"/>
    <n v="1299"/>
    <n v="0.15"/>
    <s v="North"/>
    <s v="UPI"/>
    <x v="0"/>
    <n v="3396.6"/>
  </r>
  <r>
    <s v="ORD00617"/>
    <d v="2026-06-22T00:00:00"/>
    <s v="C1733"/>
    <s v="Mechanical Keyboard"/>
    <x v="1"/>
    <n v="3"/>
    <n v="7999"/>
    <n v="0.1"/>
    <s v="West"/>
    <s v="UPI"/>
    <x v="0"/>
    <n v="4416.5999999999995"/>
  </r>
  <r>
    <s v="ORD00618"/>
    <d v="2026-01-25T00:00:00"/>
    <s v="C1614"/>
    <s v="Headphones"/>
    <x v="1"/>
    <n v="4"/>
    <n v="2499"/>
    <n v="0"/>
    <s v="West"/>
    <s v="Debit Card"/>
    <x v="2"/>
    <n v="21597.3"/>
  </r>
  <r>
    <s v="ORD00619"/>
    <d v="2026-09-30T00:00:00"/>
    <s v="C1228"/>
    <s v="Webcam"/>
    <x v="4"/>
    <n v="4"/>
    <n v="499"/>
    <n v="0"/>
    <s v="West"/>
    <s v="UPI"/>
    <x v="0"/>
    <n v="9996"/>
  </r>
  <r>
    <s v="ORD00620"/>
    <d v="2026-07-02T00:00:00"/>
    <s v="C1352"/>
    <s v="Mechanical Keyboard"/>
    <x v="1"/>
    <n v="1"/>
    <n v="2499"/>
    <n v="0.05"/>
    <s v="North"/>
    <s v="Net Banking"/>
    <x v="0"/>
    <n v="1996"/>
  </r>
  <r>
    <s v="ORD00621"/>
    <d v="2026-02-19T00:00:00"/>
    <s v="C1796"/>
    <s v="Headphones"/>
    <x v="4"/>
    <n v="1"/>
    <n v="1499"/>
    <n v="0"/>
    <s v="Central"/>
    <s v="UPI"/>
    <x v="2"/>
    <n v="2374.0499999999997"/>
  </r>
  <r>
    <s v="ORD00622"/>
    <d v="2026-06-15T00:00:00"/>
    <s v="C1591"/>
    <s v="USB-C Hub"/>
    <x v="4"/>
    <n v="1"/>
    <n v="799"/>
    <n v="0.1"/>
    <s v="West"/>
    <s v="UPI"/>
    <x v="1"/>
    <n v="1499"/>
  </r>
  <r>
    <s v="ORD00623"/>
    <d v="2026-08-08T00:00:00"/>
    <s v="C1413"/>
    <s v="Webcam"/>
    <x v="0"/>
    <n v="4"/>
    <n v="599"/>
    <n v="0.05"/>
    <s v="South"/>
    <s v="Debit Card"/>
    <x v="1"/>
    <n v="719.1"/>
  </r>
  <r>
    <s v="ORD00624"/>
    <d v="2026-03-10T00:00:00"/>
    <s v="C1194"/>
    <s v="Laptop Stand"/>
    <x v="0"/>
    <n v="2"/>
    <n v="7999"/>
    <n v="0.05"/>
    <s v="North"/>
    <s v="UPI"/>
    <x v="0"/>
    <n v="2276.1999999999998"/>
  </r>
  <r>
    <s v="ORD00625"/>
    <d v="2026-08-04T00:00:00"/>
    <s v="C1568"/>
    <s v="Power Bank"/>
    <x v="2"/>
    <n v="2"/>
    <n v="4999"/>
    <n v="0.1"/>
    <s v="East"/>
    <s v="UPI"/>
    <x v="0"/>
    <n v="15198.099999999999"/>
  </r>
  <r>
    <s v="ORD00626"/>
    <d v="2026-02-16T00:00:00"/>
    <s v="C1131"/>
    <s v="Laptop Stand"/>
    <x v="4"/>
    <n v="1"/>
    <n v="599"/>
    <n v="0.05"/>
    <s v="West"/>
    <s v="Net Banking"/>
    <x v="1"/>
    <n v="8998.2000000000007"/>
  </r>
  <r>
    <s v="ORD00627"/>
    <d v="2026-09-26T00:00:00"/>
    <s v="C1599"/>
    <s v="USB-C Hub"/>
    <x v="0"/>
    <n v="5"/>
    <n v="1999"/>
    <n v="0.05"/>
    <s v="Central"/>
    <s v="COD"/>
    <x v="0"/>
    <n v="569.04999999999995"/>
  </r>
  <r>
    <s v="ORD00628"/>
    <d v="2026-05-24T00:00:00"/>
    <s v="C1156"/>
    <s v="Webcam"/>
    <x v="0"/>
    <n v="5"/>
    <n v="599"/>
    <n v="0.1"/>
    <s v="West"/>
    <s v="Credit Card"/>
    <x v="2"/>
    <n v="9495.25"/>
  </r>
  <r>
    <s v="ORD00629"/>
    <d v="2026-05-31T00:00:00"/>
    <s v="C1694"/>
    <s v="Mechanical Keyboard"/>
    <x v="2"/>
    <n v="2"/>
    <n v="1299"/>
    <n v="0"/>
    <s v="Central"/>
    <s v="COD"/>
    <x v="0"/>
    <n v="2695.5"/>
  </r>
  <r>
    <s v="ORD00630"/>
    <d v="2026-04-02T00:00:00"/>
    <s v="C1140"/>
    <s v="Mechanical Keyboard"/>
    <x v="3"/>
    <n v="1"/>
    <n v="999"/>
    <n v="0.15"/>
    <s v="South"/>
    <s v="Debit Card"/>
    <x v="0"/>
    <n v="2598"/>
  </r>
  <r>
    <s v="ORD00631"/>
    <d v="2026-01-20T00:00:00"/>
    <s v="C1263"/>
    <s v="Wireless Mouse"/>
    <x v="1"/>
    <n v="4"/>
    <n v="2499"/>
    <n v="0.15"/>
    <s v="East"/>
    <s v="COD"/>
    <x v="2"/>
    <n v="849.15"/>
  </r>
  <r>
    <s v="ORD00632"/>
    <d v="2026-01-26T00:00:00"/>
    <s v="C1209"/>
    <s v="Wireless Mouse"/>
    <x v="2"/>
    <n v="3"/>
    <n v="1999"/>
    <n v="0.15"/>
    <s v="Central"/>
    <s v="Credit Card"/>
    <x v="1"/>
    <n v="8496.6"/>
  </r>
  <r>
    <s v="ORD00633"/>
    <d v="2026-03-25T00:00:00"/>
    <s v="C1668"/>
    <s v="Laptop Stand"/>
    <x v="1"/>
    <n v="4"/>
    <n v="1999"/>
    <n v="0"/>
    <s v="Central"/>
    <s v="UPI"/>
    <x v="0"/>
    <n v="5097.45"/>
  </r>
  <r>
    <s v="ORD00634"/>
    <d v="2026-02-09T00:00:00"/>
    <s v="C1438"/>
    <s v="Laptop Stand"/>
    <x v="0"/>
    <n v="2"/>
    <n v="999"/>
    <n v="0.15"/>
    <s v="West"/>
    <s v="Debit Card"/>
    <x v="0"/>
    <n v="7996"/>
  </r>
  <r>
    <s v="ORD00635"/>
    <d v="2026-09-20T00:00:00"/>
    <s v="C1513"/>
    <s v="Headphones"/>
    <x v="1"/>
    <n v="5"/>
    <n v="1999"/>
    <n v="0.05"/>
    <s v="Central"/>
    <s v="UPI"/>
    <x v="0"/>
    <n v="1698.3"/>
  </r>
  <r>
    <s v="ORD00636"/>
    <d v="2026-05-19T00:00:00"/>
    <s v="C1068"/>
    <s v="Wireless Mouse"/>
    <x v="0"/>
    <n v="5"/>
    <n v="799"/>
    <n v="0.1"/>
    <s v="North"/>
    <s v="UPI"/>
    <x v="0"/>
    <n v="9495.25"/>
  </r>
  <r>
    <s v="ORD00637"/>
    <d v="2026-02-06T00:00:00"/>
    <s v="C1392"/>
    <s v="Wireless Mouse"/>
    <x v="1"/>
    <n v="4"/>
    <n v="1499"/>
    <n v="0.15"/>
    <s v="East"/>
    <s v="UPI"/>
    <x v="0"/>
    <n v="3595.5"/>
  </r>
  <r>
    <s v="ORD00638"/>
    <d v="2026-06-13T00:00:00"/>
    <s v="C1279"/>
    <s v="Headphones"/>
    <x v="0"/>
    <n v="2"/>
    <n v="1999"/>
    <n v="0.05"/>
    <s v="West"/>
    <s v="Credit Card"/>
    <x v="2"/>
    <n v="5096.5999999999995"/>
  </r>
  <r>
    <s v="ORD00639"/>
    <d v="2026-02-25T00:00:00"/>
    <s v="C1033"/>
    <s v="Monitor"/>
    <x v="0"/>
    <n v="5"/>
    <n v="499"/>
    <n v="0.05"/>
    <s v="East"/>
    <s v="COD"/>
    <x v="1"/>
    <n v="3798.1"/>
  </r>
  <r>
    <s v="ORD00640"/>
    <d v="2026-06-07T00:00:00"/>
    <s v="C1647"/>
    <s v="USB-C Hub"/>
    <x v="1"/>
    <n v="2"/>
    <n v="1999"/>
    <n v="0"/>
    <s v="Central"/>
    <s v="Debit Card"/>
    <x v="1"/>
    <n v="2370.25"/>
  </r>
  <r>
    <s v="ORD00641"/>
    <d v="2026-01-12T00:00:00"/>
    <s v="C1705"/>
    <s v="Monitor"/>
    <x v="4"/>
    <n v="1"/>
    <n v="599"/>
    <n v="0"/>
    <s v="South"/>
    <s v="Credit Card"/>
    <x v="1"/>
    <n v="3998"/>
  </r>
  <r>
    <s v="ORD00642"/>
    <d v="2026-02-17T00:00:00"/>
    <s v="C1533"/>
    <s v="Webcam"/>
    <x v="1"/>
    <n v="2"/>
    <n v="999"/>
    <n v="0.15"/>
    <s v="South"/>
    <s v="Debit Card"/>
    <x v="0"/>
    <n v="599"/>
  </r>
  <r>
    <s v="ORD00643"/>
    <d v="2026-02-08T00:00:00"/>
    <s v="C1207"/>
    <s v="Webcam"/>
    <x v="3"/>
    <n v="2"/>
    <n v="1299"/>
    <n v="0"/>
    <s v="North"/>
    <s v="UPI"/>
    <x v="1"/>
    <n v="1698.3"/>
  </r>
  <r>
    <s v="ORD00644"/>
    <d v="2026-07-12T00:00:00"/>
    <s v="C1547"/>
    <s v="Headphones"/>
    <x v="4"/>
    <n v="4"/>
    <n v="799"/>
    <n v="0.15"/>
    <s v="East"/>
    <s v="UPI"/>
    <x v="2"/>
    <n v="2598"/>
  </r>
  <r>
    <s v="ORD00645"/>
    <d v="2026-08-02T00:00:00"/>
    <s v="C1129"/>
    <s v="USB-C Hub"/>
    <x v="4"/>
    <n v="4"/>
    <n v="499"/>
    <n v="0.1"/>
    <s v="Central"/>
    <s v="Credit Card"/>
    <x v="1"/>
    <n v="2716.6"/>
  </r>
  <r>
    <s v="ORD00646"/>
    <d v="2026-07-15T00:00:00"/>
    <s v="C1235"/>
    <s v="Keyboard"/>
    <x v="4"/>
    <n v="5"/>
    <n v="1999"/>
    <n v="0.05"/>
    <s v="North"/>
    <s v="COD"/>
    <x v="2"/>
    <n v="1796.4"/>
  </r>
  <r>
    <s v="ORD00647"/>
    <d v="2026-09-04T00:00:00"/>
    <s v="C1564"/>
    <s v="USB-C Hub"/>
    <x v="3"/>
    <n v="2"/>
    <n v="1999"/>
    <n v="0.1"/>
    <s v="North"/>
    <s v="COD"/>
    <x v="2"/>
    <n v="9495.25"/>
  </r>
  <r>
    <s v="ORD00648"/>
    <d v="2026-02-04T00:00:00"/>
    <s v="C1317"/>
    <s v="Keyboard"/>
    <x v="4"/>
    <n v="2"/>
    <n v="2499"/>
    <n v="0.05"/>
    <s v="East"/>
    <s v="UPI"/>
    <x v="0"/>
    <n v="3598.2000000000003"/>
  </r>
  <r>
    <s v="ORD00649"/>
    <d v="2026-02-15T00:00:00"/>
    <s v="C1470"/>
    <s v="USB-C Hub"/>
    <x v="1"/>
    <n v="3"/>
    <n v="499"/>
    <n v="0"/>
    <s v="South"/>
    <s v="COD"/>
    <x v="2"/>
    <n v="4748.0999999999995"/>
  </r>
  <r>
    <s v="ORD00650"/>
    <d v="2026-05-12T00:00:00"/>
    <s v="C1135"/>
    <s v="Wireless Mouse"/>
    <x v="1"/>
    <n v="2"/>
    <n v="4999"/>
    <n v="0"/>
    <s v="North"/>
    <s v="Credit Card"/>
    <x v="0"/>
    <n v="1497"/>
  </r>
  <r>
    <s v="ORD00651"/>
    <d v="2026-03-22T00:00:00"/>
    <s v="C1334"/>
    <s v="Keyboard"/>
    <x v="2"/>
    <n v="2"/>
    <n v="7999"/>
    <n v="0.15"/>
    <s v="North"/>
    <s v="Debit Card"/>
    <x v="0"/>
    <n v="9998"/>
  </r>
  <r>
    <s v="ORD00652"/>
    <d v="2026-05-15T00:00:00"/>
    <s v="C1641"/>
    <s v="Keyboard"/>
    <x v="3"/>
    <n v="4"/>
    <n v="599"/>
    <n v="0"/>
    <s v="North"/>
    <s v="COD"/>
    <x v="2"/>
    <n v="13598.3"/>
  </r>
  <r>
    <s v="ORD00653"/>
    <d v="2026-02-14T00:00:00"/>
    <s v="C1265"/>
    <s v="Laptop Stand"/>
    <x v="1"/>
    <n v="3"/>
    <n v="999"/>
    <n v="0.05"/>
    <s v="South"/>
    <s v="Debit Card"/>
    <x v="0"/>
    <n v="2396"/>
  </r>
  <r>
    <s v="ORD00654"/>
    <d v="2026-05-15T00:00:00"/>
    <s v="C1289"/>
    <s v="Mechanical Keyboard"/>
    <x v="0"/>
    <n v="2"/>
    <n v="1999"/>
    <n v="0"/>
    <s v="Central"/>
    <s v="Debit Card"/>
    <x v="0"/>
    <n v="2847.15"/>
  </r>
  <r>
    <s v="ORD00655"/>
    <d v="2026-03-13T00:00:00"/>
    <s v="C1130"/>
    <s v="Mechanical Keyboard"/>
    <x v="3"/>
    <n v="5"/>
    <n v="2499"/>
    <n v="0.05"/>
    <s v="West"/>
    <s v="Debit Card"/>
    <x v="0"/>
    <n v="3998"/>
  </r>
  <r>
    <s v="ORD00656"/>
    <d v="2026-04-11T00:00:00"/>
    <s v="C1065"/>
    <s v="Webcam"/>
    <x v="4"/>
    <n v="5"/>
    <n v="799"/>
    <n v="0"/>
    <s v="East"/>
    <s v="Debit Card"/>
    <x v="0"/>
    <n v="11870.25"/>
  </r>
  <r>
    <s v="ORD00657"/>
    <d v="2026-09-07T00:00:00"/>
    <s v="C1070"/>
    <s v="Keyboard"/>
    <x v="2"/>
    <n v="1"/>
    <n v="2499"/>
    <n v="0"/>
    <s v="South"/>
    <s v="Debit Card"/>
    <x v="1"/>
    <n v="3995"/>
  </r>
  <r>
    <s v="ORD00658"/>
    <d v="2026-09-30T00:00:00"/>
    <s v="C1257"/>
    <s v="USB-C Hub"/>
    <x v="1"/>
    <n v="4"/>
    <n v="2499"/>
    <n v="0"/>
    <s v="East"/>
    <s v="UPI"/>
    <x v="2"/>
    <n v="2499"/>
  </r>
  <r>
    <s v="ORD00659"/>
    <d v="2026-03-21T00:00:00"/>
    <s v="C1761"/>
    <s v="Keyboard"/>
    <x v="0"/>
    <n v="2"/>
    <n v="499"/>
    <n v="0.05"/>
    <s v="East"/>
    <s v="Net Banking"/>
    <x v="0"/>
    <n v="9996"/>
  </r>
  <r>
    <s v="ORD00660"/>
    <d v="2026-04-30T00:00:00"/>
    <s v="C1196"/>
    <s v="Wireless Mouse"/>
    <x v="2"/>
    <n v="1"/>
    <n v="1499"/>
    <n v="0"/>
    <s v="South"/>
    <s v="Credit Card"/>
    <x v="0"/>
    <n v="948.09999999999991"/>
  </r>
  <r>
    <s v="ORD00661"/>
    <d v="2026-04-09T00:00:00"/>
    <s v="C1311"/>
    <s v="Laptop Stand"/>
    <x v="1"/>
    <n v="5"/>
    <n v="2499"/>
    <n v="0.1"/>
    <s v="South"/>
    <s v="Credit Card"/>
    <x v="2"/>
    <n v="1499"/>
  </r>
  <r>
    <s v="ORD00662"/>
    <d v="2026-09-20T00:00:00"/>
    <s v="C1182"/>
    <s v="Mechanical Keyboard"/>
    <x v="3"/>
    <n v="2"/>
    <n v="799"/>
    <n v="0.1"/>
    <s v="East"/>
    <s v="Net Banking"/>
    <x v="2"/>
    <n v="11245.5"/>
  </r>
  <r>
    <s v="ORD00663"/>
    <d v="2026-01-03T00:00:00"/>
    <s v="C1229"/>
    <s v="Headphones"/>
    <x v="4"/>
    <n v="3"/>
    <n v="1499"/>
    <n v="0.05"/>
    <s v="Central"/>
    <s v="Credit Card"/>
    <x v="1"/>
    <n v="1438.2"/>
  </r>
  <r>
    <s v="ORD00664"/>
    <d v="2026-02-06T00:00:00"/>
    <s v="C1419"/>
    <s v="USB-C Hub"/>
    <x v="3"/>
    <n v="1"/>
    <n v="999"/>
    <n v="0"/>
    <s v="North"/>
    <s v="COD"/>
    <x v="0"/>
    <n v="4272.1499999999996"/>
  </r>
  <r>
    <s v="ORD00665"/>
    <d v="2026-07-03T00:00:00"/>
    <s v="C1714"/>
    <s v="Wireless Mouse"/>
    <x v="1"/>
    <n v="1"/>
    <n v="2499"/>
    <n v="0.15"/>
    <s v="North"/>
    <s v="COD"/>
    <x v="0"/>
    <n v="999"/>
  </r>
  <r>
    <s v="ORD00666"/>
    <d v="2026-03-31T00:00:00"/>
    <s v="C1204"/>
    <s v="Bluetooth Speaker"/>
    <x v="3"/>
    <n v="1"/>
    <n v="7999"/>
    <n v="0"/>
    <s v="North"/>
    <s v="UPI"/>
    <x v="0"/>
    <n v="2124.15"/>
  </r>
  <r>
    <s v="ORD00667"/>
    <d v="2026-01-16T00:00:00"/>
    <s v="C1230"/>
    <s v="Webcam"/>
    <x v="3"/>
    <n v="2"/>
    <n v="1999"/>
    <n v="0.15"/>
    <s v="Central"/>
    <s v="Net Banking"/>
    <x v="0"/>
    <n v="7999"/>
  </r>
  <r>
    <s v="ORD00668"/>
    <d v="2026-07-09T00:00:00"/>
    <s v="C1235"/>
    <s v="Monitor"/>
    <x v="1"/>
    <n v="3"/>
    <n v="599"/>
    <n v="0.15"/>
    <s v="South"/>
    <s v="UPI"/>
    <x v="1"/>
    <n v="3398.2999999999997"/>
  </r>
  <r>
    <s v="ORD00669"/>
    <d v="2026-08-12T00:00:00"/>
    <s v="C1032"/>
    <s v="USB-C Hub"/>
    <x v="4"/>
    <n v="1"/>
    <n v="499"/>
    <n v="0.15"/>
    <s v="North"/>
    <s v="COD"/>
    <x v="1"/>
    <n v="1527.45"/>
  </r>
  <r>
    <s v="ORD00670"/>
    <d v="2026-05-01T00:00:00"/>
    <s v="C1005"/>
    <s v="Wireless Mouse"/>
    <x v="3"/>
    <n v="2"/>
    <n v="1299"/>
    <n v="0"/>
    <s v="North"/>
    <s v="COD"/>
    <x v="0"/>
    <n v="424.15"/>
  </r>
  <r>
    <s v="ORD00671"/>
    <d v="2026-08-13T00:00:00"/>
    <s v="C1779"/>
    <s v="Mechanical Keyboard"/>
    <x v="0"/>
    <n v="5"/>
    <n v="1299"/>
    <n v="0"/>
    <s v="West"/>
    <s v="Net Banking"/>
    <x v="1"/>
    <n v="2598"/>
  </r>
  <r>
    <s v="ORD00672"/>
    <d v="2026-05-24T00:00:00"/>
    <s v="C1557"/>
    <s v="Wireless Mouse"/>
    <x v="3"/>
    <n v="4"/>
    <n v="1999"/>
    <n v="0.15"/>
    <s v="North"/>
    <s v="Net Banking"/>
    <x v="0"/>
    <n v="6495"/>
  </r>
  <r>
    <s v="ORD00673"/>
    <d v="2026-09-04T00:00:00"/>
    <s v="C1759"/>
    <s v="Keyboard"/>
    <x v="2"/>
    <n v="5"/>
    <n v="2499"/>
    <n v="0.1"/>
    <s v="Central"/>
    <s v="Debit Card"/>
    <x v="0"/>
    <n v="6796.5999999999995"/>
  </r>
  <r>
    <s v="ORD00674"/>
    <d v="2026-04-28T00:00:00"/>
    <s v="C1362"/>
    <s v="Webcam"/>
    <x v="0"/>
    <n v="4"/>
    <n v="4999"/>
    <n v="0"/>
    <s v="North"/>
    <s v="UPI"/>
    <x v="2"/>
    <n v="11245.5"/>
  </r>
  <r>
    <s v="ORD00675"/>
    <d v="2026-09-25T00:00:00"/>
    <s v="C1247"/>
    <s v="Bluetooth Speaker"/>
    <x v="2"/>
    <n v="3"/>
    <n v="799"/>
    <n v="0.15"/>
    <s v="North"/>
    <s v="UPI"/>
    <x v="1"/>
    <n v="19996"/>
  </r>
  <r>
    <s v="ORD00676"/>
    <d v="2026-03-02T00:00:00"/>
    <s v="C1752"/>
    <s v="Keyboard"/>
    <x v="3"/>
    <n v="3"/>
    <n v="1499"/>
    <n v="0.15"/>
    <s v="North"/>
    <s v="Net Banking"/>
    <x v="2"/>
    <n v="2037.45"/>
  </r>
  <r>
    <s v="ORD00677"/>
    <d v="2026-09-04T00:00:00"/>
    <s v="C1426"/>
    <s v="Mechanical Keyboard"/>
    <x v="0"/>
    <n v="1"/>
    <n v="499"/>
    <n v="0"/>
    <s v="West"/>
    <s v="Credit Card"/>
    <x v="0"/>
    <n v="3822.45"/>
  </r>
  <r>
    <s v="ORD00678"/>
    <d v="2026-05-11T00:00:00"/>
    <s v="C1605"/>
    <s v="Bluetooth Speaker"/>
    <x v="4"/>
    <n v="4"/>
    <n v="4999"/>
    <n v="0"/>
    <s v="Central"/>
    <s v="Net Banking"/>
    <x v="0"/>
    <n v="499"/>
  </r>
  <r>
    <s v="ORD00679"/>
    <d v="2026-06-19T00:00:00"/>
    <s v="C1159"/>
    <s v="Bluetooth Speaker"/>
    <x v="1"/>
    <n v="3"/>
    <n v="1999"/>
    <n v="0.05"/>
    <s v="North"/>
    <s v="Debit Card"/>
    <x v="0"/>
    <n v="19996"/>
  </r>
  <r>
    <s v="ORD00680"/>
    <d v="2026-07-18T00:00:00"/>
    <s v="C1697"/>
    <s v="Wireless Mouse"/>
    <x v="0"/>
    <n v="3"/>
    <n v="1499"/>
    <n v="0.1"/>
    <s v="East"/>
    <s v="COD"/>
    <x v="0"/>
    <n v="5697.15"/>
  </r>
  <r>
    <s v="ORD00681"/>
    <d v="2026-04-28T00:00:00"/>
    <s v="C1183"/>
    <s v="USB-C Hub"/>
    <x v="4"/>
    <n v="5"/>
    <n v="4999"/>
    <n v="0.15"/>
    <s v="Central"/>
    <s v="UPI"/>
    <x v="0"/>
    <n v="4047.3"/>
  </r>
  <r>
    <s v="ORD00682"/>
    <d v="2026-09-11T00:00:00"/>
    <s v="C1539"/>
    <s v="Headphones"/>
    <x v="2"/>
    <n v="5"/>
    <n v="1999"/>
    <n v="0"/>
    <s v="South"/>
    <s v="Debit Card"/>
    <x v="1"/>
    <n v="21245.75"/>
  </r>
  <r>
    <s v="ORD00683"/>
    <d v="2026-02-23T00:00:00"/>
    <s v="C1133"/>
    <s v="Mechanical Keyboard"/>
    <x v="3"/>
    <n v="3"/>
    <n v="4999"/>
    <n v="0"/>
    <s v="West"/>
    <s v="Credit Card"/>
    <x v="0"/>
    <n v="9995"/>
  </r>
  <r>
    <s v="ORD00684"/>
    <d v="2026-03-28T00:00:00"/>
    <s v="C1445"/>
    <s v="Keyboard"/>
    <x v="4"/>
    <n v="5"/>
    <n v="1999"/>
    <n v="0"/>
    <s v="West"/>
    <s v="COD"/>
    <x v="0"/>
    <n v="14997"/>
  </r>
  <r>
    <s v="ORD00685"/>
    <d v="2026-07-30T00:00:00"/>
    <s v="C1209"/>
    <s v="Monitor"/>
    <x v="1"/>
    <n v="4"/>
    <n v="999"/>
    <n v="0.05"/>
    <s v="East"/>
    <s v="COD"/>
    <x v="0"/>
    <n v="9995"/>
  </r>
  <r>
    <s v="ORD00686"/>
    <d v="2026-06-30T00:00:00"/>
    <s v="C1418"/>
    <s v="Bluetooth Speaker"/>
    <x v="0"/>
    <n v="1"/>
    <n v="2499"/>
    <n v="0.1"/>
    <s v="South"/>
    <s v="Net Banking"/>
    <x v="0"/>
    <n v="3796.2"/>
  </r>
  <r>
    <s v="ORD00687"/>
    <d v="2026-01-16T00:00:00"/>
    <s v="C1566"/>
    <s v="Wireless Mouse"/>
    <x v="1"/>
    <n v="4"/>
    <n v="499"/>
    <n v="0"/>
    <s v="West"/>
    <s v="Debit Card"/>
    <x v="2"/>
    <n v="2249.1"/>
  </r>
  <r>
    <s v="ORD00688"/>
    <d v="2026-08-24T00:00:00"/>
    <s v="C1678"/>
    <s v="Headphones"/>
    <x v="0"/>
    <n v="4"/>
    <n v="7999"/>
    <n v="0"/>
    <s v="West"/>
    <s v="COD"/>
    <x v="0"/>
    <n v="1996"/>
  </r>
  <r>
    <s v="ORD00689"/>
    <d v="2026-03-14T00:00:00"/>
    <s v="C1202"/>
    <s v="Headphones"/>
    <x v="3"/>
    <n v="5"/>
    <n v="499"/>
    <n v="0.15"/>
    <s v="South"/>
    <s v="Debit Card"/>
    <x v="0"/>
    <n v="31996"/>
  </r>
  <r>
    <s v="ORD00690"/>
    <d v="2026-07-08T00:00:00"/>
    <s v="C1193"/>
    <s v="Webcam"/>
    <x v="4"/>
    <n v="3"/>
    <n v="999"/>
    <n v="0.05"/>
    <s v="Central"/>
    <s v="Debit Card"/>
    <x v="0"/>
    <n v="2120.75"/>
  </r>
  <r>
    <s v="ORD00691"/>
    <d v="2026-07-12T00:00:00"/>
    <s v="C1574"/>
    <s v="Headphones"/>
    <x v="2"/>
    <n v="2"/>
    <n v="599"/>
    <n v="0.05"/>
    <s v="South"/>
    <s v="Net Banking"/>
    <x v="0"/>
    <n v="2847.15"/>
  </r>
  <r>
    <s v="ORD00692"/>
    <d v="2026-07-20T00:00:00"/>
    <s v="C1569"/>
    <s v="Power Bank"/>
    <x v="0"/>
    <n v="3"/>
    <n v="2499"/>
    <n v="0"/>
    <s v="Central"/>
    <s v="COD"/>
    <x v="0"/>
    <n v="1138.0999999999999"/>
  </r>
  <r>
    <s v="ORD00693"/>
    <d v="2026-07-05T00:00:00"/>
    <s v="C1622"/>
    <s v="Wireless Mouse"/>
    <x v="3"/>
    <n v="1"/>
    <n v="7999"/>
    <n v="0"/>
    <s v="West"/>
    <s v="Debit Card"/>
    <x v="2"/>
    <n v="7497"/>
  </r>
  <r>
    <s v="ORD00694"/>
    <d v="2026-01-27T00:00:00"/>
    <s v="C1007"/>
    <s v="Mechanical Keyboard"/>
    <x v="1"/>
    <n v="3"/>
    <n v="1499"/>
    <n v="0"/>
    <s v="West"/>
    <s v="Net Banking"/>
    <x v="1"/>
    <n v="7999"/>
  </r>
  <r>
    <s v="ORD00695"/>
    <d v="2026-03-08T00:00:00"/>
    <s v="C1090"/>
    <s v="Power Bank"/>
    <x v="0"/>
    <n v="5"/>
    <n v="4999"/>
    <n v="0.05"/>
    <s v="East"/>
    <s v="UPI"/>
    <x v="0"/>
    <n v="4497"/>
  </r>
  <r>
    <s v="ORD00696"/>
    <d v="2026-09-17T00:00:00"/>
    <s v="C1503"/>
    <s v="Bluetooth Speaker"/>
    <x v="1"/>
    <n v="2"/>
    <n v="499"/>
    <n v="0.15"/>
    <s v="West"/>
    <s v="Debit Card"/>
    <x v="0"/>
    <n v="23745.25"/>
  </r>
  <r>
    <s v="ORD00697"/>
    <d v="2026-01-17T00:00:00"/>
    <s v="C1455"/>
    <s v="Keyboard"/>
    <x v="0"/>
    <n v="1"/>
    <n v="1999"/>
    <n v="0.15"/>
    <s v="East"/>
    <s v="Credit Card"/>
    <x v="0"/>
    <n v="848.3"/>
  </r>
  <r>
    <s v="ORD00698"/>
    <d v="2026-03-29T00:00:00"/>
    <s v="C1360"/>
    <s v="Keyboard"/>
    <x v="3"/>
    <n v="2"/>
    <n v="499"/>
    <n v="0"/>
    <s v="West"/>
    <s v="Net Banking"/>
    <x v="0"/>
    <n v="1699.1499999999999"/>
  </r>
  <r>
    <s v="ORD00699"/>
    <d v="2026-04-04T00:00:00"/>
    <s v="C1414"/>
    <s v="Power Bank"/>
    <x v="4"/>
    <n v="4"/>
    <n v="2499"/>
    <n v="0"/>
    <s v="North"/>
    <s v="COD"/>
    <x v="0"/>
    <n v="998"/>
  </r>
  <r>
    <s v="ORD00700"/>
    <d v="2026-06-09T00:00:00"/>
    <s v="C1452"/>
    <s v="Laptop Stand"/>
    <x v="2"/>
    <n v="2"/>
    <n v="499"/>
    <n v="0.1"/>
    <s v="North"/>
    <s v="UPI"/>
    <x v="0"/>
    <n v="9996"/>
  </r>
  <r>
    <s v="ORD00701"/>
    <d v="2026-09-18T00:00:00"/>
    <s v="C1374"/>
    <s v="Monitor"/>
    <x v="4"/>
    <n v="2"/>
    <n v="2499"/>
    <n v="0.15"/>
    <s v="Central"/>
    <s v="Credit Card"/>
    <x v="0"/>
    <n v="898.2"/>
  </r>
  <r>
    <s v="ORD00702"/>
    <d v="2026-07-21T00:00:00"/>
    <s v="C1228"/>
    <s v="Keyboard"/>
    <x v="4"/>
    <n v="4"/>
    <n v="4999"/>
    <n v="0"/>
    <s v="North"/>
    <s v="UPI"/>
    <x v="2"/>
    <n v="4248.3"/>
  </r>
  <r>
    <s v="ORD00703"/>
    <d v="2026-01-28T00:00:00"/>
    <s v="C1138"/>
    <s v="Laptop Stand"/>
    <x v="1"/>
    <n v="1"/>
    <n v="1299"/>
    <n v="0.05"/>
    <s v="East"/>
    <s v="Debit Card"/>
    <x v="0"/>
    <n v="19996"/>
  </r>
  <r>
    <s v="ORD00704"/>
    <d v="2026-07-04T00:00:00"/>
    <s v="C1167"/>
    <s v="Headphones"/>
    <x v="4"/>
    <n v="3"/>
    <n v="7999"/>
    <n v="0.1"/>
    <s v="West"/>
    <s v="Debit Card"/>
    <x v="2"/>
    <n v="1234.05"/>
  </r>
  <r>
    <s v="ORD00705"/>
    <d v="2026-01-22T00:00:00"/>
    <s v="C1130"/>
    <s v="Mechanical Keyboard"/>
    <x v="3"/>
    <n v="5"/>
    <n v="2499"/>
    <n v="0.05"/>
    <s v="North"/>
    <s v="Credit Card"/>
    <x v="0"/>
    <n v="21597.3"/>
  </r>
  <r>
    <s v="ORD00706"/>
    <d v="2026-06-30T00:00:00"/>
    <s v="C1369"/>
    <s v="Monitor"/>
    <x v="1"/>
    <n v="1"/>
    <n v="799"/>
    <n v="0"/>
    <s v="North"/>
    <s v="Net Banking"/>
    <x v="2"/>
    <n v="11870.25"/>
  </r>
  <r>
    <s v="ORD00707"/>
    <d v="2026-09-12T00:00:00"/>
    <s v="C1339"/>
    <s v="Webcam"/>
    <x v="4"/>
    <n v="1"/>
    <n v="1999"/>
    <n v="0.1"/>
    <s v="East"/>
    <s v="Net Banking"/>
    <x v="0"/>
    <n v="799"/>
  </r>
  <r>
    <s v="ORD00708"/>
    <d v="2026-08-03T00:00:00"/>
    <s v="C1274"/>
    <s v="Headphones"/>
    <x v="1"/>
    <n v="3"/>
    <n v="799"/>
    <n v="0.15"/>
    <s v="South"/>
    <s v="UPI"/>
    <x v="0"/>
    <n v="1799.1000000000001"/>
  </r>
  <r>
    <s v="ORD00709"/>
    <d v="2026-02-13T00:00:00"/>
    <s v="C1544"/>
    <s v="Power Bank"/>
    <x v="3"/>
    <n v="2"/>
    <n v="499"/>
    <n v="0.15"/>
    <s v="South"/>
    <s v="Debit Card"/>
    <x v="1"/>
    <n v="2037.45"/>
  </r>
  <r>
    <s v="ORD00710"/>
    <d v="2026-02-14T00:00:00"/>
    <s v="C1762"/>
    <s v="Power Bank"/>
    <x v="1"/>
    <n v="3"/>
    <n v="799"/>
    <n v="0.1"/>
    <s v="South"/>
    <s v="UPI"/>
    <x v="0"/>
    <n v="848.3"/>
  </r>
  <r>
    <s v="ORD00711"/>
    <d v="2026-06-03T00:00:00"/>
    <s v="C1216"/>
    <s v="Wireless Mouse"/>
    <x v="2"/>
    <n v="3"/>
    <n v="1999"/>
    <n v="0.15"/>
    <s v="West"/>
    <s v="UPI"/>
    <x v="1"/>
    <n v="2157.3000000000002"/>
  </r>
  <r>
    <s v="ORD00712"/>
    <d v="2026-02-17T00:00:00"/>
    <s v="C1233"/>
    <s v="Webcam"/>
    <x v="0"/>
    <n v="5"/>
    <n v="1299"/>
    <n v="0.1"/>
    <s v="North"/>
    <s v="Credit Card"/>
    <x v="0"/>
    <n v="5097.45"/>
  </r>
  <r>
    <s v="ORD00713"/>
    <d v="2026-04-11T00:00:00"/>
    <s v="C1454"/>
    <s v="Bluetooth Speaker"/>
    <x v="2"/>
    <n v="4"/>
    <n v="499"/>
    <n v="0.05"/>
    <s v="North"/>
    <s v="UPI"/>
    <x v="0"/>
    <n v="5845.5"/>
  </r>
  <r>
    <s v="ORD00714"/>
    <d v="2026-03-12T00:00:00"/>
    <s v="C1299"/>
    <s v="Mechanical Keyboard"/>
    <x v="3"/>
    <n v="2"/>
    <n v="799"/>
    <n v="0.1"/>
    <s v="Central"/>
    <s v="COD"/>
    <x v="1"/>
    <n v="1896.1999999999998"/>
  </r>
  <r>
    <s v="ORD00715"/>
    <d v="2026-08-10T00:00:00"/>
    <s v="C1455"/>
    <s v="Laptop Stand"/>
    <x v="2"/>
    <n v="2"/>
    <n v="799"/>
    <n v="0.05"/>
    <s v="East"/>
    <s v="UPI"/>
    <x v="1"/>
    <n v="1438.2"/>
  </r>
  <r>
    <s v="ORD00716"/>
    <d v="2026-01-16T00:00:00"/>
    <s v="C1565"/>
    <s v="Mechanical Keyboard"/>
    <x v="1"/>
    <n v="4"/>
    <n v="1299"/>
    <n v="0.1"/>
    <s v="Central"/>
    <s v="UPI"/>
    <x v="0"/>
    <n v="1518.1"/>
  </r>
  <r>
    <s v="ORD00717"/>
    <d v="2026-01-22T00:00:00"/>
    <s v="C1228"/>
    <s v="Mechanical Keyboard"/>
    <x v="0"/>
    <n v="2"/>
    <n v="799"/>
    <n v="0.05"/>
    <s v="Central"/>
    <s v="Credit Card"/>
    <x v="2"/>
    <n v="4676.4000000000005"/>
  </r>
  <r>
    <s v="ORD00718"/>
    <d v="2026-06-20T00:00:00"/>
    <s v="C1359"/>
    <s v="Power Bank"/>
    <x v="2"/>
    <n v="5"/>
    <n v="4999"/>
    <n v="0.05"/>
    <s v="Central"/>
    <s v="Net Banking"/>
    <x v="0"/>
    <n v="1518.1"/>
  </r>
  <r>
    <s v="ORD00719"/>
    <d v="2026-05-16T00:00:00"/>
    <s v="C1734"/>
    <s v="Monitor"/>
    <x v="4"/>
    <n v="1"/>
    <n v="7999"/>
    <n v="0.1"/>
    <s v="East"/>
    <s v="Debit Card"/>
    <x v="0"/>
    <n v="23745.25"/>
  </r>
  <r>
    <s v="ORD00720"/>
    <d v="2026-05-11T00:00:00"/>
    <s v="C1299"/>
    <s v="Keyboard"/>
    <x v="0"/>
    <n v="4"/>
    <n v="999"/>
    <n v="0.1"/>
    <s v="South"/>
    <s v="Credit Card"/>
    <x v="1"/>
    <n v="7199.1"/>
  </r>
  <r>
    <s v="ORD00721"/>
    <d v="2026-03-25T00:00:00"/>
    <s v="C1653"/>
    <s v="Keyboard"/>
    <x v="3"/>
    <n v="1"/>
    <n v="499"/>
    <n v="0.1"/>
    <s v="Central"/>
    <s v="UPI"/>
    <x v="0"/>
    <n v="3596.4"/>
  </r>
  <r>
    <s v="ORD00722"/>
    <d v="2026-07-17T00:00:00"/>
    <s v="C1296"/>
    <s v="Laptop Stand"/>
    <x v="0"/>
    <n v="1"/>
    <n v="1499"/>
    <n v="0"/>
    <s v="East"/>
    <s v="COD"/>
    <x v="0"/>
    <n v="449.1"/>
  </r>
  <r>
    <s v="ORD00723"/>
    <d v="2026-09-28T00:00:00"/>
    <s v="C1337"/>
    <s v="Webcam"/>
    <x v="0"/>
    <n v="1"/>
    <n v="999"/>
    <n v="0.1"/>
    <s v="Central"/>
    <s v="Net Banking"/>
    <x v="0"/>
    <n v="1499"/>
  </r>
  <r>
    <s v="ORD00724"/>
    <d v="2026-08-20T00:00:00"/>
    <s v="C1248"/>
    <s v="Headphones"/>
    <x v="3"/>
    <n v="5"/>
    <n v="1299"/>
    <n v="0.15"/>
    <s v="East"/>
    <s v="Debit Card"/>
    <x v="0"/>
    <n v="899.1"/>
  </r>
  <r>
    <s v="ORD00725"/>
    <d v="2026-08-09T00:00:00"/>
    <s v="C1355"/>
    <s v="Webcam"/>
    <x v="4"/>
    <n v="4"/>
    <n v="1999"/>
    <n v="0"/>
    <s v="West"/>
    <s v="Credit Card"/>
    <x v="0"/>
    <n v="5520.75"/>
  </r>
  <r>
    <s v="ORD00726"/>
    <d v="2026-09-11T00:00:00"/>
    <s v="C1452"/>
    <s v="Webcam"/>
    <x v="1"/>
    <n v="4"/>
    <n v="1499"/>
    <n v="0.15"/>
    <s v="West"/>
    <s v="COD"/>
    <x v="2"/>
    <n v="7996"/>
  </r>
  <r>
    <s v="ORD00727"/>
    <d v="2026-08-23T00:00:00"/>
    <s v="C1650"/>
    <s v="Power Bank"/>
    <x v="4"/>
    <n v="3"/>
    <n v="1299"/>
    <n v="0.15"/>
    <s v="Central"/>
    <s v="Credit Card"/>
    <x v="1"/>
    <n v="5096.5999999999995"/>
  </r>
  <r>
    <s v="ORD00728"/>
    <d v="2026-01-14T00:00:00"/>
    <s v="C1146"/>
    <s v="Laptop Stand"/>
    <x v="3"/>
    <n v="2"/>
    <n v="2499"/>
    <n v="0.05"/>
    <s v="South"/>
    <s v="Debit Card"/>
    <x v="0"/>
    <n v="3312.45"/>
  </r>
  <r>
    <s v="ORD00729"/>
    <d v="2026-04-12T00:00:00"/>
    <s v="C1516"/>
    <s v="Power Bank"/>
    <x v="4"/>
    <n v="4"/>
    <n v="799"/>
    <n v="0"/>
    <s v="Central"/>
    <s v="Credit Card"/>
    <x v="2"/>
    <n v="4748.0999999999995"/>
  </r>
  <r>
    <s v="ORD00730"/>
    <d v="2026-06-30T00:00:00"/>
    <s v="C1795"/>
    <s v="Bluetooth Speaker"/>
    <x v="3"/>
    <n v="5"/>
    <n v="799"/>
    <n v="0.15"/>
    <s v="Central"/>
    <s v="Credit Card"/>
    <x v="2"/>
    <n v="3196"/>
  </r>
  <r>
    <s v="ORD00731"/>
    <d v="2026-09-25T00:00:00"/>
    <s v="C1494"/>
    <s v="Mechanical Keyboard"/>
    <x v="0"/>
    <n v="2"/>
    <n v="1499"/>
    <n v="0.05"/>
    <s v="West"/>
    <s v="UPI"/>
    <x v="0"/>
    <n v="3395.75"/>
  </r>
  <r>
    <s v="ORD00732"/>
    <d v="2026-06-18T00:00:00"/>
    <s v="C1252"/>
    <s v="Mechanical Keyboard"/>
    <x v="2"/>
    <n v="4"/>
    <n v="1499"/>
    <n v="0"/>
    <s v="South"/>
    <s v="UPI"/>
    <x v="0"/>
    <n v="2848.1"/>
  </r>
  <r>
    <s v="ORD00733"/>
    <d v="2026-08-08T00:00:00"/>
    <s v="C1562"/>
    <s v="Bluetooth Speaker"/>
    <x v="0"/>
    <n v="2"/>
    <n v="7999"/>
    <n v="0"/>
    <s v="North"/>
    <s v="Debit Card"/>
    <x v="0"/>
    <n v="5996"/>
  </r>
  <r>
    <s v="ORD00734"/>
    <d v="2026-03-20T00:00:00"/>
    <s v="C1540"/>
    <s v="Webcam"/>
    <x v="3"/>
    <n v="5"/>
    <n v="4999"/>
    <n v="0"/>
    <s v="East"/>
    <s v="Net Banking"/>
    <x v="0"/>
    <n v="15998"/>
  </r>
  <r>
    <s v="ORD00735"/>
    <d v="2026-06-14T00:00:00"/>
    <s v="C1092"/>
    <s v="Headphones"/>
    <x v="0"/>
    <n v="1"/>
    <n v="799"/>
    <n v="0.05"/>
    <s v="Central"/>
    <s v="COD"/>
    <x v="1"/>
    <n v="24995"/>
  </r>
  <r>
    <s v="ORD00736"/>
    <d v="2026-05-02T00:00:00"/>
    <s v="C1591"/>
    <s v="Laptop Stand"/>
    <x v="0"/>
    <n v="1"/>
    <n v="499"/>
    <n v="0.15"/>
    <s v="West"/>
    <s v="COD"/>
    <x v="2"/>
    <n v="759.05"/>
  </r>
  <r>
    <s v="ORD00737"/>
    <d v="2026-09-07T00:00:00"/>
    <s v="C1023"/>
    <s v="Keyboard"/>
    <x v="1"/>
    <n v="1"/>
    <n v="7999"/>
    <n v="0.05"/>
    <s v="Central"/>
    <s v="COD"/>
    <x v="1"/>
    <n v="424.15"/>
  </r>
  <r>
    <s v="ORD00738"/>
    <d v="2026-06-18T00:00:00"/>
    <s v="C1123"/>
    <s v="Monitor"/>
    <x v="2"/>
    <n v="2"/>
    <n v="2499"/>
    <n v="0"/>
    <s v="South"/>
    <s v="UPI"/>
    <x v="2"/>
    <n v="7599.0499999999993"/>
  </r>
  <r>
    <s v="ORD00739"/>
    <d v="2026-02-24T00:00:00"/>
    <s v="C1650"/>
    <s v="Keyboard"/>
    <x v="2"/>
    <n v="5"/>
    <n v="999"/>
    <n v="0.15"/>
    <s v="West"/>
    <s v="Net Banking"/>
    <x v="0"/>
    <n v="4998"/>
  </r>
  <r>
    <s v="ORD00740"/>
    <d v="2026-08-21T00:00:00"/>
    <s v="C1070"/>
    <s v="Mechanical Keyboard"/>
    <x v="0"/>
    <n v="1"/>
    <n v="1499"/>
    <n v="0.1"/>
    <s v="West"/>
    <s v="Debit Card"/>
    <x v="0"/>
    <n v="4245.75"/>
  </r>
  <r>
    <s v="ORD00741"/>
    <d v="2026-01-07T00:00:00"/>
    <s v="C1641"/>
    <s v="Wireless Mouse"/>
    <x v="2"/>
    <n v="5"/>
    <n v="499"/>
    <n v="0"/>
    <s v="North"/>
    <s v="UPI"/>
    <x v="2"/>
    <n v="1349.1000000000001"/>
  </r>
  <r>
    <s v="ORD00742"/>
    <d v="2026-01-28T00:00:00"/>
    <s v="C1286"/>
    <s v="USB-C Hub"/>
    <x v="3"/>
    <n v="3"/>
    <n v="1299"/>
    <n v="0"/>
    <s v="North"/>
    <s v="Net Banking"/>
    <x v="0"/>
    <n v="2495"/>
  </r>
  <r>
    <s v="ORD00743"/>
    <d v="2026-01-28T00:00:00"/>
    <s v="C1703"/>
    <s v="Monitor"/>
    <x v="0"/>
    <n v="1"/>
    <n v="799"/>
    <n v="0.15"/>
    <s v="West"/>
    <s v="UPI"/>
    <x v="1"/>
    <n v="3897"/>
  </r>
  <r>
    <s v="ORD00744"/>
    <d v="2026-07-25T00:00:00"/>
    <s v="C1039"/>
    <s v="USB-C Hub"/>
    <x v="1"/>
    <n v="1"/>
    <n v="2499"/>
    <n v="0.15"/>
    <s v="East"/>
    <s v="Net Banking"/>
    <x v="0"/>
    <n v="679.15"/>
  </r>
  <r>
    <s v="ORD00745"/>
    <d v="2026-09-17T00:00:00"/>
    <s v="C1329"/>
    <s v="Wireless Mouse"/>
    <x v="2"/>
    <n v="4"/>
    <n v="1299"/>
    <n v="0"/>
    <s v="South"/>
    <s v="UPI"/>
    <x v="2"/>
    <n v="2124.15"/>
  </r>
  <r>
    <s v="ORD00746"/>
    <d v="2026-05-23T00:00:00"/>
    <s v="C1722"/>
    <s v="Laptop Stand"/>
    <x v="2"/>
    <n v="1"/>
    <n v="7999"/>
    <n v="0.05"/>
    <s v="Central"/>
    <s v="UPI"/>
    <x v="1"/>
    <n v="5196"/>
  </r>
  <r>
    <s v="ORD00747"/>
    <d v="2026-09-22T00:00:00"/>
    <s v="C1164"/>
    <s v="Bluetooth Speaker"/>
    <x v="2"/>
    <n v="1"/>
    <n v="1999"/>
    <n v="0.15"/>
    <s v="Central"/>
    <s v="Net Banking"/>
    <x v="0"/>
    <n v="7599.0499999999993"/>
  </r>
  <r>
    <s v="ORD00748"/>
    <d v="2026-03-22T00:00:00"/>
    <s v="C1550"/>
    <s v="Keyboard"/>
    <x v="0"/>
    <n v="5"/>
    <n v="4999"/>
    <n v="0.1"/>
    <s v="Central"/>
    <s v="Credit Card"/>
    <x v="2"/>
    <n v="1699.1499999999999"/>
  </r>
  <r>
    <s v="ORD00749"/>
    <d v="2026-01-08T00:00:00"/>
    <s v="C1099"/>
    <s v="Power Bank"/>
    <x v="2"/>
    <n v="2"/>
    <n v="599"/>
    <n v="0.05"/>
    <s v="Central"/>
    <s v="UPI"/>
    <x v="0"/>
    <n v="22495.5"/>
  </r>
  <r>
    <s v="ORD00750"/>
    <d v="2026-05-25T00:00:00"/>
    <s v="C1578"/>
    <s v="Keyboard"/>
    <x v="3"/>
    <n v="4"/>
    <n v="499"/>
    <n v="0.05"/>
    <s v="South"/>
    <s v="Credit Card"/>
    <x v="1"/>
    <n v="1138.0999999999999"/>
  </r>
  <r>
    <s v="ORD00751"/>
    <d v="2026-03-18T00:00:00"/>
    <s v="C1298"/>
    <s v="Webcam"/>
    <x v="0"/>
    <n v="1"/>
    <n v="799"/>
    <n v="0.05"/>
    <s v="South"/>
    <s v="Net Banking"/>
    <x v="0"/>
    <n v="1896.1999999999998"/>
  </r>
  <r>
    <s v="ORD00752"/>
    <d v="2026-09-05T00:00:00"/>
    <s v="C1380"/>
    <s v="Headphones"/>
    <x v="1"/>
    <n v="1"/>
    <n v="499"/>
    <n v="0.05"/>
    <s v="West"/>
    <s v="COD"/>
    <x v="0"/>
    <n v="759.05"/>
  </r>
  <r>
    <s v="ORD00753"/>
    <d v="2026-07-16T00:00:00"/>
    <s v="C1500"/>
    <s v="USB-C Hub"/>
    <x v="1"/>
    <n v="3"/>
    <n v="1299"/>
    <n v="0.15"/>
    <s v="South"/>
    <s v="UPI"/>
    <x v="0"/>
    <n v="474.04999999999995"/>
  </r>
  <r>
    <s v="ORD00754"/>
    <d v="2026-09-22T00:00:00"/>
    <s v="C1203"/>
    <s v="Keyboard"/>
    <x v="2"/>
    <n v="3"/>
    <n v="4999"/>
    <n v="0.15"/>
    <s v="West"/>
    <s v="Debit Card"/>
    <x v="0"/>
    <n v="3312.45"/>
  </r>
  <r>
    <s v="ORD00755"/>
    <d v="2026-05-26T00:00:00"/>
    <s v="C1403"/>
    <s v="Headphones"/>
    <x v="2"/>
    <n v="1"/>
    <n v="499"/>
    <n v="0.15"/>
    <s v="Central"/>
    <s v="Debit Card"/>
    <x v="0"/>
    <n v="12747.449999999999"/>
  </r>
  <r>
    <s v="ORD00756"/>
    <d v="2026-06-11T00:00:00"/>
    <s v="C1484"/>
    <s v="Webcam"/>
    <x v="1"/>
    <n v="1"/>
    <n v="1999"/>
    <n v="0.1"/>
    <s v="East"/>
    <s v="Debit Card"/>
    <x v="1"/>
    <n v="424.15"/>
  </r>
  <r>
    <s v="ORD00757"/>
    <d v="2026-01-31T00:00:00"/>
    <s v="C1240"/>
    <s v="Keyboard"/>
    <x v="3"/>
    <n v="1"/>
    <n v="999"/>
    <n v="0"/>
    <s v="East"/>
    <s v="UPI"/>
    <x v="2"/>
    <n v="1799.1000000000001"/>
  </r>
  <r>
    <s v="ORD00758"/>
    <d v="2026-06-24T00:00:00"/>
    <s v="C1435"/>
    <s v="Wireless Mouse"/>
    <x v="0"/>
    <n v="1"/>
    <n v="7999"/>
    <n v="0.1"/>
    <s v="East"/>
    <s v="Credit Card"/>
    <x v="0"/>
    <n v="999"/>
  </r>
  <r>
    <s v="ORD00759"/>
    <d v="2026-05-27T00:00:00"/>
    <s v="C1194"/>
    <s v="Laptop Stand"/>
    <x v="0"/>
    <n v="1"/>
    <n v="1499"/>
    <n v="0"/>
    <s v="South"/>
    <s v="UPI"/>
    <x v="0"/>
    <n v="7199.1"/>
  </r>
  <r>
    <s v="ORD00760"/>
    <d v="2026-09-17T00:00:00"/>
    <s v="C1165"/>
    <s v="Mechanical Keyboard"/>
    <x v="0"/>
    <n v="3"/>
    <n v="1499"/>
    <n v="0"/>
    <s v="North"/>
    <s v="COD"/>
    <x v="0"/>
    <n v="1499"/>
  </r>
  <r>
    <s v="ORD00761"/>
    <d v="2026-05-12T00:00:00"/>
    <s v="C1191"/>
    <s v="Keyboard"/>
    <x v="4"/>
    <n v="4"/>
    <n v="1299"/>
    <n v="0.1"/>
    <s v="West"/>
    <s v="COD"/>
    <x v="0"/>
    <n v="4497"/>
  </r>
  <r>
    <s v="ORD00762"/>
    <d v="2026-04-23T00:00:00"/>
    <s v="C1177"/>
    <s v="Laptop Stand"/>
    <x v="0"/>
    <n v="3"/>
    <n v="1299"/>
    <n v="0"/>
    <s v="West"/>
    <s v="Net Banking"/>
    <x v="2"/>
    <n v="4676.4000000000005"/>
  </r>
  <r>
    <s v="ORD00763"/>
    <d v="2026-05-25T00:00:00"/>
    <s v="C1076"/>
    <s v="Webcam"/>
    <x v="0"/>
    <n v="2"/>
    <n v="499"/>
    <n v="0"/>
    <s v="South"/>
    <s v="COD"/>
    <x v="0"/>
    <n v="3897"/>
  </r>
  <r>
    <s v="ORD00764"/>
    <d v="2026-01-18T00:00:00"/>
    <s v="C1514"/>
    <s v="Bluetooth Speaker"/>
    <x v="0"/>
    <n v="4"/>
    <n v="7999"/>
    <n v="0"/>
    <s v="West"/>
    <s v="COD"/>
    <x v="0"/>
    <n v="998"/>
  </r>
  <r>
    <s v="ORD00765"/>
    <d v="2026-06-01T00:00:00"/>
    <s v="C1269"/>
    <s v="Laptop Stand"/>
    <x v="2"/>
    <n v="1"/>
    <n v="499"/>
    <n v="0.15"/>
    <s v="South"/>
    <s v="UPI"/>
    <x v="0"/>
    <n v="31996"/>
  </r>
  <r>
    <s v="ORD00766"/>
    <d v="2026-05-22T00:00:00"/>
    <s v="C1473"/>
    <s v="Headphones"/>
    <x v="0"/>
    <n v="5"/>
    <n v="7999"/>
    <n v="0"/>
    <s v="North"/>
    <s v="Credit Card"/>
    <x v="1"/>
    <n v="424.15"/>
  </r>
  <r>
    <s v="ORD00767"/>
    <d v="2026-07-08T00:00:00"/>
    <s v="C1471"/>
    <s v="Power Bank"/>
    <x v="0"/>
    <n v="4"/>
    <n v="2499"/>
    <n v="0"/>
    <s v="West"/>
    <s v="UPI"/>
    <x v="0"/>
    <n v="39995"/>
  </r>
  <r>
    <s v="ORD00768"/>
    <d v="2026-02-20T00:00:00"/>
    <s v="C1651"/>
    <s v="Power Bank"/>
    <x v="0"/>
    <n v="1"/>
    <n v="1299"/>
    <n v="0.05"/>
    <s v="North"/>
    <s v="Credit Card"/>
    <x v="1"/>
    <n v="9996"/>
  </r>
  <r>
    <s v="ORD00769"/>
    <d v="2026-05-24T00:00:00"/>
    <s v="C1280"/>
    <s v="Webcam"/>
    <x v="4"/>
    <n v="2"/>
    <n v="999"/>
    <n v="0.15"/>
    <s v="Central"/>
    <s v="UPI"/>
    <x v="1"/>
    <n v="1234.05"/>
  </r>
  <r>
    <s v="ORD00770"/>
    <d v="2026-03-26T00:00:00"/>
    <s v="C1209"/>
    <s v="Power Bank"/>
    <x v="4"/>
    <n v="5"/>
    <n v="1499"/>
    <n v="0"/>
    <s v="North"/>
    <s v="Debit Card"/>
    <x v="0"/>
    <n v="1698.3"/>
  </r>
  <r>
    <s v="ORD00771"/>
    <d v="2026-09-06T00:00:00"/>
    <s v="C1764"/>
    <s v="Keyboard"/>
    <x v="3"/>
    <n v="1"/>
    <n v="4999"/>
    <n v="0.1"/>
    <s v="South"/>
    <s v="UPI"/>
    <x v="2"/>
    <n v="7495"/>
  </r>
  <r>
    <s v="ORD00772"/>
    <d v="2026-01-30T00:00:00"/>
    <s v="C1100"/>
    <s v="Headphones"/>
    <x v="0"/>
    <n v="5"/>
    <n v="799"/>
    <n v="0"/>
    <s v="North"/>
    <s v="Debit Card"/>
    <x v="0"/>
    <n v="4499.1000000000004"/>
  </r>
  <r>
    <s v="ORD00773"/>
    <d v="2026-02-05T00:00:00"/>
    <s v="C1685"/>
    <s v="Bluetooth Speaker"/>
    <x v="1"/>
    <n v="2"/>
    <n v="1499"/>
    <n v="0"/>
    <s v="East"/>
    <s v="Debit Card"/>
    <x v="0"/>
    <n v="3995"/>
  </r>
  <r>
    <s v="ORD00774"/>
    <d v="2026-07-30T00:00:00"/>
    <s v="C1211"/>
    <s v="Power Bank"/>
    <x v="3"/>
    <n v="4"/>
    <n v="1999"/>
    <n v="0"/>
    <s v="West"/>
    <s v="UPI"/>
    <x v="0"/>
    <n v="2998"/>
  </r>
  <r>
    <s v="ORD00775"/>
    <d v="2026-09-04T00:00:00"/>
    <s v="C1297"/>
    <s v="Power Bank"/>
    <x v="4"/>
    <n v="4"/>
    <n v="599"/>
    <n v="0.15"/>
    <s v="North"/>
    <s v="UPI"/>
    <x v="1"/>
    <n v="7996"/>
  </r>
  <r>
    <s v="ORD00776"/>
    <d v="2026-01-22T00:00:00"/>
    <s v="C1653"/>
    <s v="Power Bank"/>
    <x v="0"/>
    <n v="2"/>
    <n v="799"/>
    <n v="0.05"/>
    <s v="Central"/>
    <s v="Debit Card"/>
    <x v="0"/>
    <n v="2036.6"/>
  </r>
  <r>
    <s v="ORD00777"/>
    <d v="2026-05-04T00:00:00"/>
    <s v="C1799"/>
    <s v="Webcam"/>
    <x v="1"/>
    <n v="5"/>
    <n v="799"/>
    <n v="0"/>
    <s v="West"/>
    <s v="UPI"/>
    <x v="0"/>
    <n v="1518.1"/>
  </r>
  <r>
    <s v="ORD00778"/>
    <d v="2026-05-29T00:00:00"/>
    <s v="C1411"/>
    <s v="Power Bank"/>
    <x v="2"/>
    <n v="2"/>
    <n v="499"/>
    <n v="0.05"/>
    <s v="East"/>
    <s v="Debit Card"/>
    <x v="0"/>
    <n v="3995"/>
  </r>
  <r>
    <s v="ORD00779"/>
    <d v="2026-01-24T00:00:00"/>
    <s v="C1591"/>
    <s v="Monitor"/>
    <x v="1"/>
    <n v="1"/>
    <n v="1299"/>
    <n v="0"/>
    <s v="East"/>
    <s v="UPI"/>
    <x v="0"/>
    <n v="948.09999999999991"/>
  </r>
  <r>
    <s v="ORD00780"/>
    <d v="2026-08-22T00:00:00"/>
    <s v="C1086"/>
    <s v="Laptop Stand"/>
    <x v="2"/>
    <n v="3"/>
    <n v="1999"/>
    <n v="0"/>
    <s v="North"/>
    <s v="Net Banking"/>
    <x v="0"/>
    <n v="1299"/>
  </r>
  <r>
    <s v="ORD00781"/>
    <d v="2026-02-09T00:00:00"/>
    <s v="C1360"/>
    <s v="Bluetooth Speaker"/>
    <x v="2"/>
    <n v="5"/>
    <n v="7999"/>
    <n v="0"/>
    <s v="North"/>
    <s v="COD"/>
    <x v="0"/>
    <n v="5997"/>
  </r>
  <r>
    <s v="ORD00782"/>
    <d v="2026-02-02T00:00:00"/>
    <s v="C1569"/>
    <s v="Bluetooth Speaker"/>
    <x v="1"/>
    <n v="4"/>
    <n v="7999"/>
    <n v="0.15"/>
    <s v="East"/>
    <s v="Credit Card"/>
    <x v="0"/>
    <n v="39995"/>
  </r>
  <r>
    <s v="ORD00783"/>
    <d v="2026-02-17T00:00:00"/>
    <s v="C1287"/>
    <s v="Power Bank"/>
    <x v="2"/>
    <n v="2"/>
    <n v="7999"/>
    <n v="0.1"/>
    <s v="Central"/>
    <s v="Net Banking"/>
    <x v="1"/>
    <n v="27196.6"/>
  </r>
  <r>
    <s v="ORD00784"/>
    <d v="2026-07-29T00:00:00"/>
    <s v="C1784"/>
    <s v="Laptop Stand"/>
    <x v="2"/>
    <n v="5"/>
    <n v="799"/>
    <n v="0.15"/>
    <s v="South"/>
    <s v="Debit Card"/>
    <x v="1"/>
    <n v="14398.2"/>
  </r>
  <r>
    <s v="ORD00785"/>
    <d v="2026-04-28T00:00:00"/>
    <s v="C1652"/>
    <s v="Laptop Stand"/>
    <x v="3"/>
    <n v="5"/>
    <n v="1299"/>
    <n v="0"/>
    <s v="Central"/>
    <s v="Debit Card"/>
    <x v="2"/>
    <n v="3395.75"/>
  </r>
  <r>
    <s v="ORD00786"/>
    <d v="2026-02-14T00:00:00"/>
    <s v="C1287"/>
    <s v="Webcam"/>
    <x v="2"/>
    <n v="3"/>
    <n v="1999"/>
    <n v="0.05"/>
    <s v="South"/>
    <s v="Credit Card"/>
    <x v="0"/>
    <n v="6495"/>
  </r>
  <r>
    <s v="ORD00787"/>
    <d v="2026-06-29T00:00:00"/>
    <s v="C1666"/>
    <s v="Mechanical Keyboard"/>
    <x v="3"/>
    <n v="3"/>
    <n v="1299"/>
    <n v="0"/>
    <s v="South"/>
    <s v="Net Banking"/>
    <x v="2"/>
    <n v="5697.15"/>
  </r>
  <r>
    <s v="ORD00788"/>
    <d v="2026-05-03T00:00:00"/>
    <s v="C1008"/>
    <s v="Keyboard"/>
    <x v="4"/>
    <n v="1"/>
    <n v="599"/>
    <n v="0"/>
    <s v="South"/>
    <s v="COD"/>
    <x v="0"/>
    <n v="3897"/>
  </r>
  <r>
    <s v="ORD00789"/>
    <d v="2026-04-20T00:00:00"/>
    <s v="C1217"/>
    <s v="USB-C Hub"/>
    <x v="1"/>
    <n v="5"/>
    <n v="7999"/>
    <n v="0.05"/>
    <s v="West"/>
    <s v="Net Banking"/>
    <x v="0"/>
    <n v="599"/>
  </r>
  <r>
    <s v="ORD00790"/>
    <d v="2026-07-21T00:00:00"/>
    <s v="C1239"/>
    <s v="Power Bank"/>
    <x v="4"/>
    <n v="5"/>
    <n v="599"/>
    <n v="0"/>
    <s v="South"/>
    <s v="Credit Card"/>
    <x v="0"/>
    <n v="37995.25"/>
  </r>
  <r>
    <s v="ORD00791"/>
    <d v="2026-07-15T00:00:00"/>
    <s v="C1157"/>
    <s v="Headphones"/>
    <x v="1"/>
    <n v="2"/>
    <n v="999"/>
    <n v="0"/>
    <s v="Central"/>
    <s v="Credit Card"/>
    <x v="0"/>
    <n v="2995"/>
  </r>
  <r>
    <s v="ORD00792"/>
    <d v="2026-07-31T00:00:00"/>
    <s v="C1018"/>
    <s v="Laptop Stand"/>
    <x v="0"/>
    <n v="3"/>
    <n v="2499"/>
    <n v="0.15"/>
    <s v="East"/>
    <s v="COD"/>
    <x v="0"/>
    <n v="1998"/>
  </r>
  <r>
    <s v="ORD00793"/>
    <d v="2026-04-13T00:00:00"/>
    <s v="C1782"/>
    <s v="Bluetooth Speaker"/>
    <x v="3"/>
    <n v="5"/>
    <n v="499"/>
    <n v="0.1"/>
    <s v="East"/>
    <s v="Credit Card"/>
    <x v="0"/>
    <n v="6372.45"/>
  </r>
  <r>
    <s v="ORD00794"/>
    <d v="2026-01-11T00:00:00"/>
    <s v="C1222"/>
    <s v="USB-C Hub"/>
    <x v="4"/>
    <n v="4"/>
    <n v="1299"/>
    <n v="0.15"/>
    <s v="South"/>
    <s v="COD"/>
    <x v="0"/>
    <n v="2245.5"/>
  </r>
  <r>
    <s v="ORD00795"/>
    <d v="2026-07-03T00:00:00"/>
    <s v="C1403"/>
    <s v="Keyboard"/>
    <x v="3"/>
    <n v="5"/>
    <n v="7999"/>
    <n v="0.15"/>
    <s v="South"/>
    <s v="COD"/>
    <x v="2"/>
    <n v="4416.5999999999995"/>
  </r>
  <r>
    <s v="ORD00796"/>
    <d v="2026-01-01T00:00:00"/>
    <s v="C1198"/>
    <s v="Webcam"/>
    <x v="4"/>
    <n v="4"/>
    <n v="2499"/>
    <n v="0"/>
    <s v="East"/>
    <s v="Net Banking"/>
    <x v="1"/>
    <n v="33995.75"/>
  </r>
  <r>
    <s v="ORD00797"/>
    <d v="2026-07-14T00:00:00"/>
    <s v="C1192"/>
    <s v="USB-C Hub"/>
    <x v="3"/>
    <n v="2"/>
    <n v="1999"/>
    <n v="0.1"/>
    <s v="West"/>
    <s v="COD"/>
    <x v="0"/>
    <n v="9996"/>
  </r>
  <r>
    <s v="ORD00798"/>
    <d v="2026-01-27T00:00:00"/>
    <s v="C1203"/>
    <s v="Headphones"/>
    <x v="3"/>
    <n v="5"/>
    <n v="1999"/>
    <n v="0.05"/>
    <s v="East"/>
    <s v="Credit Card"/>
    <x v="0"/>
    <n v="3598.2000000000003"/>
  </r>
  <r>
    <s v="ORD00799"/>
    <d v="2026-07-18T00:00:00"/>
    <s v="C1218"/>
    <s v="Bluetooth Speaker"/>
    <x v="2"/>
    <n v="1"/>
    <n v="7999"/>
    <n v="0"/>
    <s v="North"/>
    <s v="COD"/>
    <x v="2"/>
    <n v="9495.25"/>
  </r>
  <r>
    <s v="ORD00800"/>
    <d v="2026-09-27T00:00:00"/>
    <s v="C1114"/>
    <s v="Bluetooth Speaker"/>
    <x v="1"/>
    <n v="1"/>
    <n v="4999"/>
    <n v="0"/>
    <s v="South"/>
    <s v="UPI"/>
    <x v="0"/>
    <n v="7999"/>
  </r>
  <r>
    <s v="ORD00801"/>
    <d v="2026-01-09T00:00:00"/>
    <s v="C1170"/>
    <s v="Keyboard"/>
    <x v="2"/>
    <n v="5"/>
    <n v="599"/>
    <n v="0.1"/>
    <s v="Central"/>
    <s v="COD"/>
    <x v="0"/>
    <n v="4999"/>
  </r>
  <r>
    <s v="ORD00802"/>
    <d v="2026-04-20T00:00:00"/>
    <s v="C1227"/>
    <s v="Bluetooth Speaker"/>
    <x v="4"/>
    <n v="4"/>
    <n v="499"/>
    <n v="0"/>
    <s v="North"/>
    <s v="UPI"/>
    <x v="1"/>
    <n v="2695.5"/>
  </r>
  <r>
    <s v="ORD00803"/>
    <d v="2026-02-08T00:00:00"/>
    <s v="C1482"/>
    <s v="Laptop Stand"/>
    <x v="4"/>
    <n v="3"/>
    <n v="999"/>
    <n v="0"/>
    <s v="Central"/>
    <s v="Net Banking"/>
    <x v="0"/>
    <n v="1996"/>
  </r>
  <r>
    <s v="ORD00804"/>
    <d v="2026-02-14T00:00:00"/>
    <s v="C1360"/>
    <s v="Monitor"/>
    <x v="4"/>
    <n v="5"/>
    <n v="7999"/>
    <n v="0.15"/>
    <s v="South"/>
    <s v="COD"/>
    <x v="0"/>
    <n v="2997"/>
  </r>
  <r>
    <s v="ORD00805"/>
    <d v="2026-04-24T00:00:00"/>
    <s v="C1141"/>
    <s v="Bluetooth Speaker"/>
    <x v="4"/>
    <n v="2"/>
    <n v="799"/>
    <n v="0"/>
    <s v="East"/>
    <s v="UPI"/>
    <x v="2"/>
    <n v="33995.75"/>
  </r>
  <r>
    <s v="ORD00806"/>
    <d v="2026-02-20T00:00:00"/>
    <s v="C1657"/>
    <s v="USB-C Hub"/>
    <x v="2"/>
    <n v="3"/>
    <n v="1999"/>
    <n v="0"/>
    <s v="North"/>
    <s v="Credit Card"/>
    <x v="0"/>
    <n v="1598"/>
  </r>
  <r>
    <s v="ORD00807"/>
    <d v="2026-08-30T00:00:00"/>
    <s v="C1570"/>
    <s v="Webcam"/>
    <x v="4"/>
    <n v="1"/>
    <n v="7999"/>
    <n v="0"/>
    <s v="North"/>
    <s v="Credit Card"/>
    <x v="2"/>
    <n v="5997"/>
  </r>
  <r>
    <s v="ORD00808"/>
    <d v="2026-05-24T00:00:00"/>
    <s v="C1116"/>
    <s v="Headphones"/>
    <x v="4"/>
    <n v="5"/>
    <n v="2499"/>
    <n v="0.1"/>
    <s v="East"/>
    <s v="COD"/>
    <x v="2"/>
    <n v="7999"/>
  </r>
  <r>
    <s v="ORD00809"/>
    <d v="2026-08-27T00:00:00"/>
    <s v="C1290"/>
    <s v="Power Bank"/>
    <x v="2"/>
    <n v="3"/>
    <n v="799"/>
    <n v="0"/>
    <s v="South"/>
    <s v="COD"/>
    <x v="0"/>
    <n v="11245.5"/>
  </r>
  <r>
    <s v="ORD00810"/>
    <d v="2026-02-10T00:00:00"/>
    <s v="C1496"/>
    <s v="Webcam"/>
    <x v="2"/>
    <n v="2"/>
    <n v="1499"/>
    <n v="0.1"/>
    <s v="South"/>
    <s v="Debit Card"/>
    <x v="0"/>
    <n v="2397"/>
  </r>
  <r>
    <s v="ORD00811"/>
    <d v="2026-05-03T00:00:00"/>
    <s v="C1659"/>
    <s v="Webcam"/>
    <x v="2"/>
    <n v="5"/>
    <n v="499"/>
    <n v="0"/>
    <s v="West"/>
    <s v="Net Banking"/>
    <x v="0"/>
    <n v="2698.2000000000003"/>
  </r>
  <r>
    <s v="ORD00812"/>
    <d v="2026-08-18T00:00:00"/>
    <s v="C1483"/>
    <s v="USB-C Hub"/>
    <x v="2"/>
    <n v="5"/>
    <n v="599"/>
    <n v="0.05"/>
    <s v="South"/>
    <s v="UPI"/>
    <x v="2"/>
    <n v="2495"/>
  </r>
  <r>
    <s v="ORD00813"/>
    <d v="2026-03-29T00:00:00"/>
    <s v="C1391"/>
    <s v="Bluetooth Speaker"/>
    <x v="1"/>
    <n v="1"/>
    <n v="1499"/>
    <n v="0.1"/>
    <s v="East"/>
    <s v="Debit Card"/>
    <x v="2"/>
    <n v="2845.25"/>
  </r>
  <r>
    <s v="ORD00814"/>
    <d v="2026-09-01T00:00:00"/>
    <s v="C1372"/>
    <s v="Power Bank"/>
    <x v="4"/>
    <n v="5"/>
    <n v="599"/>
    <n v="0.15"/>
    <s v="Central"/>
    <s v="UPI"/>
    <x v="1"/>
    <n v="1349.1000000000001"/>
  </r>
  <r>
    <s v="ORD00815"/>
    <d v="2026-04-09T00:00:00"/>
    <s v="C1437"/>
    <s v="USB-C Hub"/>
    <x v="4"/>
    <n v="5"/>
    <n v="799"/>
    <n v="0"/>
    <s v="West"/>
    <s v="COD"/>
    <x v="0"/>
    <n v="2545.75"/>
  </r>
  <r>
    <s v="ORD00816"/>
    <d v="2026-04-27T00:00:00"/>
    <s v="C1773"/>
    <s v="Webcam"/>
    <x v="2"/>
    <n v="3"/>
    <n v="1499"/>
    <n v="0"/>
    <s v="South"/>
    <s v="UPI"/>
    <x v="0"/>
    <n v="3995"/>
  </r>
  <r>
    <s v="ORD00817"/>
    <d v="2026-04-19T00:00:00"/>
    <s v="C1005"/>
    <s v="Webcam"/>
    <x v="2"/>
    <n v="3"/>
    <n v="799"/>
    <n v="0.15"/>
    <s v="Central"/>
    <s v="Credit Card"/>
    <x v="0"/>
    <n v="4497"/>
  </r>
  <r>
    <s v="ORD00818"/>
    <d v="2026-01-26T00:00:00"/>
    <s v="C1317"/>
    <s v="USB-C Hub"/>
    <x v="3"/>
    <n v="4"/>
    <n v="599"/>
    <n v="0"/>
    <s v="East"/>
    <s v="UPI"/>
    <x v="2"/>
    <n v="2037.45"/>
  </r>
  <r>
    <s v="ORD00819"/>
    <d v="2026-09-21T00:00:00"/>
    <s v="C1253"/>
    <s v="Power Bank"/>
    <x v="3"/>
    <n v="4"/>
    <n v="499"/>
    <n v="0.15"/>
    <s v="South"/>
    <s v="Net Banking"/>
    <x v="0"/>
    <n v="2396"/>
  </r>
  <r>
    <s v="ORD00820"/>
    <d v="2026-03-10T00:00:00"/>
    <s v="C1547"/>
    <s v="Bluetooth Speaker"/>
    <x v="0"/>
    <n v="1"/>
    <n v="1999"/>
    <n v="0.1"/>
    <s v="East"/>
    <s v="Debit Card"/>
    <x v="0"/>
    <n v="1696.6"/>
  </r>
  <r>
    <s v="ORD00821"/>
    <d v="2026-02-06T00:00:00"/>
    <s v="C1329"/>
    <s v="Headphones"/>
    <x v="3"/>
    <n v="1"/>
    <n v="1499"/>
    <n v="0.15"/>
    <s v="South"/>
    <s v="UPI"/>
    <x v="0"/>
    <n v="1799.1000000000001"/>
  </r>
  <r>
    <s v="ORD00822"/>
    <d v="2026-06-16T00:00:00"/>
    <s v="C1759"/>
    <s v="Wireless Mouse"/>
    <x v="4"/>
    <n v="4"/>
    <n v="2499"/>
    <n v="0.05"/>
    <s v="East"/>
    <s v="Credit Card"/>
    <x v="0"/>
    <n v="1274.1499999999999"/>
  </r>
  <r>
    <s v="ORD00823"/>
    <d v="2026-07-11T00:00:00"/>
    <s v="C1364"/>
    <s v="Headphones"/>
    <x v="1"/>
    <n v="5"/>
    <n v="2499"/>
    <n v="0.05"/>
    <s v="Central"/>
    <s v="Debit Card"/>
    <x v="0"/>
    <n v="9496.1999999999989"/>
  </r>
  <r>
    <s v="ORD00824"/>
    <d v="2026-01-25T00:00:00"/>
    <s v="C1067"/>
    <s v="Laptop Stand"/>
    <x v="0"/>
    <n v="2"/>
    <n v="999"/>
    <n v="0.1"/>
    <s v="West"/>
    <s v="Net Banking"/>
    <x v="1"/>
    <n v="11870.25"/>
  </r>
  <r>
    <s v="ORD00825"/>
    <d v="2026-02-23T00:00:00"/>
    <s v="C1790"/>
    <s v="Power Bank"/>
    <x v="0"/>
    <n v="2"/>
    <n v="799"/>
    <n v="0.05"/>
    <s v="South"/>
    <s v="COD"/>
    <x v="0"/>
    <n v="1798.2"/>
  </r>
  <r>
    <s v="ORD00826"/>
    <d v="2026-09-19T00:00:00"/>
    <s v="C1288"/>
    <s v="Headphones"/>
    <x v="3"/>
    <n v="2"/>
    <n v="599"/>
    <n v="0"/>
    <s v="North"/>
    <s v="Debit Card"/>
    <x v="1"/>
    <n v="1518.1"/>
  </r>
  <r>
    <s v="ORD00827"/>
    <d v="2026-08-02T00:00:00"/>
    <s v="C1258"/>
    <s v="Monitor"/>
    <x v="3"/>
    <n v="2"/>
    <n v="999"/>
    <n v="0"/>
    <s v="North"/>
    <s v="Debit Card"/>
    <x v="0"/>
    <n v="1198"/>
  </r>
  <r>
    <s v="ORD00828"/>
    <d v="2026-04-05T00:00:00"/>
    <s v="C1149"/>
    <s v="Webcam"/>
    <x v="1"/>
    <n v="2"/>
    <n v="1999"/>
    <n v="0"/>
    <s v="South"/>
    <s v="UPI"/>
    <x v="0"/>
    <n v="1998"/>
  </r>
  <r>
    <s v="ORD00829"/>
    <d v="2026-04-21T00:00:00"/>
    <s v="C1456"/>
    <s v="Webcam"/>
    <x v="0"/>
    <n v="4"/>
    <n v="999"/>
    <n v="0.15"/>
    <s v="South"/>
    <s v="Credit Card"/>
    <x v="0"/>
    <n v="3998"/>
  </r>
  <r>
    <s v="ORD00830"/>
    <d v="2026-07-23T00:00:00"/>
    <s v="C1317"/>
    <s v="Monitor"/>
    <x v="2"/>
    <n v="3"/>
    <n v="1299"/>
    <n v="0"/>
    <s v="East"/>
    <s v="Credit Card"/>
    <x v="0"/>
    <n v="3396.6"/>
  </r>
  <r>
    <s v="ORD00831"/>
    <d v="2026-06-10T00:00:00"/>
    <s v="C1166"/>
    <s v="Laptop Stand"/>
    <x v="4"/>
    <n v="5"/>
    <n v="4999"/>
    <n v="0.05"/>
    <s v="West"/>
    <s v="COD"/>
    <x v="0"/>
    <n v="3897"/>
  </r>
  <r>
    <s v="ORD00832"/>
    <d v="2026-07-04T00:00:00"/>
    <s v="C1132"/>
    <s v="Keyboard"/>
    <x v="3"/>
    <n v="3"/>
    <n v="599"/>
    <n v="0"/>
    <s v="East"/>
    <s v="UPI"/>
    <x v="0"/>
    <n v="23745.25"/>
  </r>
  <r>
    <s v="ORD00833"/>
    <d v="2026-05-25T00:00:00"/>
    <s v="C1791"/>
    <s v="Mechanical Keyboard"/>
    <x v="3"/>
    <n v="4"/>
    <n v="1299"/>
    <n v="0"/>
    <s v="Central"/>
    <s v="Debit Card"/>
    <x v="0"/>
    <n v="1797"/>
  </r>
  <r>
    <s v="ORD00834"/>
    <d v="2026-06-28T00:00:00"/>
    <s v="C1308"/>
    <s v="Monitor"/>
    <x v="3"/>
    <n v="5"/>
    <n v="999"/>
    <n v="0"/>
    <s v="West"/>
    <s v="Net Banking"/>
    <x v="0"/>
    <n v="5196"/>
  </r>
  <r>
    <s v="ORD00835"/>
    <d v="2026-02-23T00:00:00"/>
    <s v="C1167"/>
    <s v="Webcam"/>
    <x v="4"/>
    <n v="3"/>
    <n v="1999"/>
    <n v="0"/>
    <s v="South"/>
    <s v="Debit Card"/>
    <x v="2"/>
    <n v="4995"/>
  </r>
  <r>
    <s v="ORD00836"/>
    <d v="2026-02-14T00:00:00"/>
    <s v="C1504"/>
    <s v="Headphones"/>
    <x v="2"/>
    <n v="3"/>
    <n v="599"/>
    <n v="0"/>
    <s v="West"/>
    <s v="Net Banking"/>
    <x v="0"/>
    <n v="5997"/>
  </r>
  <r>
    <s v="ORD00837"/>
    <d v="2026-04-25T00:00:00"/>
    <s v="C1577"/>
    <s v="Webcam"/>
    <x v="4"/>
    <n v="5"/>
    <n v="1499"/>
    <n v="0"/>
    <s v="East"/>
    <s v="COD"/>
    <x v="0"/>
    <n v="1797"/>
  </r>
  <r>
    <s v="ORD00838"/>
    <d v="2026-05-06T00:00:00"/>
    <s v="C1054"/>
    <s v="Wireless Mouse"/>
    <x v="3"/>
    <n v="2"/>
    <n v="499"/>
    <n v="0"/>
    <s v="South"/>
    <s v="COD"/>
    <x v="0"/>
    <n v="7495"/>
  </r>
  <r>
    <s v="ORD00839"/>
    <d v="2026-03-13T00:00:00"/>
    <s v="C1110"/>
    <s v="Laptop Stand"/>
    <x v="2"/>
    <n v="2"/>
    <n v="4999"/>
    <n v="0.15"/>
    <s v="West"/>
    <s v="Credit Card"/>
    <x v="2"/>
    <n v="998"/>
  </r>
  <r>
    <s v="ORD00840"/>
    <d v="2026-05-15T00:00:00"/>
    <s v="C1064"/>
    <s v="Headphones"/>
    <x v="4"/>
    <n v="3"/>
    <n v="1499"/>
    <n v="0.15"/>
    <s v="South"/>
    <s v="UPI"/>
    <x v="0"/>
    <n v="8498.2999999999993"/>
  </r>
  <r>
    <s v="ORD00841"/>
    <d v="2026-06-12T00:00:00"/>
    <s v="C1736"/>
    <s v="Mechanical Keyboard"/>
    <x v="0"/>
    <n v="5"/>
    <n v="999"/>
    <n v="0.1"/>
    <s v="East"/>
    <s v="Net Banking"/>
    <x v="0"/>
    <n v="3822.45"/>
  </r>
  <r>
    <s v="ORD00842"/>
    <d v="2026-05-29T00:00:00"/>
    <s v="C1434"/>
    <s v="Bluetooth Speaker"/>
    <x v="0"/>
    <n v="3"/>
    <n v="799"/>
    <n v="0.1"/>
    <s v="East"/>
    <s v="UPI"/>
    <x v="0"/>
    <n v="4495.5"/>
  </r>
  <r>
    <s v="ORD00843"/>
    <d v="2026-06-21T00:00:00"/>
    <s v="C1175"/>
    <s v="Webcam"/>
    <x v="4"/>
    <n v="3"/>
    <n v="599"/>
    <n v="0.1"/>
    <s v="North"/>
    <s v="Credit Card"/>
    <x v="2"/>
    <n v="2157.3000000000002"/>
  </r>
  <r>
    <s v="ORD00844"/>
    <d v="2026-07-12T00:00:00"/>
    <s v="C1075"/>
    <s v="Mechanical Keyboard"/>
    <x v="0"/>
    <n v="2"/>
    <n v="7999"/>
    <n v="0.05"/>
    <s v="South"/>
    <s v="UPI"/>
    <x v="0"/>
    <n v="1617.3"/>
  </r>
  <r>
    <s v="ORD00845"/>
    <d v="2026-08-22T00:00:00"/>
    <s v="C1549"/>
    <s v="Headphones"/>
    <x v="2"/>
    <n v="3"/>
    <n v="999"/>
    <n v="0.1"/>
    <s v="West"/>
    <s v="Debit Card"/>
    <x v="0"/>
    <n v="15198.099999999999"/>
  </r>
  <r>
    <s v="ORD00846"/>
    <d v="2026-05-19T00:00:00"/>
    <s v="C1240"/>
    <s v="Power Bank"/>
    <x v="0"/>
    <n v="4"/>
    <n v="599"/>
    <n v="0"/>
    <s v="North"/>
    <s v="UPI"/>
    <x v="1"/>
    <n v="2697.3"/>
  </r>
  <r>
    <s v="ORD00847"/>
    <d v="2026-01-13T00:00:00"/>
    <s v="C1391"/>
    <s v="Headphones"/>
    <x v="3"/>
    <n v="3"/>
    <n v="4999"/>
    <n v="0.05"/>
    <s v="North"/>
    <s v="Debit Card"/>
    <x v="2"/>
    <n v="2396"/>
  </r>
  <r>
    <s v="ORD00848"/>
    <d v="2026-06-05T00:00:00"/>
    <s v="C1785"/>
    <s v="Keyboard"/>
    <x v="4"/>
    <n v="5"/>
    <n v="7999"/>
    <n v="0"/>
    <s v="North"/>
    <s v="UPI"/>
    <x v="2"/>
    <n v="14247.15"/>
  </r>
  <r>
    <s v="ORD00849"/>
    <d v="2026-08-06T00:00:00"/>
    <s v="C1388"/>
    <s v="Webcam"/>
    <x v="4"/>
    <n v="5"/>
    <n v="1999"/>
    <n v="0.1"/>
    <s v="West"/>
    <s v="Debit Card"/>
    <x v="2"/>
    <n v="39995"/>
  </r>
  <r>
    <s v="ORD00850"/>
    <d v="2026-06-18T00:00:00"/>
    <s v="C1767"/>
    <s v="Power Bank"/>
    <x v="2"/>
    <n v="1"/>
    <n v="799"/>
    <n v="0.15"/>
    <s v="North"/>
    <s v="UPI"/>
    <x v="0"/>
    <n v="8995.5"/>
  </r>
  <r>
    <s v="ORD00851"/>
    <d v="2026-02-28T00:00:00"/>
    <s v="C1397"/>
    <s v="Mechanical Keyboard"/>
    <x v="2"/>
    <n v="5"/>
    <n v="599"/>
    <n v="0"/>
    <s v="South"/>
    <s v="Net Banking"/>
    <x v="0"/>
    <n v="679.15"/>
  </r>
  <r>
    <s v="ORD00852"/>
    <d v="2026-07-06T00:00:00"/>
    <s v="C1442"/>
    <s v="Mechanical Keyboard"/>
    <x v="2"/>
    <n v="2"/>
    <n v="999"/>
    <n v="0"/>
    <s v="Central"/>
    <s v="Debit Card"/>
    <x v="0"/>
    <n v="2995"/>
  </r>
  <r>
    <s v="ORD00853"/>
    <d v="2026-01-17T00:00:00"/>
    <s v="C1418"/>
    <s v="Headphones"/>
    <x v="3"/>
    <n v="4"/>
    <n v="1499"/>
    <n v="0.1"/>
    <s v="South"/>
    <s v="Credit Card"/>
    <x v="0"/>
    <n v="1998"/>
  </r>
  <r>
    <s v="ORD00854"/>
    <d v="2026-03-06T00:00:00"/>
    <s v="C1742"/>
    <s v="Mechanical Keyboard"/>
    <x v="1"/>
    <n v="1"/>
    <n v="1999"/>
    <n v="0.15"/>
    <s v="North"/>
    <s v="Net Banking"/>
    <x v="0"/>
    <n v="5396.4000000000005"/>
  </r>
  <r>
    <s v="ORD00855"/>
    <d v="2026-07-17T00:00:00"/>
    <s v="C1735"/>
    <s v="Wireless Mouse"/>
    <x v="1"/>
    <n v="1"/>
    <n v="1999"/>
    <n v="0.15"/>
    <s v="East"/>
    <s v="COD"/>
    <x v="0"/>
    <n v="1699.1499999999999"/>
  </r>
  <r>
    <s v="ORD00856"/>
    <d v="2026-01-29T00:00:00"/>
    <s v="C1059"/>
    <s v="Keyboard"/>
    <x v="4"/>
    <n v="1"/>
    <n v="1999"/>
    <n v="0"/>
    <s v="West"/>
    <s v="Net Banking"/>
    <x v="0"/>
    <n v="1699.1499999999999"/>
  </r>
  <r>
    <s v="ORD00857"/>
    <d v="2026-08-17T00:00:00"/>
    <s v="C1204"/>
    <s v="Webcam"/>
    <x v="4"/>
    <n v="2"/>
    <n v="599"/>
    <n v="0.1"/>
    <s v="Central"/>
    <s v="UPI"/>
    <x v="1"/>
    <n v="1999"/>
  </r>
  <r>
    <s v="ORD00858"/>
    <d v="2026-07-30T00:00:00"/>
    <s v="C1098"/>
    <s v="Bluetooth Speaker"/>
    <x v="1"/>
    <n v="1"/>
    <n v="1999"/>
    <n v="0"/>
    <s v="East"/>
    <s v="COD"/>
    <x v="2"/>
    <n v="1078.2"/>
  </r>
  <r>
    <s v="ORD00859"/>
    <d v="2026-08-17T00:00:00"/>
    <s v="C1381"/>
    <s v="USB-C Hub"/>
    <x v="4"/>
    <n v="4"/>
    <n v="4999"/>
    <n v="0.15"/>
    <s v="North"/>
    <s v="Credit Card"/>
    <x v="2"/>
    <n v="1999"/>
  </r>
  <r>
    <s v="ORD00860"/>
    <d v="2026-08-10T00:00:00"/>
    <s v="C1590"/>
    <s v="Bluetooth Speaker"/>
    <x v="4"/>
    <n v="2"/>
    <n v="999"/>
    <n v="0"/>
    <s v="West"/>
    <s v="Debit Card"/>
    <x v="0"/>
    <n v="16996.599999999999"/>
  </r>
  <r>
    <s v="ORD00861"/>
    <d v="2026-02-01T00:00:00"/>
    <s v="C1658"/>
    <s v="Headphones"/>
    <x v="3"/>
    <n v="2"/>
    <n v="1999"/>
    <n v="0"/>
    <s v="Central"/>
    <s v="UPI"/>
    <x v="0"/>
    <n v="1998"/>
  </r>
  <r>
    <s v="ORD00862"/>
    <d v="2026-03-28T00:00:00"/>
    <s v="C1258"/>
    <s v="USB-C Hub"/>
    <x v="3"/>
    <n v="4"/>
    <n v="1299"/>
    <n v="0.15"/>
    <s v="South"/>
    <s v="COD"/>
    <x v="2"/>
    <n v="3998"/>
  </r>
  <r>
    <s v="ORD00863"/>
    <d v="2026-03-29T00:00:00"/>
    <s v="C1566"/>
    <s v="Headphones"/>
    <x v="0"/>
    <n v="1"/>
    <n v="599"/>
    <n v="0.05"/>
    <s v="North"/>
    <s v="Credit Card"/>
    <x v="0"/>
    <n v="4416.5999999999995"/>
  </r>
  <r>
    <s v="ORD00864"/>
    <d v="2026-07-15T00:00:00"/>
    <s v="C1533"/>
    <s v="Webcam"/>
    <x v="3"/>
    <n v="3"/>
    <n v="1999"/>
    <n v="0"/>
    <s v="Central"/>
    <s v="Net Banking"/>
    <x v="0"/>
    <n v="569.04999999999995"/>
  </r>
  <r>
    <s v="ORD00865"/>
    <d v="2026-03-06T00:00:00"/>
    <s v="C1500"/>
    <s v="Wireless Mouse"/>
    <x v="1"/>
    <n v="2"/>
    <n v="999"/>
    <n v="0"/>
    <s v="East"/>
    <s v="Net Banking"/>
    <x v="0"/>
    <n v="5997"/>
  </r>
  <r>
    <s v="ORD00866"/>
    <d v="2026-08-31T00:00:00"/>
    <s v="C1102"/>
    <s v="Wireless Mouse"/>
    <x v="2"/>
    <n v="3"/>
    <n v="999"/>
    <n v="0.1"/>
    <s v="Central"/>
    <s v="Credit Card"/>
    <x v="0"/>
    <n v="1998"/>
  </r>
  <r>
    <s v="ORD00867"/>
    <d v="2026-03-21T00:00:00"/>
    <s v="C1110"/>
    <s v="Bluetooth Speaker"/>
    <x v="3"/>
    <n v="5"/>
    <n v="799"/>
    <n v="0.15"/>
    <s v="North"/>
    <s v="Net Banking"/>
    <x v="0"/>
    <n v="2697.3"/>
  </r>
  <r>
    <s v="ORD00868"/>
    <d v="2026-05-17T00:00:00"/>
    <s v="C1209"/>
    <s v="Power Bank"/>
    <x v="4"/>
    <n v="4"/>
    <n v="4999"/>
    <n v="0"/>
    <s v="West"/>
    <s v="Net Banking"/>
    <x v="2"/>
    <n v="3395.75"/>
  </r>
  <r>
    <s v="ORD00869"/>
    <d v="2026-03-27T00:00:00"/>
    <s v="C1265"/>
    <s v="USB-C Hub"/>
    <x v="1"/>
    <n v="3"/>
    <n v="7999"/>
    <n v="0.15"/>
    <s v="Central"/>
    <s v="Credit Card"/>
    <x v="0"/>
    <n v="19996"/>
  </r>
  <r>
    <s v="ORD00870"/>
    <d v="2026-05-10T00:00:00"/>
    <s v="C1445"/>
    <s v="Monitor"/>
    <x v="1"/>
    <n v="3"/>
    <n v="4999"/>
    <n v="0"/>
    <s v="East"/>
    <s v="COD"/>
    <x v="0"/>
    <n v="20397.45"/>
  </r>
  <r>
    <s v="ORD00871"/>
    <d v="2026-03-08T00:00:00"/>
    <s v="C1491"/>
    <s v="Bluetooth Speaker"/>
    <x v="2"/>
    <n v="3"/>
    <n v="1299"/>
    <n v="0.1"/>
    <s v="East"/>
    <s v="Net Banking"/>
    <x v="1"/>
    <n v="14997"/>
  </r>
  <r>
    <s v="ORD00872"/>
    <d v="2026-01-26T00:00:00"/>
    <s v="C1601"/>
    <s v="Monitor"/>
    <x v="0"/>
    <n v="3"/>
    <n v="599"/>
    <n v="0.05"/>
    <s v="West"/>
    <s v="Debit Card"/>
    <x v="0"/>
    <n v="3507.3"/>
  </r>
  <r>
    <s v="ORD00873"/>
    <d v="2026-05-22T00:00:00"/>
    <s v="C1473"/>
    <s v="Keyboard"/>
    <x v="1"/>
    <n v="5"/>
    <n v="1299"/>
    <n v="0"/>
    <s v="Central"/>
    <s v="Credit Card"/>
    <x v="0"/>
    <n v="1707.1499999999999"/>
  </r>
  <r>
    <s v="ORD00874"/>
    <d v="2026-01-28T00:00:00"/>
    <s v="C1779"/>
    <s v="Bluetooth Speaker"/>
    <x v="4"/>
    <n v="4"/>
    <n v="4999"/>
    <n v="0.05"/>
    <s v="South"/>
    <s v="COD"/>
    <x v="1"/>
    <n v="6495"/>
  </r>
  <r>
    <s v="ORD00875"/>
    <d v="2026-09-30T00:00:00"/>
    <s v="C1167"/>
    <s v="Keyboard"/>
    <x v="4"/>
    <n v="4"/>
    <n v="799"/>
    <n v="0"/>
    <s v="Central"/>
    <s v="Debit Card"/>
    <x v="0"/>
    <n v="18996.2"/>
  </r>
  <r>
    <s v="ORD00876"/>
    <d v="2026-02-10T00:00:00"/>
    <s v="C1748"/>
    <s v="Wireless Mouse"/>
    <x v="1"/>
    <n v="3"/>
    <n v="499"/>
    <n v="0.05"/>
    <s v="Central"/>
    <s v="UPI"/>
    <x v="2"/>
    <n v="3196"/>
  </r>
  <r>
    <s v="ORD00877"/>
    <d v="2026-01-25T00:00:00"/>
    <s v="C1263"/>
    <s v="Power Bank"/>
    <x v="4"/>
    <n v="2"/>
    <n v="1499"/>
    <n v="0.05"/>
    <s v="North"/>
    <s v="Credit Card"/>
    <x v="2"/>
    <n v="1422.1499999999999"/>
  </r>
  <r>
    <s v="ORD00878"/>
    <d v="2026-08-16T00:00:00"/>
    <s v="C1166"/>
    <s v="USB-C Hub"/>
    <x v="4"/>
    <n v="2"/>
    <n v="499"/>
    <n v="0.15"/>
    <s v="Central"/>
    <s v="COD"/>
    <x v="2"/>
    <n v="2848.1"/>
  </r>
  <r>
    <s v="ORD00879"/>
    <d v="2026-09-21T00:00:00"/>
    <s v="C1203"/>
    <s v="Keyboard"/>
    <x v="1"/>
    <n v="5"/>
    <n v="4999"/>
    <n v="0.1"/>
    <s v="South"/>
    <s v="Credit Card"/>
    <x v="0"/>
    <n v="848.3"/>
  </r>
  <r>
    <s v="ORD00880"/>
    <d v="2026-07-28T00:00:00"/>
    <s v="C1325"/>
    <s v="Webcam"/>
    <x v="3"/>
    <n v="3"/>
    <n v="999"/>
    <n v="0"/>
    <s v="North"/>
    <s v="COD"/>
    <x v="1"/>
    <n v="22495.5"/>
  </r>
  <r>
    <s v="ORD00881"/>
    <d v="2026-02-16T00:00:00"/>
    <s v="C1779"/>
    <s v="Bluetooth Speaker"/>
    <x v="1"/>
    <n v="3"/>
    <n v="4999"/>
    <n v="0.05"/>
    <s v="North"/>
    <s v="COD"/>
    <x v="0"/>
    <n v="2997"/>
  </r>
  <r>
    <s v="ORD00882"/>
    <d v="2026-04-04T00:00:00"/>
    <s v="C1498"/>
    <s v="Keyboard"/>
    <x v="0"/>
    <n v="4"/>
    <n v="7999"/>
    <n v="0.1"/>
    <s v="East"/>
    <s v="COD"/>
    <x v="0"/>
    <n v="14247.15"/>
  </r>
  <r>
    <s v="ORD00883"/>
    <d v="2026-03-04T00:00:00"/>
    <s v="C1460"/>
    <s v="Webcam"/>
    <x v="0"/>
    <n v="1"/>
    <n v="999"/>
    <n v="0"/>
    <s v="North"/>
    <s v="Debit Card"/>
    <x v="0"/>
    <n v="28796.400000000001"/>
  </r>
  <r>
    <s v="ORD00884"/>
    <d v="2026-07-22T00:00:00"/>
    <s v="C1268"/>
    <s v="Mechanical Keyboard"/>
    <x v="0"/>
    <n v="1"/>
    <n v="599"/>
    <n v="0.1"/>
    <s v="North"/>
    <s v="COD"/>
    <x v="2"/>
    <n v="999"/>
  </r>
  <r>
    <s v="ORD00885"/>
    <d v="2026-03-29T00:00:00"/>
    <s v="C1430"/>
    <s v="Laptop Stand"/>
    <x v="4"/>
    <n v="5"/>
    <n v="7999"/>
    <n v="0.05"/>
    <s v="East"/>
    <s v="UPI"/>
    <x v="2"/>
    <n v="539.1"/>
  </r>
  <r>
    <s v="ORD00886"/>
    <d v="2026-09-17T00:00:00"/>
    <s v="C1155"/>
    <s v="Monitor"/>
    <x v="1"/>
    <n v="5"/>
    <n v="1499"/>
    <n v="0.05"/>
    <s v="West"/>
    <s v="Debit Card"/>
    <x v="0"/>
    <n v="37995.25"/>
  </r>
  <r>
    <s v="ORD00887"/>
    <d v="2026-07-25T00:00:00"/>
    <s v="C1521"/>
    <s v="Bluetooth Speaker"/>
    <x v="3"/>
    <n v="3"/>
    <n v="1299"/>
    <n v="0"/>
    <s v="South"/>
    <s v="COD"/>
    <x v="1"/>
    <n v="7120.25"/>
  </r>
  <r>
    <s v="ORD00888"/>
    <d v="2026-05-02T00:00:00"/>
    <s v="C1418"/>
    <s v="Bluetooth Speaker"/>
    <x v="3"/>
    <n v="2"/>
    <n v="1299"/>
    <n v="0"/>
    <s v="North"/>
    <s v="COD"/>
    <x v="0"/>
    <n v="3897"/>
  </r>
  <r>
    <s v="ORD00889"/>
    <d v="2026-03-06T00:00:00"/>
    <s v="C1257"/>
    <s v="Bluetooth Speaker"/>
    <x v="1"/>
    <n v="2"/>
    <n v="599"/>
    <n v="0"/>
    <s v="North"/>
    <s v="Credit Card"/>
    <x v="2"/>
    <n v="2598"/>
  </r>
  <r>
    <s v="ORD00890"/>
    <d v="2026-02-10T00:00:00"/>
    <s v="C1634"/>
    <s v="Headphones"/>
    <x v="2"/>
    <n v="3"/>
    <n v="599"/>
    <n v="0"/>
    <s v="Central"/>
    <s v="Debit Card"/>
    <x v="0"/>
    <n v="1198"/>
  </r>
  <r>
    <s v="ORD00891"/>
    <d v="2026-06-28T00:00:00"/>
    <s v="C1333"/>
    <s v="Keyboard"/>
    <x v="4"/>
    <n v="3"/>
    <n v="1499"/>
    <n v="0.15"/>
    <s v="Central"/>
    <s v="Net Banking"/>
    <x v="0"/>
    <n v="1797"/>
  </r>
  <r>
    <s v="ORD00892"/>
    <d v="2026-06-25T00:00:00"/>
    <s v="C1488"/>
    <s v="Keyboard"/>
    <x v="1"/>
    <n v="5"/>
    <n v="1499"/>
    <n v="0"/>
    <s v="South"/>
    <s v="COD"/>
    <x v="1"/>
    <n v="3822.45"/>
  </r>
  <r>
    <s v="ORD00893"/>
    <d v="2026-08-02T00:00:00"/>
    <s v="C1577"/>
    <s v="Laptop Stand"/>
    <x v="0"/>
    <n v="4"/>
    <n v="7999"/>
    <n v="0.15"/>
    <s v="Central"/>
    <s v="Net Banking"/>
    <x v="0"/>
    <n v="7495"/>
  </r>
  <r>
    <s v="ORD00894"/>
    <d v="2026-01-25T00:00:00"/>
    <s v="C1008"/>
    <s v="Mechanical Keyboard"/>
    <x v="4"/>
    <n v="4"/>
    <n v="999"/>
    <n v="0"/>
    <s v="East"/>
    <s v="Credit Card"/>
    <x v="1"/>
    <n v="27196.6"/>
  </r>
  <r>
    <s v="ORD00895"/>
    <d v="2026-02-06T00:00:00"/>
    <s v="C1113"/>
    <s v="Power Bank"/>
    <x v="2"/>
    <n v="3"/>
    <n v="999"/>
    <n v="0.15"/>
    <s v="West"/>
    <s v="Net Banking"/>
    <x v="0"/>
    <n v="3996"/>
  </r>
  <r>
    <s v="ORD00896"/>
    <d v="2026-03-05T00:00:00"/>
    <s v="C1466"/>
    <s v="Bluetooth Speaker"/>
    <x v="4"/>
    <n v="2"/>
    <n v="499"/>
    <n v="0.1"/>
    <s v="North"/>
    <s v="Debit Card"/>
    <x v="2"/>
    <n v="2547.4499999999998"/>
  </r>
  <r>
    <s v="ORD00897"/>
    <d v="2026-05-29T00:00:00"/>
    <s v="C1344"/>
    <s v="Keyboard"/>
    <x v="0"/>
    <n v="4"/>
    <n v="799"/>
    <n v="0"/>
    <s v="Central"/>
    <s v="Credit Card"/>
    <x v="2"/>
    <n v="898.2"/>
  </r>
  <r>
    <s v="ORD00898"/>
    <d v="2026-03-02T00:00:00"/>
    <s v="C1047"/>
    <s v="Wireless Mouse"/>
    <x v="0"/>
    <n v="5"/>
    <n v="499"/>
    <n v="0"/>
    <s v="Central"/>
    <s v="Net Banking"/>
    <x v="0"/>
    <n v="3196"/>
  </r>
  <r>
    <s v="ORD00899"/>
    <d v="2026-04-29T00:00:00"/>
    <s v="C1002"/>
    <s v="Mechanical Keyboard"/>
    <x v="2"/>
    <n v="1"/>
    <n v="1499"/>
    <n v="0.1"/>
    <s v="South"/>
    <s v="Debit Card"/>
    <x v="0"/>
    <n v="2495"/>
  </r>
  <r>
    <s v="ORD00900"/>
    <d v="2026-01-09T00:00:00"/>
    <s v="C1478"/>
    <s v="Webcam"/>
    <x v="2"/>
    <n v="3"/>
    <n v="799"/>
    <n v="0"/>
    <s v="Central"/>
    <s v="UPI"/>
    <x v="0"/>
    <n v="1349.1000000000001"/>
  </r>
  <r>
    <s v="ORD00901"/>
    <d v="2026-03-03T00:00:00"/>
    <s v="C1768"/>
    <s v="Mechanical Keyboard"/>
    <x v="1"/>
    <n v="2"/>
    <n v="999"/>
    <n v="0.15"/>
    <s v="South"/>
    <s v="Debit Card"/>
    <x v="2"/>
    <n v="2397"/>
  </r>
  <r>
    <s v="ORD00902"/>
    <d v="2026-06-12T00:00:00"/>
    <s v="C1129"/>
    <s v="Monitor"/>
    <x v="1"/>
    <n v="3"/>
    <n v="1299"/>
    <n v="0.15"/>
    <s v="East"/>
    <s v="UPI"/>
    <x v="1"/>
    <n v="1698.3"/>
  </r>
  <r>
    <s v="ORD00903"/>
    <d v="2026-07-04T00:00:00"/>
    <s v="C1450"/>
    <s v="Power Bank"/>
    <x v="1"/>
    <n v="1"/>
    <n v="1999"/>
    <n v="0.15"/>
    <s v="North"/>
    <s v="COD"/>
    <x v="0"/>
    <n v="3312.45"/>
  </r>
  <r>
    <s v="ORD00904"/>
    <d v="2026-03-27T00:00:00"/>
    <s v="C1615"/>
    <s v="Power Bank"/>
    <x v="4"/>
    <n v="3"/>
    <n v="1499"/>
    <n v="0"/>
    <s v="Central"/>
    <s v="Net Banking"/>
    <x v="0"/>
    <n v="1699.1499999999999"/>
  </r>
  <r>
    <s v="ORD00905"/>
    <d v="2026-07-19T00:00:00"/>
    <s v="C1114"/>
    <s v="Wireless Mouse"/>
    <x v="4"/>
    <n v="4"/>
    <n v="1299"/>
    <n v="0.05"/>
    <s v="North"/>
    <s v="COD"/>
    <x v="0"/>
    <n v="4497"/>
  </r>
  <r>
    <s v="ORD00906"/>
    <d v="2026-06-20T00:00:00"/>
    <s v="C1120"/>
    <s v="Mechanical Keyboard"/>
    <x v="1"/>
    <n v="5"/>
    <n v="1299"/>
    <n v="0.1"/>
    <s v="East"/>
    <s v="COD"/>
    <x v="0"/>
    <n v="4936.2"/>
  </r>
  <r>
    <s v="ORD00907"/>
    <d v="2026-05-22T00:00:00"/>
    <s v="C1221"/>
    <s v="USB-C Hub"/>
    <x v="3"/>
    <n v="4"/>
    <n v="7999"/>
    <n v="0"/>
    <s v="East"/>
    <s v="COD"/>
    <x v="1"/>
    <n v="5845.5"/>
  </r>
  <r>
    <s v="ORD00908"/>
    <d v="2026-04-02T00:00:00"/>
    <s v="C1737"/>
    <s v="Bluetooth Speaker"/>
    <x v="1"/>
    <n v="5"/>
    <n v="499"/>
    <n v="0.1"/>
    <s v="North"/>
    <s v="Credit Card"/>
    <x v="0"/>
    <n v="31996"/>
  </r>
  <r>
    <s v="ORD00909"/>
    <d v="2026-05-01T00:00:00"/>
    <s v="C1329"/>
    <s v="Headphones"/>
    <x v="3"/>
    <n v="3"/>
    <n v="2499"/>
    <n v="0.15"/>
    <s v="South"/>
    <s v="Debit Card"/>
    <x v="2"/>
    <n v="2245.5"/>
  </r>
  <r>
    <s v="ORD00910"/>
    <d v="2026-08-25T00:00:00"/>
    <s v="C1644"/>
    <s v="Mechanical Keyboard"/>
    <x v="2"/>
    <n v="1"/>
    <n v="499"/>
    <n v="0.15"/>
    <s v="South"/>
    <s v="Credit Card"/>
    <x v="2"/>
    <n v="6372.45"/>
  </r>
  <r>
    <s v="ORD00911"/>
    <d v="2026-05-06T00:00:00"/>
    <s v="C1086"/>
    <s v="USB-C Hub"/>
    <x v="0"/>
    <n v="1"/>
    <n v="1499"/>
    <n v="0.05"/>
    <s v="East"/>
    <s v="UPI"/>
    <x v="0"/>
    <n v="424.15"/>
  </r>
  <r>
    <s v="ORD00912"/>
    <d v="2026-05-31T00:00:00"/>
    <s v="C1712"/>
    <s v="Laptop Stand"/>
    <x v="0"/>
    <n v="4"/>
    <n v="4999"/>
    <n v="0.05"/>
    <s v="North"/>
    <s v="Credit Card"/>
    <x v="1"/>
    <n v="1424.05"/>
  </r>
  <r>
    <s v="ORD00913"/>
    <d v="2026-09-08T00:00:00"/>
    <s v="C1617"/>
    <s v="Power Bank"/>
    <x v="3"/>
    <n v="1"/>
    <n v="799"/>
    <n v="0.15"/>
    <s v="South"/>
    <s v="UPI"/>
    <x v="0"/>
    <n v="18996.2"/>
  </r>
  <r>
    <s v="ORD00914"/>
    <d v="2026-06-16T00:00:00"/>
    <s v="C1576"/>
    <s v="Webcam"/>
    <x v="3"/>
    <n v="4"/>
    <n v="1499"/>
    <n v="0.1"/>
    <s v="South"/>
    <s v="Debit Card"/>
    <x v="0"/>
    <n v="679.15"/>
  </r>
  <r>
    <s v="ORD00915"/>
    <d v="2026-01-06T00:00:00"/>
    <s v="C1484"/>
    <s v="Wireless Mouse"/>
    <x v="0"/>
    <n v="1"/>
    <n v="1499"/>
    <n v="0.05"/>
    <s v="South"/>
    <s v="Debit Card"/>
    <x v="1"/>
    <n v="5396.4000000000005"/>
  </r>
  <r>
    <s v="ORD00916"/>
    <d v="2026-09-10T00:00:00"/>
    <s v="C1687"/>
    <s v="Bluetooth Speaker"/>
    <x v="3"/>
    <n v="1"/>
    <n v="999"/>
    <n v="0.1"/>
    <s v="North"/>
    <s v="UPI"/>
    <x v="2"/>
    <n v="1424.05"/>
  </r>
  <r>
    <s v="ORD00917"/>
    <d v="2026-08-07T00:00:00"/>
    <s v="C1561"/>
    <s v="Monitor"/>
    <x v="3"/>
    <n v="4"/>
    <n v="999"/>
    <n v="0.05"/>
    <s v="East"/>
    <s v="UPI"/>
    <x v="0"/>
    <n v="899.1"/>
  </r>
  <r>
    <s v="ORD00918"/>
    <d v="2026-06-29T00:00:00"/>
    <s v="C1120"/>
    <s v="Headphones"/>
    <x v="4"/>
    <n v="5"/>
    <n v="1499"/>
    <n v="0.15"/>
    <s v="West"/>
    <s v="Credit Card"/>
    <x v="0"/>
    <n v="3796.2"/>
  </r>
  <r>
    <s v="ORD00919"/>
    <d v="2026-01-31T00:00:00"/>
    <s v="C1667"/>
    <s v="Monitor"/>
    <x v="3"/>
    <n v="5"/>
    <n v="799"/>
    <n v="0"/>
    <s v="South"/>
    <s v="UPI"/>
    <x v="0"/>
    <n v="6370.75"/>
  </r>
  <r>
    <s v="ORD00920"/>
    <d v="2026-04-27T00:00:00"/>
    <s v="C1390"/>
    <s v="Laptop Stand"/>
    <x v="2"/>
    <n v="3"/>
    <n v="799"/>
    <n v="0.1"/>
    <s v="West"/>
    <s v="COD"/>
    <x v="0"/>
    <n v="3995"/>
  </r>
  <r>
    <s v="ORD00921"/>
    <d v="2026-02-17T00:00:00"/>
    <s v="C1094"/>
    <s v="Mechanical Keyboard"/>
    <x v="0"/>
    <n v="1"/>
    <n v="7999"/>
    <n v="0"/>
    <s v="South"/>
    <s v="UPI"/>
    <x v="0"/>
    <n v="2157.3000000000002"/>
  </r>
  <r>
    <s v="ORD00922"/>
    <d v="2026-06-02T00:00:00"/>
    <s v="C1439"/>
    <s v="Bluetooth Speaker"/>
    <x v="1"/>
    <n v="2"/>
    <n v="499"/>
    <n v="0.15"/>
    <s v="East"/>
    <s v="Credit Card"/>
    <x v="2"/>
    <n v="7999"/>
  </r>
  <r>
    <s v="ORD00923"/>
    <d v="2026-03-03T00:00:00"/>
    <s v="C1613"/>
    <s v="Bluetooth Speaker"/>
    <x v="2"/>
    <n v="2"/>
    <n v="2499"/>
    <n v="0"/>
    <s v="South"/>
    <s v="UPI"/>
    <x v="0"/>
    <n v="848.3"/>
  </r>
  <r>
    <s v="ORD00924"/>
    <d v="2026-06-29T00:00:00"/>
    <s v="C1484"/>
    <s v="Bluetooth Speaker"/>
    <x v="3"/>
    <n v="4"/>
    <n v="1999"/>
    <n v="0"/>
    <s v="West"/>
    <s v="Credit Card"/>
    <x v="0"/>
    <n v="4998"/>
  </r>
  <r>
    <s v="ORD00925"/>
    <d v="2026-04-20T00:00:00"/>
    <s v="C1362"/>
    <s v="Power Bank"/>
    <x v="0"/>
    <n v="5"/>
    <n v="1299"/>
    <n v="0.1"/>
    <s v="Central"/>
    <s v="UPI"/>
    <x v="1"/>
    <n v="7996"/>
  </r>
  <r>
    <s v="ORD00926"/>
    <d v="2026-05-21T00:00:00"/>
    <s v="C1470"/>
    <s v="Monitor"/>
    <x v="1"/>
    <n v="3"/>
    <n v="4999"/>
    <n v="0"/>
    <s v="East"/>
    <s v="UPI"/>
    <x v="0"/>
    <n v="5845.5"/>
  </r>
  <r>
    <s v="ORD00927"/>
    <d v="2026-01-14T00:00:00"/>
    <s v="C1258"/>
    <s v="Keyboard"/>
    <x v="3"/>
    <n v="1"/>
    <n v="1299"/>
    <n v="0.1"/>
    <s v="Central"/>
    <s v="Debit Card"/>
    <x v="0"/>
    <n v="14997"/>
  </r>
  <r>
    <s v="ORD00928"/>
    <d v="2026-06-24T00:00:00"/>
    <s v="C1202"/>
    <s v="Wireless Mouse"/>
    <x v="2"/>
    <n v="4"/>
    <n v="1499"/>
    <n v="0.05"/>
    <s v="North"/>
    <s v="Debit Card"/>
    <x v="0"/>
    <n v="1169.1000000000001"/>
  </r>
  <r>
    <s v="ORD00929"/>
    <d v="2026-04-21T00:00:00"/>
    <s v="C1638"/>
    <s v="Power Bank"/>
    <x v="2"/>
    <n v="2"/>
    <n v="1299"/>
    <n v="0.15"/>
    <s v="West"/>
    <s v="Credit Card"/>
    <x v="0"/>
    <n v="5696.2"/>
  </r>
  <r>
    <s v="ORD00930"/>
    <d v="2026-07-02T00:00:00"/>
    <s v="C1781"/>
    <s v="Webcam"/>
    <x v="0"/>
    <n v="5"/>
    <n v="7999"/>
    <n v="0.1"/>
    <s v="East"/>
    <s v="UPI"/>
    <x v="0"/>
    <n v="2208.2999999999997"/>
  </r>
  <r>
    <s v="ORD00931"/>
    <d v="2026-06-08T00:00:00"/>
    <s v="C1656"/>
    <s v="Laptop Stand"/>
    <x v="4"/>
    <n v="3"/>
    <n v="999"/>
    <n v="0"/>
    <s v="Central"/>
    <s v="Net Banking"/>
    <x v="2"/>
    <n v="35995.5"/>
  </r>
  <r>
    <s v="ORD00932"/>
    <d v="2026-03-05T00:00:00"/>
    <s v="C1527"/>
    <s v="Bluetooth Speaker"/>
    <x v="2"/>
    <n v="3"/>
    <n v="4999"/>
    <n v="0"/>
    <s v="North"/>
    <s v="COD"/>
    <x v="1"/>
    <n v="2997"/>
  </r>
  <r>
    <s v="ORD00933"/>
    <d v="2026-08-11T00:00:00"/>
    <s v="C1514"/>
    <s v="USB-C Hub"/>
    <x v="0"/>
    <n v="1"/>
    <n v="499"/>
    <n v="0.15"/>
    <s v="South"/>
    <s v="Net Banking"/>
    <x v="0"/>
    <n v="14997"/>
  </r>
  <r>
    <s v="ORD00934"/>
    <d v="2026-03-09T00:00:00"/>
    <s v="C1522"/>
    <s v="Laptop Stand"/>
    <x v="4"/>
    <n v="5"/>
    <n v="7999"/>
    <n v="0.15"/>
    <s v="South"/>
    <s v="Net Banking"/>
    <x v="2"/>
    <n v="424.15"/>
  </r>
  <r>
    <s v="ORD00935"/>
    <d v="2026-09-19T00:00:00"/>
    <s v="C1460"/>
    <s v="Power Bank"/>
    <x v="3"/>
    <n v="2"/>
    <n v="599"/>
    <n v="0"/>
    <s v="Central"/>
    <s v="Debit Card"/>
    <x v="1"/>
    <n v="33995.75"/>
  </r>
  <r>
    <s v="ORD00936"/>
    <d v="2026-08-24T00:00:00"/>
    <s v="C1359"/>
    <s v="Wireless Mouse"/>
    <x v="3"/>
    <n v="3"/>
    <n v="799"/>
    <n v="0"/>
    <s v="West"/>
    <s v="Net Banking"/>
    <x v="0"/>
    <n v="1198"/>
  </r>
  <r>
    <s v="ORD00937"/>
    <d v="2026-04-10T00:00:00"/>
    <s v="C1393"/>
    <s v="Mechanical Keyboard"/>
    <x v="0"/>
    <n v="5"/>
    <n v="1299"/>
    <n v="0.1"/>
    <s v="North"/>
    <s v="Credit Card"/>
    <x v="0"/>
    <n v="2397"/>
  </r>
  <r>
    <s v="ORD00938"/>
    <d v="2026-09-05T00:00:00"/>
    <s v="C1624"/>
    <s v="Wireless Mouse"/>
    <x v="0"/>
    <n v="4"/>
    <n v="2499"/>
    <n v="0"/>
    <s v="North"/>
    <s v="Net Banking"/>
    <x v="0"/>
    <n v="5845.5"/>
  </r>
  <r>
    <s v="ORD00939"/>
    <d v="2026-06-09T00:00:00"/>
    <s v="C1648"/>
    <s v="Bluetooth Speaker"/>
    <x v="0"/>
    <n v="5"/>
    <n v="1299"/>
    <n v="0.15"/>
    <s v="North"/>
    <s v="Net Banking"/>
    <x v="1"/>
    <n v="9996"/>
  </r>
  <r>
    <s v="ORD00940"/>
    <d v="2026-08-10T00:00:00"/>
    <s v="C1792"/>
    <s v="Wireless Mouse"/>
    <x v="2"/>
    <n v="5"/>
    <n v="599"/>
    <n v="0.15"/>
    <s v="East"/>
    <s v="Debit Card"/>
    <x v="1"/>
    <n v="5520.75"/>
  </r>
  <r>
    <s v="ORD00941"/>
    <d v="2026-08-28T00:00:00"/>
    <s v="C1384"/>
    <s v="Mechanical Keyboard"/>
    <x v="4"/>
    <n v="2"/>
    <n v="2499"/>
    <n v="0.15"/>
    <s v="West"/>
    <s v="Debit Card"/>
    <x v="0"/>
    <n v="2545.75"/>
  </r>
  <r>
    <s v="ORD00942"/>
    <d v="2026-01-08T00:00:00"/>
    <s v="C1721"/>
    <s v="USB-C Hub"/>
    <x v="4"/>
    <n v="5"/>
    <n v="799"/>
    <n v="0"/>
    <s v="East"/>
    <s v="Debit Card"/>
    <x v="1"/>
    <n v="4248.3"/>
  </r>
  <r>
    <s v="ORD00943"/>
    <d v="2026-07-20T00:00:00"/>
    <s v="C1556"/>
    <s v="Laptop Stand"/>
    <x v="0"/>
    <n v="1"/>
    <n v="799"/>
    <n v="0"/>
    <s v="North"/>
    <s v="Credit Card"/>
    <x v="2"/>
    <n v="3995"/>
  </r>
  <r>
    <s v="ORD00944"/>
    <d v="2026-01-20T00:00:00"/>
    <s v="C1733"/>
    <s v="Monitor"/>
    <x v="0"/>
    <n v="1"/>
    <n v="1499"/>
    <n v="0"/>
    <s v="Central"/>
    <s v="COD"/>
    <x v="0"/>
    <n v="799"/>
  </r>
  <r>
    <s v="ORD00945"/>
    <d v="2026-09-03T00:00:00"/>
    <s v="C1214"/>
    <s v="Keyboard"/>
    <x v="4"/>
    <n v="2"/>
    <n v="999"/>
    <n v="0"/>
    <s v="South"/>
    <s v="COD"/>
    <x v="0"/>
    <n v="1499"/>
  </r>
  <r>
    <s v="ORD00946"/>
    <d v="2026-04-16T00:00:00"/>
    <s v="C1331"/>
    <s v="Keyboard"/>
    <x v="1"/>
    <n v="3"/>
    <n v="1299"/>
    <n v="0.05"/>
    <s v="North"/>
    <s v="UPI"/>
    <x v="0"/>
    <n v="1998"/>
  </r>
  <r>
    <s v="ORD00947"/>
    <d v="2026-01-11T00:00:00"/>
    <s v="C1053"/>
    <s v="Bluetooth Speaker"/>
    <x v="2"/>
    <n v="4"/>
    <n v="7999"/>
    <n v="0.15"/>
    <s v="North"/>
    <s v="Credit Card"/>
    <x v="1"/>
    <n v="3702.1499999999996"/>
  </r>
  <r>
    <s v="ORD00948"/>
    <d v="2026-05-30T00:00:00"/>
    <s v="C1096"/>
    <s v="Headphones"/>
    <x v="1"/>
    <n v="1"/>
    <n v="499"/>
    <n v="0.15"/>
    <s v="West"/>
    <s v="UPI"/>
    <x v="1"/>
    <n v="27196.6"/>
  </r>
  <r>
    <s v="ORD00949"/>
    <d v="2026-02-04T00:00:00"/>
    <s v="C1505"/>
    <s v="Wireless Mouse"/>
    <x v="3"/>
    <n v="5"/>
    <n v="999"/>
    <n v="0"/>
    <s v="East"/>
    <s v="Net Banking"/>
    <x v="1"/>
    <n v="424.15"/>
  </r>
  <r>
    <s v="ORD00950"/>
    <d v="2026-05-20T00:00:00"/>
    <s v="C1597"/>
    <s v="Monitor"/>
    <x v="0"/>
    <n v="5"/>
    <n v="599"/>
    <n v="0"/>
    <s v="West"/>
    <s v="Net Banking"/>
    <x v="2"/>
    <n v="4995"/>
  </r>
  <r>
    <s v="ORD00951"/>
    <d v="2026-07-31T00:00:00"/>
    <s v="C1799"/>
    <s v="Power Bank"/>
    <x v="3"/>
    <n v="1"/>
    <n v="499"/>
    <n v="0.05"/>
    <s v="West"/>
    <s v="Debit Card"/>
    <x v="0"/>
    <n v="2995"/>
  </r>
  <r>
    <s v="ORD00952"/>
    <d v="2026-09-16T00:00:00"/>
    <s v="C1537"/>
    <s v="Bluetooth Speaker"/>
    <x v="2"/>
    <n v="5"/>
    <n v="1299"/>
    <n v="0"/>
    <s v="East"/>
    <s v="UPI"/>
    <x v="0"/>
    <n v="474.04999999999995"/>
  </r>
  <r>
    <s v="ORD00953"/>
    <d v="2026-08-24T00:00:00"/>
    <s v="C1097"/>
    <s v="Monitor"/>
    <x v="2"/>
    <n v="2"/>
    <n v="999"/>
    <n v="0"/>
    <s v="Central"/>
    <s v="Net Banking"/>
    <x v="1"/>
    <n v="6495"/>
  </r>
  <r>
    <s v="ORD00954"/>
    <d v="2026-05-04T00:00:00"/>
    <s v="C1030"/>
    <s v="Bluetooth Speaker"/>
    <x v="1"/>
    <n v="2"/>
    <n v="1299"/>
    <n v="0"/>
    <s v="South"/>
    <s v="Net Banking"/>
    <x v="0"/>
    <n v="1998"/>
  </r>
  <r>
    <s v="ORD00955"/>
    <d v="2026-02-16T00:00:00"/>
    <s v="C1363"/>
    <s v="Power Bank"/>
    <x v="2"/>
    <n v="5"/>
    <n v="7999"/>
    <n v="0.1"/>
    <s v="Central"/>
    <s v="COD"/>
    <x v="0"/>
    <n v="2598"/>
  </r>
  <r>
    <s v="ORD00956"/>
    <d v="2026-01-03T00:00:00"/>
    <s v="C1689"/>
    <s v="Laptop Stand"/>
    <x v="4"/>
    <n v="1"/>
    <n v="599"/>
    <n v="0"/>
    <s v="Central"/>
    <s v="Credit Card"/>
    <x v="0"/>
    <n v="35995.5"/>
  </r>
  <r>
    <s v="ORD00957"/>
    <d v="2026-09-10T00:00:00"/>
    <s v="C1777"/>
    <s v="Wireless Mouse"/>
    <x v="1"/>
    <n v="2"/>
    <n v="7999"/>
    <n v="0.15"/>
    <s v="West"/>
    <s v="COD"/>
    <x v="1"/>
    <n v="599"/>
  </r>
  <r>
    <s v="ORD00958"/>
    <d v="2026-08-19T00:00:00"/>
    <s v="C1698"/>
    <s v="Laptop Stand"/>
    <x v="2"/>
    <n v="2"/>
    <n v="2499"/>
    <n v="0.1"/>
    <s v="West"/>
    <s v="Credit Card"/>
    <x v="0"/>
    <n v="13598.3"/>
  </r>
  <r>
    <s v="ORD00959"/>
    <d v="2026-06-10T00:00:00"/>
    <s v="C1355"/>
    <s v="Monitor"/>
    <x v="0"/>
    <n v="1"/>
    <n v="4999"/>
    <n v="0.05"/>
    <s v="East"/>
    <s v="Credit Card"/>
    <x v="2"/>
    <n v="4498.2"/>
  </r>
  <r>
    <s v="ORD00960"/>
    <d v="2026-09-13T00:00:00"/>
    <s v="C1166"/>
    <s v="USB-C Hub"/>
    <x v="1"/>
    <n v="4"/>
    <n v="2499"/>
    <n v="0.05"/>
    <s v="North"/>
    <s v="Credit Card"/>
    <x v="0"/>
    <n v="4749.05"/>
  </r>
  <r>
    <s v="ORD00961"/>
    <d v="2026-07-31T00:00:00"/>
    <s v="C1404"/>
    <s v="Laptop Stand"/>
    <x v="0"/>
    <n v="3"/>
    <n v="599"/>
    <n v="0.1"/>
    <s v="West"/>
    <s v="Debit Card"/>
    <x v="0"/>
    <n v="9496.1999999999989"/>
  </r>
  <r>
    <s v="ORD00962"/>
    <d v="2026-01-22T00:00:00"/>
    <s v="C1450"/>
    <s v="Monitor"/>
    <x v="2"/>
    <n v="4"/>
    <n v="499"/>
    <n v="0.1"/>
    <s v="South"/>
    <s v="COD"/>
    <x v="0"/>
    <n v="1617.3"/>
  </r>
  <r>
    <s v="ORD00963"/>
    <d v="2026-04-27T00:00:00"/>
    <s v="C1774"/>
    <s v="Power Bank"/>
    <x v="4"/>
    <n v="4"/>
    <n v="1299"/>
    <n v="0"/>
    <s v="Central"/>
    <s v="UPI"/>
    <x v="0"/>
    <n v="1796.4"/>
  </r>
  <r>
    <s v="ORD00964"/>
    <d v="2026-08-15T00:00:00"/>
    <s v="C1032"/>
    <s v="Headphones"/>
    <x v="1"/>
    <n v="4"/>
    <n v="1499"/>
    <n v="0"/>
    <s v="Central"/>
    <s v="UPI"/>
    <x v="1"/>
    <n v="5196"/>
  </r>
  <r>
    <s v="ORD00965"/>
    <d v="2026-01-17T00:00:00"/>
    <s v="C1662"/>
    <s v="Power Bank"/>
    <x v="3"/>
    <n v="2"/>
    <n v="1499"/>
    <n v="0"/>
    <s v="North"/>
    <s v="Credit Card"/>
    <x v="2"/>
    <n v="5996"/>
  </r>
  <r>
    <s v="ORD00966"/>
    <d v="2026-09-05T00:00:00"/>
    <s v="C1404"/>
    <s v="Mechanical Keyboard"/>
    <x v="0"/>
    <n v="3"/>
    <n v="799"/>
    <n v="0.1"/>
    <s v="South"/>
    <s v="Credit Card"/>
    <x v="1"/>
    <n v="2998"/>
  </r>
  <r>
    <s v="ORD00967"/>
    <d v="2026-02-09T00:00:00"/>
    <s v="C1265"/>
    <s v="Power Bank"/>
    <x v="0"/>
    <n v="5"/>
    <n v="2499"/>
    <n v="0.15"/>
    <s v="West"/>
    <s v="Credit Card"/>
    <x v="0"/>
    <n v="2157.3000000000002"/>
  </r>
  <r>
    <s v="ORD00968"/>
    <d v="2026-03-15T00:00:00"/>
    <s v="C1567"/>
    <s v="Keyboard"/>
    <x v="0"/>
    <n v="3"/>
    <n v="1999"/>
    <n v="0.1"/>
    <s v="South"/>
    <s v="Credit Card"/>
    <x v="0"/>
    <n v="10620.75"/>
  </r>
  <r>
    <s v="ORD00969"/>
    <d v="2026-08-07T00:00:00"/>
    <s v="C1598"/>
    <s v="Headphones"/>
    <x v="0"/>
    <n v="5"/>
    <n v="499"/>
    <n v="0.05"/>
    <s v="Central"/>
    <s v="Net Banking"/>
    <x v="0"/>
    <n v="5397.3"/>
  </r>
  <r>
    <s v="ORD00970"/>
    <d v="2026-02-24T00:00:00"/>
    <s v="C1143"/>
    <s v="Bluetooth Speaker"/>
    <x v="2"/>
    <n v="5"/>
    <n v="2499"/>
    <n v="0"/>
    <s v="South"/>
    <s v="Credit Card"/>
    <x v="0"/>
    <n v="2370.25"/>
  </r>
  <r>
    <s v="ORD00971"/>
    <d v="2026-02-15T00:00:00"/>
    <s v="C1040"/>
    <s v="Keyboard"/>
    <x v="0"/>
    <n v="4"/>
    <n v="7999"/>
    <n v="0.05"/>
    <s v="East"/>
    <s v="Credit Card"/>
    <x v="2"/>
    <n v="12495"/>
  </r>
  <r>
    <s v="ORD00972"/>
    <d v="2026-05-30T00:00:00"/>
    <s v="C1126"/>
    <s v="Keyboard"/>
    <x v="2"/>
    <n v="2"/>
    <n v="1299"/>
    <n v="0.05"/>
    <s v="South"/>
    <s v="UPI"/>
    <x v="0"/>
    <n v="30396.199999999997"/>
  </r>
  <r>
    <s v="ORD00973"/>
    <d v="2026-07-13T00:00:00"/>
    <s v="C1491"/>
    <s v="Mechanical Keyboard"/>
    <x v="2"/>
    <n v="2"/>
    <n v="999"/>
    <n v="0.05"/>
    <s v="Central"/>
    <s v="UPI"/>
    <x v="0"/>
    <n v="2468.1"/>
  </r>
  <r>
    <s v="ORD00974"/>
    <d v="2026-05-12T00:00:00"/>
    <s v="C1341"/>
    <s v="Mechanical Keyboard"/>
    <x v="3"/>
    <n v="2"/>
    <n v="4999"/>
    <n v="0"/>
    <s v="Central"/>
    <s v="Credit Card"/>
    <x v="0"/>
    <n v="1898.1"/>
  </r>
  <r>
    <s v="ORD00975"/>
    <d v="2026-05-15T00:00:00"/>
    <s v="C1405"/>
    <s v="Monitor"/>
    <x v="2"/>
    <n v="3"/>
    <n v="599"/>
    <n v="0"/>
    <s v="West"/>
    <s v="Credit Card"/>
    <x v="0"/>
    <n v="9998"/>
  </r>
  <r>
    <s v="ORD00976"/>
    <d v="2026-05-25T00:00:00"/>
    <s v="C1529"/>
    <s v="Headphones"/>
    <x v="0"/>
    <n v="2"/>
    <n v="799"/>
    <n v="0"/>
    <s v="North"/>
    <s v="COD"/>
    <x v="0"/>
    <n v="1797"/>
  </r>
  <r>
    <s v="ORD00977"/>
    <d v="2026-02-12T00:00:00"/>
    <s v="C1461"/>
    <s v="Mechanical Keyboard"/>
    <x v="1"/>
    <n v="4"/>
    <n v="599"/>
    <n v="0.1"/>
    <s v="North"/>
    <s v="COD"/>
    <x v="0"/>
    <n v="1598"/>
  </r>
  <r>
    <s v="ORD00978"/>
    <d v="2026-05-05T00:00:00"/>
    <s v="C1042"/>
    <s v="Wireless Mouse"/>
    <x v="3"/>
    <n v="3"/>
    <n v="4999"/>
    <n v="0"/>
    <s v="North"/>
    <s v="Credit Card"/>
    <x v="0"/>
    <n v="2156.4"/>
  </r>
  <r>
    <s v="ORD00979"/>
    <d v="2026-03-09T00:00:00"/>
    <s v="C1097"/>
    <s v="Webcam"/>
    <x v="2"/>
    <n v="2"/>
    <n v="999"/>
    <n v="0.1"/>
    <s v="West"/>
    <s v="Credit Card"/>
    <x v="2"/>
    <n v="14997"/>
  </r>
  <r>
    <s v="ORD00980"/>
    <d v="2026-05-24T00:00:00"/>
    <s v="C1477"/>
    <s v="Mechanical Keyboard"/>
    <x v="4"/>
    <n v="2"/>
    <n v="1299"/>
    <n v="0.1"/>
    <s v="East"/>
    <s v="Credit Card"/>
    <x v="2"/>
    <n v="1798.2"/>
  </r>
  <r>
    <s v="ORD00981"/>
    <d v="2026-05-03T00:00:00"/>
    <s v="C1216"/>
    <s v="Keyboard"/>
    <x v="2"/>
    <n v="3"/>
    <n v="1499"/>
    <n v="0"/>
    <s v="Central"/>
    <s v="Credit Card"/>
    <x v="0"/>
    <n v="2338.2000000000003"/>
  </r>
  <r>
    <s v="ORD00982"/>
    <d v="2026-03-01T00:00:00"/>
    <s v="C1092"/>
    <s v="Headphones"/>
    <x v="3"/>
    <n v="3"/>
    <n v="999"/>
    <n v="0.1"/>
    <s v="Central"/>
    <s v="COD"/>
    <x v="2"/>
    <n v="4497"/>
  </r>
  <r>
    <s v="ORD00983"/>
    <d v="2026-09-06T00:00:00"/>
    <s v="C1255"/>
    <s v="Bluetooth Speaker"/>
    <x v="1"/>
    <n v="1"/>
    <n v="7999"/>
    <n v="0"/>
    <s v="Central"/>
    <s v="COD"/>
    <x v="0"/>
    <n v="2697.3"/>
  </r>
  <r>
    <s v="ORD00984"/>
    <d v="2026-01-25T00:00:00"/>
    <s v="C1482"/>
    <s v="Webcam"/>
    <x v="3"/>
    <n v="3"/>
    <n v="799"/>
    <n v="0"/>
    <s v="North"/>
    <s v="COD"/>
    <x v="0"/>
    <n v="7999"/>
  </r>
  <r>
    <s v="ORD00985"/>
    <d v="2026-05-12T00:00:00"/>
    <s v="C1484"/>
    <s v="Monitor"/>
    <x v="0"/>
    <n v="1"/>
    <n v="499"/>
    <n v="0.15"/>
    <s v="South"/>
    <s v="UPI"/>
    <x v="0"/>
    <n v="2397"/>
  </r>
  <r>
    <s v="ORD00986"/>
    <d v="2026-05-25T00:00:00"/>
    <s v="C1682"/>
    <s v="Laptop Stand"/>
    <x v="3"/>
    <n v="3"/>
    <n v="799"/>
    <n v="0.05"/>
    <s v="East"/>
    <s v="Debit Card"/>
    <x v="2"/>
    <n v="424.15"/>
  </r>
  <r>
    <s v="ORD00987"/>
    <d v="2026-03-28T00:00:00"/>
    <s v="C1438"/>
    <s v="Keyboard"/>
    <x v="3"/>
    <n v="3"/>
    <n v="1299"/>
    <n v="0.1"/>
    <s v="North"/>
    <s v="COD"/>
    <x v="0"/>
    <n v="2277.15"/>
  </r>
  <r>
    <s v="ORD00988"/>
    <d v="2026-03-17T00:00:00"/>
    <s v="C1794"/>
    <s v="Bluetooth Speaker"/>
    <x v="1"/>
    <n v="3"/>
    <n v="1499"/>
    <n v="0"/>
    <s v="East"/>
    <s v="UPI"/>
    <x v="0"/>
    <n v="3507.3"/>
  </r>
  <r>
    <s v="ORD00989"/>
    <d v="2026-03-28T00:00:00"/>
    <s v="C1706"/>
    <s v="Mechanical Keyboard"/>
    <x v="3"/>
    <n v="5"/>
    <n v="4999"/>
    <n v="0"/>
    <s v="East"/>
    <s v="Net Banking"/>
    <x v="1"/>
    <n v="4497"/>
  </r>
  <r>
    <s v="ORD00990"/>
    <d v="2026-08-17T00:00:00"/>
    <s v="C1778"/>
    <s v="Webcam"/>
    <x v="4"/>
    <n v="2"/>
    <n v="1999"/>
    <n v="0.1"/>
    <s v="East"/>
    <s v="COD"/>
    <x v="0"/>
    <n v="24995"/>
  </r>
  <r>
    <s v="ORD00991"/>
    <d v="2026-09-26T00:00:00"/>
    <s v="C1709"/>
    <s v="Laptop Stand"/>
    <x v="1"/>
    <n v="5"/>
    <n v="1999"/>
    <n v="0.15"/>
    <s v="South"/>
    <s v="COD"/>
    <x v="0"/>
    <n v="3598.2000000000003"/>
  </r>
  <r>
    <s v="ORD00992"/>
    <d v="2026-02-14T00:00:00"/>
    <s v="C1431"/>
    <s v="Keyboard"/>
    <x v="1"/>
    <n v="1"/>
    <n v="599"/>
    <n v="0.05"/>
    <s v="South"/>
    <s v="Credit Card"/>
    <x v="1"/>
    <n v="8495.75"/>
  </r>
  <r>
    <s v="ORD00993"/>
    <d v="2026-01-11T00:00:00"/>
    <s v="C1154"/>
    <s v="Webcam"/>
    <x v="3"/>
    <n v="4"/>
    <n v="4999"/>
    <n v="0"/>
    <s v="East"/>
    <s v="COD"/>
    <x v="1"/>
    <n v="569.04999999999995"/>
  </r>
  <r>
    <s v="ORD00994"/>
    <d v="2026-04-05T00:00:00"/>
    <s v="C1400"/>
    <s v="Wireless Mouse"/>
    <x v="3"/>
    <n v="1"/>
    <n v="499"/>
    <n v="0.1"/>
    <s v="North"/>
    <s v="Net Banking"/>
    <x v="2"/>
    <n v="19996"/>
  </r>
  <r>
    <s v="ORD00995"/>
    <d v="2026-07-19T00:00:00"/>
    <s v="C1583"/>
    <s v="Laptop Stand"/>
    <x v="4"/>
    <n v="5"/>
    <n v="999"/>
    <n v="0.1"/>
    <s v="North"/>
    <s v="Credit Card"/>
    <x v="1"/>
    <n v="449.1"/>
  </r>
  <r>
    <s v="ORD00996"/>
    <d v="2026-05-27T00:00:00"/>
    <s v="C1788"/>
    <s v="Headphones"/>
    <x v="4"/>
    <n v="4"/>
    <n v="599"/>
    <n v="0"/>
    <s v="North"/>
    <s v="COD"/>
    <x v="0"/>
    <n v="4495.5"/>
  </r>
  <r>
    <s v="ORD00997"/>
    <d v="2026-01-22T00:00:00"/>
    <s v="C1277"/>
    <s v="Mechanical Keyboard"/>
    <x v="2"/>
    <n v="3"/>
    <n v="1299"/>
    <n v="0.05"/>
    <s v="West"/>
    <s v="UPI"/>
    <x v="0"/>
    <n v="2396"/>
  </r>
  <r>
    <s v="ORD00998"/>
    <d v="2026-03-19T00:00:00"/>
    <s v="C1315"/>
    <s v="Bluetooth Speaker"/>
    <x v="3"/>
    <n v="3"/>
    <n v="1299"/>
    <n v="0.1"/>
    <s v="East"/>
    <s v="Net Banking"/>
    <x v="0"/>
    <n v="3702.1499999999996"/>
  </r>
  <r>
    <s v="ORD00999"/>
    <d v="2026-05-15T00:00:00"/>
    <s v="C1744"/>
    <s v="Bluetooth Speaker"/>
    <x v="1"/>
    <n v="5"/>
    <n v="599"/>
    <n v="0.15"/>
    <s v="North"/>
    <s v="Credit Card"/>
    <x v="0"/>
    <n v="3507.3"/>
  </r>
  <r>
    <s v="ORD01000"/>
    <d v="2026-07-13T00:00:00"/>
    <s v="C1162"/>
    <s v="Bluetooth Speaker"/>
    <x v="2"/>
    <n v="1"/>
    <n v="999"/>
    <n v="0"/>
    <s v="Central"/>
    <s v="UPI"/>
    <x v="0"/>
    <n v="2545.75"/>
  </r>
  <r>
    <s v="ORD01001"/>
    <d v="2026-04-14T00:00:00"/>
    <s v="C1482"/>
    <s v="Monitor"/>
    <x v="4"/>
    <n v="4"/>
    <n v="1999"/>
    <n v="0.15"/>
    <s v="West"/>
    <s v="COD"/>
    <x v="0"/>
    <n v="999"/>
  </r>
  <r>
    <s v="ORD01002"/>
    <d v="2026-08-05T00:00:00"/>
    <s v="C1553"/>
    <s v="Mechanical Keyboard"/>
    <x v="1"/>
    <n v="1"/>
    <n v="1999"/>
    <n v="0.15"/>
    <s v="West"/>
    <s v="Net Banking"/>
    <x v="0"/>
    <n v="6796.5999999999995"/>
  </r>
  <r>
    <s v="ORD01003"/>
    <d v="2026-03-04T00:00:00"/>
    <s v="C1719"/>
    <s v="Wireless Mouse"/>
    <x v="4"/>
    <n v="1"/>
    <n v="2499"/>
    <n v="0"/>
    <s v="West"/>
    <s v="UPI"/>
    <x v="2"/>
    <n v="1699.1499999999999"/>
  </r>
  <r>
    <s v="ORD01004"/>
    <d v="2026-09-21T00:00:00"/>
    <s v="C1622"/>
    <s v="Mechanical Keyboard"/>
    <x v="1"/>
    <n v="4"/>
    <n v="2499"/>
    <n v="0"/>
    <s v="East"/>
    <s v="Debit Card"/>
    <x v="0"/>
    <n v="2499"/>
  </r>
  <r>
    <s v="ORD01005"/>
    <d v="2026-07-20T00:00:00"/>
    <s v="C1484"/>
    <s v="Wireless Mouse"/>
    <x v="1"/>
    <n v="4"/>
    <n v="499"/>
    <n v="0.05"/>
    <s v="South"/>
    <s v="UPI"/>
    <x v="0"/>
    <n v="9996"/>
  </r>
  <r>
    <s v="ORD01006"/>
    <d v="2026-02-17T00:00:00"/>
    <s v="C1348"/>
    <s v="Headphones"/>
    <x v="4"/>
    <n v="1"/>
    <n v="4999"/>
    <n v="0"/>
    <s v="West"/>
    <s v="Credit Card"/>
    <x v="2"/>
    <n v="1896.1999999999998"/>
  </r>
  <r>
    <s v="ORD01007"/>
    <d v="2026-03-15T00:00:00"/>
    <s v="C1756"/>
    <s v="Laptop Stand"/>
    <x v="0"/>
    <n v="2"/>
    <n v="1299"/>
    <n v="0.1"/>
    <s v="West"/>
    <s v="COD"/>
    <x v="0"/>
    <n v="4999"/>
  </r>
  <r>
    <s v="ORD01008"/>
    <d v="2026-02-16T00:00:00"/>
    <s v="C1568"/>
    <s v="Bluetooth Speaker"/>
    <x v="0"/>
    <n v="4"/>
    <n v="7999"/>
    <n v="0.1"/>
    <s v="Central"/>
    <s v="Credit Card"/>
    <x v="0"/>
    <n v="2338.2000000000003"/>
  </r>
  <r>
    <s v="ORD01009"/>
    <d v="2026-08-25T00:00:00"/>
    <s v="C1078"/>
    <s v="Webcam"/>
    <x v="0"/>
    <n v="2"/>
    <n v="1499"/>
    <n v="0.1"/>
    <s v="South"/>
    <s v="Credit Card"/>
    <x v="2"/>
    <n v="28796.400000000001"/>
  </r>
  <r>
    <s v="ORD01010"/>
    <d v="2026-06-14T00:00:00"/>
    <s v="C1630"/>
    <s v="Monitor"/>
    <x v="3"/>
    <n v="2"/>
    <n v="7999"/>
    <n v="0.1"/>
    <s v="East"/>
    <s v="Debit Card"/>
    <x v="2"/>
    <n v="2698.2000000000003"/>
  </r>
  <r>
    <s v="ORD01011"/>
    <d v="2026-03-24T00:00:00"/>
    <s v="C1675"/>
    <s v="Webcam"/>
    <x v="2"/>
    <n v="2"/>
    <n v="799"/>
    <n v="0"/>
    <s v="East"/>
    <s v="Debit Card"/>
    <x v="0"/>
    <n v="14398.2"/>
  </r>
  <r>
    <s v="ORD01012"/>
    <d v="2026-07-02T00:00:00"/>
    <s v="C1522"/>
    <s v="Bluetooth Speaker"/>
    <x v="1"/>
    <n v="3"/>
    <n v="499"/>
    <n v="0.05"/>
    <s v="East"/>
    <s v="UPI"/>
    <x v="2"/>
    <n v="1598"/>
  </r>
  <r>
    <s v="ORD01013"/>
    <d v="2026-01-14T00:00:00"/>
    <s v="C1510"/>
    <s v="Bluetooth Speaker"/>
    <x v="0"/>
    <n v="3"/>
    <n v="799"/>
    <n v="0.1"/>
    <s v="East"/>
    <s v="Debit Card"/>
    <x v="2"/>
    <n v="1422.1499999999999"/>
  </r>
  <r>
    <s v="ORD01014"/>
    <d v="2026-08-05T00:00:00"/>
    <s v="C1204"/>
    <s v="Webcam"/>
    <x v="1"/>
    <n v="1"/>
    <n v="499"/>
    <n v="0.15"/>
    <s v="North"/>
    <s v="UPI"/>
    <x v="1"/>
    <n v="2157.3000000000002"/>
  </r>
  <r>
    <s v="ORD01015"/>
    <d v="2026-05-18T00:00:00"/>
    <s v="C1067"/>
    <s v="Webcam"/>
    <x v="1"/>
    <n v="3"/>
    <n v="2499"/>
    <n v="0.15"/>
    <s v="East"/>
    <s v="Net Banking"/>
    <x v="0"/>
    <n v="424.15"/>
  </r>
  <r>
    <s v="ORD01016"/>
    <d v="2026-02-20T00:00:00"/>
    <s v="C1573"/>
    <s v="Monitor"/>
    <x v="4"/>
    <n v="4"/>
    <n v="7999"/>
    <n v="0.1"/>
    <s v="Central"/>
    <s v="Debit Card"/>
    <x v="0"/>
    <n v="6372.45"/>
  </r>
  <r>
    <s v="ORD01017"/>
    <d v="2026-02-05T00:00:00"/>
    <s v="C1383"/>
    <s v="Laptop Stand"/>
    <x v="2"/>
    <n v="3"/>
    <n v="2499"/>
    <n v="0"/>
    <s v="Central"/>
    <s v="Debit Card"/>
    <x v="2"/>
    <n v="28796.400000000001"/>
  </r>
  <r>
    <s v="ORD01018"/>
    <d v="2026-01-15T00:00:00"/>
    <s v="C1748"/>
    <s v="Laptop Stand"/>
    <x v="0"/>
    <n v="1"/>
    <n v="799"/>
    <n v="0.05"/>
    <s v="South"/>
    <s v="Debit Card"/>
    <x v="0"/>
    <n v="7497"/>
  </r>
  <r>
    <s v="ORD01019"/>
    <d v="2026-09-06T00:00:00"/>
    <s v="C1626"/>
    <s v="Webcam"/>
    <x v="0"/>
    <n v="1"/>
    <n v="1499"/>
    <n v="0"/>
    <s v="North"/>
    <s v="UPI"/>
    <x v="0"/>
    <n v="759.05"/>
  </r>
  <r>
    <s v="ORD01020"/>
    <d v="2026-03-11T00:00:00"/>
    <s v="C1104"/>
    <s v="Webcam"/>
    <x v="2"/>
    <n v="1"/>
    <n v="499"/>
    <n v="0.05"/>
    <s v="Central"/>
    <s v="Debit Card"/>
    <x v="1"/>
    <n v="1499"/>
  </r>
  <r>
    <s v="ORD01021"/>
    <d v="2026-07-09T00:00:00"/>
    <s v="C1715"/>
    <s v="Webcam"/>
    <x v="2"/>
    <n v="4"/>
    <n v="1299"/>
    <n v="0.1"/>
    <s v="West"/>
    <s v="COD"/>
    <x v="0"/>
    <n v="474.04999999999995"/>
  </r>
  <r>
    <s v="ORD01022"/>
    <d v="2026-05-21T00:00:00"/>
    <s v="C1019"/>
    <s v="Monitor"/>
    <x v="4"/>
    <n v="1"/>
    <n v="2499"/>
    <n v="0.05"/>
    <s v="South"/>
    <s v="COD"/>
    <x v="1"/>
    <n v="4676.4000000000005"/>
  </r>
  <r>
    <s v="ORD01023"/>
    <d v="2026-03-25T00:00:00"/>
    <s v="C1781"/>
    <s v="Laptop Stand"/>
    <x v="3"/>
    <n v="4"/>
    <n v="499"/>
    <n v="0.15"/>
    <s v="South"/>
    <s v="UPI"/>
    <x v="1"/>
    <n v="2374.0499999999997"/>
  </r>
  <r>
    <s v="ORD01024"/>
    <d v="2026-03-16T00:00:00"/>
    <s v="C1350"/>
    <s v="Keyboard"/>
    <x v="1"/>
    <n v="3"/>
    <n v="2499"/>
    <n v="0"/>
    <s v="South"/>
    <s v="UPI"/>
    <x v="0"/>
    <n v="1696.6"/>
  </r>
  <r>
    <s v="ORD01025"/>
    <d v="2026-07-21T00:00:00"/>
    <s v="C1249"/>
    <s v="Wireless Mouse"/>
    <x v="2"/>
    <n v="1"/>
    <n v="4999"/>
    <n v="0"/>
    <s v="South"/>
    <s v="Debit Card"/>
    <x v="1"/>
    <n v="7497"/>
  </r>
  <r>
    <s v="ORD01026"/>
    <d v="2026-06-07T00:00:00"/>
    <s v="C1178"/>
    <s v="Laptop Stand"/>
    <x v="3"/>
    <n v="1"/>
    <n v="999"/>
    <n v="0.1"/>
    <s v="East"/>
    <s v="Debit Card"/>
    <x v="2"/>
    <n v="4999"/>
  </r>
  <r>
    <s v="ORD01027"/>
    <d v="2026-05-23T00:00:00"/>
    <s v="C1094"/>
    <s v="Wireless Mouse"/>
    <x v="1"/>
    <n v="2"/>
    <n v="4999"/>
    <n v="0"/>
    <s v="West"/>
    <s v="Debit Card"/>
    <x v="2"/>
    <n v="899.1"/>
  </r>
  <r>
    <s v="ORD01028"/>
    <d v="2026-08-19T00:00:00"/>
    <s v="C1246"/>
    <s v="Headphones"/>
    <x v="2"/>
    <n v="3"/>
    <n v="1299"/>
    <n v="0.15"/>
    <s v="North"/>
    <s v="COD"/>
    <x v="0"/>
    <n v="9998"/>
  </r>
  <r>
    <s v="ORD01029"/>
    <d v="2026-09-08T00:00:00"/>
    <s v="C1341"/>
    <s v="Monitor"/>
    <x v="0"/>
    <n v="2"/>
    <n v="799"/>
    <n v="0"/>
    <s v="West"/>
    <s v="COD"/>
    <x v="0"/>
    <n v="3312.45"/>
  </r>
  <r>
    <s v="ORD01030"/>
    <d v="2026-03-17T00:00:00"/>
    <s v="C1461"/>
    <s v="Headphones"/>
    <x v="2"/>
    <n v="1"/>
    <n v="799"/>
    <n v="0.15"/>
    <s v="East"/>
    <s v="COD"/>
    <x v="0"/>
    <n v="1598"/>
  </r>
  <r>
    <s v="ORD01031"/>
    <d v="2026-08-01T00:00:00"/>
    <s v="C1527"/>
    <s v="Wireless Mouse"/>
    <x v="4"/>
    <n v="3"/>
    <n v="499"/>
    <n v="0"/>
    <s v="South"/>
    <s v="UPI"/>
    <x v="0"/>
    <n v="679.15"/>
  </r>
  <r>
    <s v="ORD01032"/>
    <d v="2026-06-27T00:00:00"/>
    <s v="C1197"/>
    <s v="Mechanical Keyboard"/>
    <x v="0"/>
    <n v="5"/>
    <n v="599"/>
    <n v="0"/>
    <s v="North"/>
    <s v="Debit Card"/>
    <x v="1"/>
    <n v="1497"/>
  </r>
  <r>
    <s v="ORD01033"/>
    <d v="2026-05-19T00:00:00"/>
    <s v="C1216"/>
    <s v="Keyboard"/>
    <x v="2"/>
    <n v="4"/>
    <n v="1499"/>
    <n v="0"/>
    <s v="South"/>
    <s v="UPI"/>
    <x v="2"/>
    <n v="2995"/>
  </r>
  <r>
    <s v="ORD01034"/>
    <d v="2026-07-31T00:00:00"/>
    <s v="C1270"/>
    <s v="USB-C Hub"/>
    <x v="0"/>
    <n v="1"/>
    <n v="1499"/>
    <n v="0.1"/>
    <s v="West"/>
    <s v="Net Banking"/>
    <x v="1"/>
    <n v="5996"/>
  </r>
  <r>
    <s v="ORD01035"/>
    <d v="2026-01-08T00:00:00"/>
    <s v="C1716"/>
    <s v="Power Bank"/>
    <x v="3"/>
    <n v="5"/>
    <n v="7999"/>
    <n v="0"/>
    <s v="South"/>
    <s v="UPI"/>
    <x v="2"/>
    <n v="1349.1000000000001"/>
  </r>
  <r>
    <s v="ORD01036"/>
    <d v="2026-08-16T00:00:00"/>
    <s v="C1326"/>
    <s v="Bluetooth Speaker"/>
    <x v="1"/>
    <n v="1"/>
    <n v="1299"/>
    <n v="0"/>
    <s v="East"/>
    <s v="Credit Card"/>
    <x v="0"/>
    <n v="39995"/>
  </r>
  <r>
    <s v="ORD01037"/>
    <d v="2026-01-05T00:00:00"/>
    <s v="C1014"/>
    <s v="Keyboard"/>
    <x v="3"/>
    <n v="4"/>
    <n v="7999"/>
    <n v="0.05"/>
    <s v="Central"/>
    <s v="Net Banking"/>
    <x v="0"/>
    <n v="1299"/>
  </r>
  <r>
    <s v="ORD01038"/>
    <d v="2026-05-23T00:00:00"/>
    <s v="C1345"/>
    <s v="USB-C Hub"/>
    <x v="4"/>
    <n v="1"/>
    <n v="599"/>
    <n v="0"/>
    <s v="North"/>
    <s v="Debit Card"/>
    <x v="1"/>
    <n v="30396.199999999997"/>
  </r>
  <r>
    <s v="ORD01039"/>
    <d v="2026-01-30T00:00:00"/>
    <s v="C1741"/>
    <s v="Power Bank"/>
    <x v="3"/>
    <n v="5"/>
    <n v="7999"/>
    <n v="0.1"/>
    <s v="South"/>
    <s v="Net Banking"/>
    <x v="0"/>
    <n v="599"/>
  </r>
  <r>
    <s v="ORD01040"/>
    <d v="2026-02-09T00:00:00"/>
    <s v="C1149"/>
    <s v="Monitor"/>
    <x v="3"/>
    <n v="2"/>
    <n v="1499"/>
    <n v="0.05"/>
    <s v="West"/>
    <s v="Net Banking"/>
    <x v="0"/>
    <n v="35995.5"/>
  </r>
  <r>
    <s v="ORD01041"/>
    <d v="2026-01-11T00:00:00"/>
    <s v="C1727"/>
    <s v="Bluetooth Speaker"/>
    <x v="2"/>
    <n v="1"/>
    <n v="2499"/>
    <n v="0"/>
    <s v="West"/>
    <s v="Debit Card"/>
    <x v="2"/>
    <n v="2848.1"/>
  </r>
  <r>
    <s v="ORD01042"/>
    <d v="2026-07-22T00:00:00"/>
    <s v="C1178"/>
    <s v="Wireless Mouse"/>
    <x v="0"/>
    <n v="3"/>
    <n v="1299"/>
    <n v="0.15"/>
    <s v="West"/>
    <s v="Credit Card"/>
    <x v="1"/>
    <n v="2499"/>
  </r>
  <r>
    <s v="ORD01043"/>
    <d v="2026-04-20T00:00:00"/>
    <s v="C1759"/>
    <s v="Headphones"/>
    <x v="4"/>
    <n v="5"/>
    <n v="4999"/>
    <n v="0"/>
    <s v="North"/>
    <s v="Net Banking"/>
    <x v="0"/>
    <n v="3312.45"/>
  </r>
  <r>
    <s v="ORD01044"/>
    <d v="2026-07-25T00:00:00"/>
    <s v="C1380"/>
    <s v="USB-C Hub"/>
    <x v="2"/>
    <n v="2"/>
    <n v="2499"/>
    <n v="0.1"/>
    <s v="East"/>
    <s v="UPI"/>
    <x v="1"/>
    <n v="24995"/>
  </r>
  <r>
    <s v="ORD01045"/>
    <d v="2026-09-07T00:00:00"/>
    <s v="C1202"/>
    <s v="Headphones"/>
    <x v="1"/>
    <n v="4"/>
    <n v="599"/>
    <n v="0.1"/>
    <s v="West"/>
    <s v="Debit Card"/>
    <x v="1"/>
    <n v="4498.2"/>
  </r>
  <r>
    <s v="ORD01046"/>
    <d v="2026-02-18T00:00:00"/>
    <s v="C1103"/>
    <s v="Mechanical Keyboard"/>
    <x v="0"/>
    <n v="3"/>
    <n v="799"/>
    <n v="0.1"/>
    <s v="West"/>
    <s v="Credit Card"/>
    <x v="2"/>
    <n v="2156.4"/>
  </r>
  <r>
    <s v="ORD01047"/>
    <d v="2026-03-07T00:00:00"/>
    <s v="C1060"/>
    <s v="Monitor"/>
    <x v="4"/>
    <n v="5"/>
    <n v="4999"/>
    <n v="0"/>
    <s v="East"/>
    <s v="Debit Card"/>
    <x v="0"/>
    <n v="2157.3000000000002"/>
  </r>
  <r>
    <s v="ORD01048"/>
    <d v="2026-04-07T00:00:00"/>
    <s v="C1606"/>
    <s v="Keyboard"/>
    <x v="3"/>
    <n v="5"/>
    <n v="7999"/>
    <n v="0"/>
    <s v="West"/>
    <s v="Net Banking"/>
    <x v="0"/>
    <n v="24995"/>
  </r>
  <r>
    <s v="ORD01049"/>
    <d v="2026-05-05T00:00:00"/>
    <s v="C1248"/>
    <s v="Monitor"/>
    <x v="3"/>
    <n v="1"/>
    <n v="1499"/>
    <n v="0.05"/>
    <s v="Central"/>
    <s v="COD"/>
    <x v="1"/>
    <n v="39995"/>
  </r>
  <r>
    <s v="ORD01050"/>
    <d v="2026-05-15T00:00:00"/>
    <s v="C1557"/>
    <s v="Bluetooth Speaker"/>
    <x v="2"/>
    <n v="1"/>
    <n v="499"/>
    <n v="0"/>
    <s v="East"/>
    <s v="UPI"/>
    <x v="0"/>
    <n v="1424.05"/>
  </r>
  <r>
    <s v="ORD01051"/>
    <d v="2026-03-06T00:00:00"/>
    <s v="C1535"/>
    <s v="USB-C Hub"/>
    <x v="2"/>
    <n v="3"/>
    <n v="799"/>
    <n v="0.15"/>
    <s v="West"/>
    <s v="Credit Card"/>
    <x v="0"/>
    <n v="499"/>
  </r>
  <r>
    <s v="ORD01052"/>
    <d v="2026-02-06T00:00:00"/>
    <s v="C1587"/>
    <s v="Monitor"/>
    <x v="3"/>
    <n v="3"/>
    <n v="7999"/>
    <n v="0"/>
    <s v="East"/>
    <s v="Net Banking"/>
    <x v="0"/>
    <n v="2037.45"/>
  </r>
  <r>
    <s v="ORD01053"/>
    <d v="2026-05-08T00:00:00"/>
    <s v="C1240"/>
    <s v="Wireless Mouse"/>
    <x v="0"/>
    <n v="4"/>
    <n v="1499"/>
    <n v="0"/>
    <s v="Central"/>
    <s v="UPI"/>
    <x v="0"/>
    <n v="23997"/>
  </r>
  <r>
    <s v="ORD01054"/>
    <d v="2026-05-11T00:00:00"/>
    <s v="C1688"/>
    <s v="Monitor"/>
    <x v="4"/>
    <n v="4"/>
    <n v="7999"/>
    <n v="0.1"/>
    <s v="North"/>
    <s v="Credit Card"/>
    <x v="0"/>
    <n v="5996"/>
  </r>
  <r>
    <s v="ORD01055"/>
    <d v="2026-03-26T00:00:00"/>
    <s v="C1485"/>
    <s v="Wireless Mouse"/>
    <x v="1"/>
    <n v="1"/>
    <n v="1999"/>
    <n v="0"/>
    <s v="East"/>
    <s v="Credit Card"/>
    <x v="0"/>
    <n v="28796.400000000001"/>
  </r>
  <r>
    <s v="ORD01056"/>
    <d v="2026-04-10T00:00:00"/>
    <s v="C1499"/>
    <s v="Headphones"/>
    <x v="4"/>
    <n v="2"/>
    <n v="7999"/>
    <n v="0"/>
    <s v="East"/>
    <s v="Credit Card"/>
    <x v="2"/>
    <n v="1999"/>
  </r>
  <r>
    <s v="ORD01057"/>
    <d v="2026-02-24T00:00:00"/>
    <s v="C1501"/>
    <s v="Monitor"/>
    <x v="3"/>
    <n v="5"/>
    <n v="1299"/>
    <n v="0.05"/>
    <s v="North"/>
    <s v="Debit Card"/>
    <x v="0"/>
    <n v="15998"/>
  </r>
  <r>
    <s v="ORD01058"/>
    <d v="2026-09-02T00:00:00"/>
    <s v="C1357"/>
    <s v="USB-C Hub"/>
    <x v="1"/>
    <n v="5"/>
    <n v="1299"/>
    <n v="0"/>
    <s v="South"/>
    <s v="Debit Card"/>
    <x v="0"/>
    <n v="6170.25"/>
  </r>
  <r>
    <s v="ORD01059"/>
    <d v="2026-07-27T00:00:00"/>
    <s v="C1561"/>
    <s v="Webcam"/>
    <x v="3"/>
    <n v="1"/>
    <n v="1499"/>
    <n v="0.15"/>
    <s v="North"/>
    <s v="Credit Card"/>
    <x v="0"/>
    <n v="6495"/>
  </r>
  <r>
    <s v="ORD01060"/>
    <d v="2026-03-17T00:00:00"/>
    <s v="C1407"/>
    <s v="Headphones"/>
    <x v="2"/>
    <n v="4"/>
    <n v="499"/>
    <n v="0"/>
    <s v="West"/>
    <s v="Debit Card"/>
    <x v="0"/>
    <n v="1274.1499999999999"/>
  </r>
  <r>
    <s v="ORD01061"/>
    <d v="2026-03-11T00:00:00"/>
    <s v="C1195"/>
    <s v="USB-C Hub"/>
    <x v="1"/>
    <n v="1"/>
    <n v="499"/>
    <n v="0.15"/>
    <s v="North"/>
    <s v="COD"/>
    <x v="1"/>
    <n v="1996"/>
  </r>
  <r>
    <s v="ORD01062"/>
    <d v="2026-02-01T00:00:00"/>
    <s v="C1255"/>
    <s v="USB-C Hub"/>
    <x v="2"/>
    <n v="3"/>
    <n v="999"/>
    <n v="0"/>
    <s v="North"/>
    <s v="Credit Card"/>
    <x v="2"/>
    <n v="424.15"/>
  </r>
  <r>
    <s v="ORD01063"/>
    <d v="2026-08-05T00:00:00"/>
    <s v="C1778"/>
    <s v="Monitor"/>
    <x v="0"/>
    <n v="2"/>
    <n v="499"/>
    <n v="0.15"/>
    <s v="Central"/>
    <s v="COD"/>
    <x v="0"/>
    <n v="2997"/>
  </r>
  <r>
    <s v="ORD01064"/>
    <d v="2026-05-18T00:00:00"/>
    <s v="C1477"/>
    <s v="Power Bank"/>
    <x v="3"/>
    <n v="5"/>
    <n v="599"/>
    <n v="0.05"/>
    <s v="West"/>
    <s v="UPI"/>
    <x v="0"/>
    <n v="848.3"/>
  </r>
  <r>
    <s v="ORD01065"/>
    <d v="2026-05-20T00:00:00"/>
    <s v="C1430"/>
    <s v="Keyboard"/>
    <x v="4"/>
    <n v="4"/>
    <n v="599"/>
    <n v="0"/>
    <s v="Central"/>
    <s v="Net Banking"/>
    <x v="2"/>
    <n v="2845.25"/>
  </r>
  <r>
    <s v="ORD01066"/>
    <d v="2026-02-12T00:00:00"/>
    <s v="C1157"/>
    <s v="Headphones"/>
    <x v="0"/>
    <n v="1"/>
    <n v="1299"/>
    <n v="0"/>
    <s v="South"/>
    <s v="UPI"/>
    <x v="1"/>
    <n v="2396"/>
  </r>
  <r>
    <s v="ORD01067"/>
    <d v="2026-01-18T00:00:00"/>
    <s v="C1598"/>
    <s v="Power Bank"/>
    <x v="2"/>
    <n v="1"/>
    <n v="1999"/>
    <n v="0.1"/>
    <s v="East"/>
    <s v="UPI"/>
    <x v="0"/>
    <n v="1299"/>
  </r>
  <r>
    <s v="ORD01068"/>
    <d v="2026-01-07T00:00:00"/>
    <s v="C1496"/>
    <s v="USB-C Hub"/>
    <x v="4"/>
    <n v="5"/>
    <n v="1999"/>
    <n v="0.1"/>
    <s v="West"/>
    <s v="COD"/>
    <x v="1"/>
    <n v="1799.1000000000001"/>
  </r>
  <r>
    <s v="ORD01069"/>
    <d v="2026-02-10T00:00:00"/>
    <s v="C1372"/>
    <s v="Laptop Stand"/>
    <x v="1"/>
    <n v="2"/>
    <n v="1299"/>
    <n v="0"/>
    <s v="West"/>
    <s v="Net Banking"/>
    <x v="2"/>
    <n v="8995.5"/>
  </r>
  <r>
    <s v="ORD01070"/>
    <d v="2026-04-14T00:00:00"/>
    <s v="C1601"/>
    <s v="Wireless Mouse"/>
    <x v="3"/>
    <n v="3"/>
    <n v="1999"/>
    <n v="0"/>
    <s v="Central"/>
    <s v="Debit Card"/>
    <x v="1"/>
    <n v="2598"/>
  </r>
  <r>
    <s v="ORD01071"/>
    <d v="2026-04-05T00:00:00"/>
    <s v="C1692"/>
    <s v="Webcam"/>
    <x v="1"/>
    <n v="3"/>
    <n v="2499"/>
    <n v="0.1"/>
    <s v="East"/>
    <s v="COD"/>
    <x v="0"/>
    <n v="5997"/>
  </r>
  <r>
    <s v="ORD01072"/>
    <d v="2026-01-16T00:00:00"/>
    <s v="C1583"/>
    <s v="Bluetooth Speaker"/>
    <x v="0"/>
    <n v="4"/>
    <n v="4999"/>
    <n v="0.1"/>
    <s v="Central"/>
    <s v="Debit Card"/>
    <x v="0"/>
    <n v="6747.3"/>
  </r>
  <r>
    <s v="ORD01073"/>
    <d v="2026-07-06T00:00:00"/>
    <s v="C1406"/>
    <s v="Keyboard"/>
    <x v="0"/>
    <n v="3"/>
    <n v="2499"/>
    <n v="0"/>
    <s v="West"/>
    <s v="Net Banking"/>
    <x v="1"/>
    <n v="17996.400000000001"/>
  </r>
  <r>
    <s v="ORD01074"/>
    <d v="2026-02-26T00:00:00"/>
    <s v="C1074"/>
    <s v="Mechanical Keyboard"/>
    <x v="1"/>
    <n v="4"/>
    <n v="599"/>
    <n v="0.05"/>
    <s v="Central"/>
    <s v="Debit Card"/>
    <x v="0"/>
    <n v="7497"/>
  </r>
  <r>
    <s v="ORD01075"/>
    <d v="2026-09-02T00:00:00"/>
    <s v="C1352"/>
    <s v="Monitor"/>
    <x v="1"/>
    <n v="5"/>
    <n v="599"/>
    <n v="0.15"/>
    <s v="Central"/>
    <s v="Net Banking"/>
    <x v="0"/>
    <n v="2276.1999999999998"/>
  </r>
  <r>
    <s v="ORD01076"/>
    <d v="2026-07-07T00:00:00"/>
    <s v="C1433"/>
    <s v="USB-C Hub"/>
    <x v="0"/>
    <n v="3"/>
    <n v="1499"/>
    <n v="0"/>
    <s v="South"/>
    <s v="Credit Card"/>
    <x v="1"/>
    <n v="2545.75"/>
  </r>
  <r>
    <s v="ORD01077"/>
    <d v="2026-09-28T00:00:00"/>
    <s v="C1771"/>
    <s v="Mechanical Keyboard"/>
    <x v="3"/>
    <n v="1"/>
    <n v="1299"/>
    <n v="0"/>
    <s v="South"/>
    <s v="Net Banking"/>
    <x v="2"/>
    <n v="4497"/>
  </r>
  <r>
    <s v="ORD01078"/>
    <d v="2026-06-24T00:00:00"/>
    <s v="C1301"/>
    <s v="Monitor"/>
    <x v="0"/>
    <n v="4"/>
    <n v="1499"/>
    <n v="0"/>
    <s v="North"/>
    <s v="UPI"/>
    <x v="0"/>
    <n v="1299"/>
  </r>
  <r>
    <s v="ORD01079"/>
    <d v="2026-04-07T00:00:00"/>
    <s v="C1341"/>
    <s v="Mechanical Keyboard"/>
    <x v="4"/>
    <n v="4"/>
    <n v="4999"/>
    <n v="0.15"/>
    <s v="South"/>
    <s v="COD"/>
    <x v="0"/>
    <n v="5996"/>
  </r>
  <r>
    <s v="ORD01080"/>
    <d v="2026-09-08T00:00:00"/>
    <s v="C1140"/>
    <s v="Laptop Stand"/>
    <x v="2"/>
    <n v="3"/>
    <n v="999"/>
    <n v="0.1"/>
    <s v="South"/>
    <s v="Debit Card"/>
    <x v="2"/>
    <n v="16996.599999999999"/>
  </r>
  <r>
    <s v="ORD01081"/>
    <d v="2026-04-08T00:00:00"/>
    <s v="C1092"/>
    <s v="Webcam"/>
    <x v="3"/>
    <n v="1"/>
    <n v="499"/>
    <n v="0.1"/>
    <s v="North"/>
    <s v="Debit Card"/>
    <x v="2"/>
    <n v="2697.3"/>
  </r>
  <r>
    <s v="ORD01082"/>
    <d v="2026-09-13T00:00:00"/>
    <s v="C1514"/>
    <s v="Headphones"/>
    <x v="1"/>
    <n v="2"/>
    <n v="999"/>
    <n v="0.15"/>
    <s v="South"/>
    <s v="Debit Card"/>
    <x v="0"/>
    <n v="449.1"/>
  </r>
  <r>
    <s v="ORD01083"/>
    <d v="2026-06-30T00:00:00"/>
    <s v="C1152"/>
    <s v="Bluetooth Speaker"/>
    <x v="1"/>
    <n v="1"/>
    <n v="999"/>
    <n v="0"/>
    <s v="Central"/>
    <s v="Credit Card"/>
    <x v="0"/>
    <n v="1698.3"/>
  </r>
  <r>
    <s v="ORD01084"/>
    <d v="2026-03-26T00:00:00"/>
    <s v="C1083"/>
    <s v="Webcam"/>
    <x v="3"/>
    <n v="2"/>
    <n v="4999"/>
    <n v="0"/>
    <s v="Central"/>
    <s v="Credit Card"/>
    <x v="1"/>
    <n v="999"/>
  </r>
  <r>
    <s v="ORD01085"/>
    <d v="2026-08-10T00:00:00"/>
    <s v="C1639"/>
    <s v="Bluetooth Speaker"/>
    <x v="4"/>
    <n v="2"/>
    <n v="599"/>
    <n v="0.15"/>
    <s v="Central"/>
    <s v="COD"/>
    <x v="1"/>
    <n v="9998"/>
  </r>
  <r>
    <s v="ORD01086"/>
    <d v="2026-07-28T00:00:00"/>
    <s v="C1308"/>
    <s v="USB-C Hub"/>
    <x v="0"/>
    <n v="5"/>
    <n v="4999"/>
    <n v="0"/>
    <s v="West"/>
    <s v="COD"/>
    <x v="0"/>
    <n v="1018.3"/>
  </r>
  <r>
    <s v="ORD01087"/>
    <d v="2026-09-17T00:00:00"/>
    <s v="C1131"/>
    <s v="Bluetooth Speaker"/>
    <x v="4"/>
    <n v="2"/>
    <n v="2499"/>
    <n v="0"/>
    <s v="South"/>
    <s v="Credit Card"/>
    <x v="2"/>
    <n v="24995"/>
  </r>
  <r>
    <s v="ORD01088"/>
    <d v="2026-05-15T00:00:00"/>
    <s v="C1103"/>
    <s v="Keyboard"/>
    <x v="0"/>
    <n v="2"/>
    <n v="4999"/>
    <n v="0.1"/>
    <s v="Central"/>
    <s v="COD"/>
    <x v="0"/>
    <n v="4998"/>
  </r>
  <r>
    <s v="ORD01089"/>
    <d v="2026-02-21T00:00:00"/>
    <s v="C1070"/>
    <s v="Webcam"/>
    <x v="2"/>
    <n v="1"/>
    <n v="1499"/>
    <n v="0"/>
    <s v="East"/>
    <s v="UPI"/>
    <x v="0"/>
    <n v="8998.2000000000007"/>
  </r>
  <r>
    <s v="ORD01090"/>
    <d v="2026-02-25T00:00:00"/>
    <s v="C1427"/>
    <s v="Mechanical Keyboard"/>
    <x v="1"/>
    <n v="5"/>
    <n v="2499"/>
    <n v="0.15"/>
    <s v="South"/>
    <s v="COD"/>
    <x v="2"/>
    <n v="1499"/>
  </r>
  <r>
    <s v="ORD01091"/>
    <d v="2026-08-24T00:00:00"/>
    <s v="C1314"/>
    <s v="Bluetooth Speaker"/>
    <x v="1"/>
    <n v="2"/>
    <n v="1299"/>
    <n v="0.1"/>
    <s v="West"/>
    <s v="Net Banking"/>
    <x v="1"/>
    <n v="10620.75"/>
  </r>
  <r>
    <s v="ORD01092"/>
    <d v="2026-01-27T00:00:00"/>
    <s v="C1022"/>
    <s v="Power Bank"/>
    <x v="0"/>
    <n v="3"/>
    <n v="799"/>
    <n v="0.15"/>
    <s v="South"/>
    <s v="UPI"/>
    <x v="2"/>
    <n v="2338.2000000000003"/>
  </r>
  <r>
    <s v="ORD01093"/>
    <d v="2026-02-22T00:00:00"/>
    <s v="C1795"/>
    <s v="Wireless Mouse"/>
    <x v="4"/>
    <n v="1"/>
    <n v="799"/>
    <n v="0"/>
    <s v="South"/>
    <s v="Debit Card"/>
    <x v="0"/>
    <n v="2037.45"/>
  </r>
  <r>
    <s v="ORD01094"/>
    <d v="2026-03-15T00:00:00"/>
    <s v="C1732"/>
    <s v="Webcam"/>
    <x v="0"/>
    <n v="3"/>
    <n v="1499"/>
    <n v="0.15"/>
    <s v="North"/>
    <s v="Net Banking"/>
    <x v="0"/>
    <n v="799"/>
  </r>
  <r>
    <s v="ORD01095"/>
    <d v="2026-03-20T00:00:00"/>
    <s v="C1585"/>
    <s v="Laptop Stand"/>
    <x v="3"/>
    <n v="5"/>
    <n v="1499"/>
    <n v="0"/>
    <s v="North"/>
    <s v="Debit Card"/>
    <x v="0"/>
    <n v="3822.45"/>
  </r>
  <r>
    <s v="ORD01096"/>
    <d v="2026-07-28T00:00:00"/>
    <s v="C1678"/>
    <s v="Mechanical Keyboard"/>
    <x v="3"/>
    <n v="1"/>
    <n v="799"/>
    <n v="0.1"/>
    <s v="Central"/>
    <s v="Debit Card"/>
    <x v="1"/>
    <n v="7495"/>
  </r>
  <r>
    <s v="ORD01097"/>
    <d v="2026-03-29T00:00:00"/>
    <s v="C1795"/>
    <s v="Monitor"/>
    <x v="0"/>
    <n v="3"/>
    <n v="799"/>
    <n v="0.1"/>
    <s v="Central"/>
    <s v="Credit Card"/>
    <x v="1"/>
    <n v="719.1"/>
  </r>
  <r>
    <s v="ORD01098"/>
    <d v="2026-03-14T00:00:00"/>
    <s v="C1262"/>
    <s v="Monitor"/>
    <x v="1"/>
    <n v="3"/>
    <n v="1999"/>
    <n v="0.1"/>
    <s v="Central"/>
    <s v="Debit Card"/>
    <x v="0"/>
    <n v="2157.3000000000002"/>
  </r>
  <r>
    <s v="ORD01099"/>
    <d v="2026-06-10T00:00:00"/>
    <s v="C1489"/>
    <s v="Wireless Mouse"/>
    <x v="1"/>
    <n v="5"/>
    <n v="1299"/>
    <n v="0.05"/>
    <s v="South"/>
    <s v="COD"/>
    <x v="0"/>
    <n v="5397.3"/>
  </r>
  <r>
    <s v="ORD01100"/>
    <d v="2026-05-15T00:00:00"/>
    <s v="C1725"/>
    <s v="Mechanical Keyboard"/>
    <x v="2"/>
    <n v="4"/>
    <n v="499"/>
    <n v="0"/>
    <s v="East"/>
    <s v="COD"/>
    <x v="2"/>
    <n v="6170.25"/>
  </r>
  <r>
    <s v="ORD01101"/>
    <d v="2026-05-01T00:00:00"/>
    <s v="C1065"/>
    <s v="Mechanical Keyboard"/>
    <x v="0"/>
    <n v="1"/>
    <n v="599"/>
    <n v="0.15"/>
    <s v="North"/>
    <s v="Debit Card"/>
    <x v="1"/>
    <n v="1996"/>
  </r>
  <r>
    <s v="ORD01102"/>
    <d v="2026-02-10T00:00:00"/>
    <s v="C1107"/>
    <s v="Webcam"/>
    <x v="3"/>
    <n v="3"/>
    <n v="1299"/>
    <n v="0"/>
    <s v="West"/>
    <s v="Credit Card"/>
    <x v="1"/>
    <n v="509.15"/>
  </r>
  <r>
    <s v="ORD01103"/>
    <d v="2026-04-04T00:00:00"/>
    <s v="C1502"/>
    <s v="Laptop Stand"/>
    <x v="2"/>
    <n v="4"/>
    <n v="1999"/>
    <n v="0"/>
    <s v="North"/>
    <s v="Debit Card"/>
    <x v="1"/>
    <n v="3897"/>
  </r>
  <r>
    <s v="ORD01104"/>
    <d v="2026-06-26T00:00:00"/>
    <s v="C1576"/>
    <s v="Monitor"/>
    <x v="0"/>
    <n v="1"/>
    <n v="4999"/>
    <n v="0"/>
    <s v="North"/>
    <s v="Net Banking"/>
    <x v="0"/>
    <n v="7996"/>
  </r>
  <r>
    <s v="ORD01105"/>
    <d v="2026-06-07T00:00:00"/>
    <s v="C1249"/>
    <s v="Bluetooth Speaker"/>
    <x v="0"/>
    <n v="4"/>
    <n v="4999"/>
    <n v="0"/>
    <s v="West"/>
    <s v="Credit Card"/>
    <x v="2"/>
    <n v="4999"/>
  </r>
  <r>
    <s v="ORD01106"/>
    <d v="2026-02-26T00:00:00"/>
    <s v="C1791"/>
    <s v="Headphones"/>
    <x v="1"/>
    <n v="1"/>
    <n v="1999"/>
    <n v="0.1"/>
    <s v="North"/>
    <s v="Net Banking"/>
    <x v="0"/>
    <n v="19996"/>
  </r>
  <r>
    <s v="ORD01107"/>
    <d v="2026-07-04T00:00:00"/>
    <s v="C1356"/>
    <s v="Monitor"/>
    <x v="3"/>
    <n v="5"/>
    <n v="4999"/>
    <n v="0.1"/>
    <s v="East"/>
    <s v="Debit Card"/>
    <x v="0"/>
    <n v="1799.1000000000001"/>
  </r>
  <r>
    <s v="ORD01108"/>
    <d v="2026-05-19T00:00:00"/>
    <s v="C1291"/>
    <s v="Mechanical Keyboard"/>
    <x v="0"/>
    <n v="1"/>
    <n v="7999"/>
    <n v="0.15"/>
    <s v="South"/>
    <s v="UPI"/>
    <x v="1"/>
    <n v="22495.5"/>
  </r>
  <r>
    <s v="ORD01109"/>
    <d v="2026-06-22T00:00:00"/>
    <s v="C1495"/>
    <s v="Power Bank"/>
    <x v="4"/>
    <n v="4"/>
    <n v="1999"/>
    <n v="0.1"/>
    <s v="Central"/>
    <s v="Credit Card"/>
    <x v="1"/>
    <n v="6799.15"/>
  </r>
  <r>
    <s v="ORD01110"/>
    <d v="2026-03-31T00:00:00"/>
    <s v="C1554"/>
    <s v="Power Bank"/>
    <x v="2"/>
    <n v="5"/>
    <n v="599"/>
    <n v="0"/>
    <s v="Central"/>
    <s v="Net Banking"/>
    <x v="2"/>
    <n v="7196.4000000000005"/>
  </r>
  <r>
    <s v="ORD01111"/>
    <d v="2026-04-01T00:00:00"/>
    <s v="C1238"/>
    <s v="Wireless Mouse"/>
    <x v="2"/>
    <n v="1"/>
    <n v="1499"/>
    <n v="0.05"/>
    <s v="North"/>
    <s v="Credit Card"/>
    <x v="0"/>
    <n v="2995"/>
  </r>
  <r>
    <s v="ORD01112"/>
    <d v="2026-05-27T00:00:00"/>
    <s v="C1292"/>
    <s v="Power Bank"/>
    <x v="0"/>
    <n v="5"/>
    <n v="2499"/>
    <n v="0"/>
    <s v="North"/>
    <s v="Credit Card"/>
    <x v="0"/>
    <n v="1424.05"/>
  </r>
  <r>
    <s v="ORD01113"/>
    <d v="2026-03-06T00:00:00"/>
    <s v="C1301"/>
    <s v="Power Bank"/>
    <x v="0"/>
    <n v="3"/>
    <n v="2499"/>
    <n v="0.15"/>
    <s v="Central"/>
    <s v="Net Banking"/>
    <x v="0"/>
    <n v="12495"/>
  </r>
  <r>
    <s v="ORD01114"/>
    <d v="2026-02-06T00:00:00"/>
    <s v="C1523"/>
    <s v="Headphones"/>
    <x v="3"/>
    <n v="5"/>
    <n v="1299"/>
    <n v="0"/>
    <s v="West"/>
    <s v="UPI"/>
    <x v="0"/>
    <n v="6372.45"/>
  </r>
  <r>
    <s v="ORD01115"/>
    <d v="2026-06-02T00:00:00"/>
    <s v="C1619"/>
    <s v="Laptop Stand"/>
    <x v="2"/>
    <n v="3"/>
    <n v="1999"/>
    <n v="0.15"/>
    <s v="Central"/>
    <s v="COD"/>
    <x v="0"/>
    <n v="6495"/>
  </r>
  <r>
    <s v="ORD01116"/>
    <d v="2026-04-03T00:00:00"/>
    <s v="C1386"/>
    <s v="Bluetooth Speaker"/>
    <x v="1"/>
    <n v="5"/>
    <n v="1299"/>
    <n v="0"/>
    <s v="Central"/>
    <s v="COD"/>
    <x v="2"/>
    <n v="5097.45"/>
  </r>
  <r>
    <s v="ORD01117"/>
    <d v="2026-09-16T00:00:00"/>
    <s v="C1732"/>
    <s v="Wireless Mouse"/>
    <x v="1"/>
    <n v="1"/>
    <n v="1999"/>
    <n v="0"/>
    <s v="West"/>
    <s v="Net Banking"/>
    <x v="0"/>
    <n v="6495"/>
  </r>
  <r>
    <s v="ORD01118"/>
    <d v="2026-02-28T00:00:00"/>
    <s v="C1453"/>
    <s v="Wireless Mouse"/>
    <x v="2"/>
    <n v="1"/>
    <n v="999"/>
    <n v="0"/>
    <s v="East"/>
    <s v="Debit Card"/>
    <x v="0"/>
    <n v="1999"/>
  </r>
  <r>
    <s v="ORD01119"/>
    <d v="2026-09-19T00:00:00"/>
    <s v="C1073"/>
    <s v="Monitor"/>
    <x v="4"/>
    <n v="5"/>
    <n v="1999"/>
    <n v="0"/>
    <s v="East"/>
    <s v="COD"/>
    <x v="0"/>
    <n v="999"/>
  </r>
  <r>
    <s v="ORD01120"/>
    <d v="2026-08-30T00:00:00"/>
    <s v="C1230"/>
    <s v="Monitor"/>
    <x v="2"/>
    <n v="5"/>
    <n v="1299"/>
    <n v="0"/>
    <s v="South"/>
    <s v="COD"/>
    <x v="2"/>
    <n v="9995"/>
  </r>
  <r>
    <s v="ORD01121"/>
    <d v="2026-05-27T00:00:00"/>
    <s v="C1177"/>
    <s v="Power Bank"/>
    <x v="4"/>
    <n v="4"/>
    <n v="7999"/>
    <n v="0.05"/>
    <s v="North"/>
    <s v="Debit Card"/>
    <x v="0"/>
    <n v="6495"/>
  </r>
  <r>
    <s v="ORD01122"/>
    <d v="2026-02-03T00:00:00"/>
    <s v="C1755"/>
    <s v="USB-C Hub"/>
    <x v="4"/>
    <n v="3"/>
    <n v="1999"/>
    <n v="0"/>
    <s v="North"/>
    <s v="Credit Card"/>
    <x v="1"/>
    <n v="30396.199999999997"/>
  </r>
  <r>
    <s v="ORD01123"/>
    <d v="2026-08-28T00:00:00"/>
    <s v="C1243"/>
    <s v="Power Bank"/>
    <x v="0"/>
    <n v="3"/>
    <n v="499"/>
    <n v="0.05"/>
    <s v="South"/>
    <s v="Debit Card"/>
    <x v="2"/>
    <n v="5997"/>
  </r>
  <r>
    <s v="ORD01124"/>
    <d v="2026-01-30T00:00:00"/>
    <s v="C1730"/>
    <s v="Laptop Stand"/>
    <x v="2"/>
    <n v="5"/>
    <n v="1999"/>
    <n v="0.1"/>
    <s v="East"/>
    <s v="UPI"/>
    <x v="2"/>
    <n v="1422.1499999999999"/>
  </r>
  <r>
    <s v="ORD01125"/>
    <d v="2026-09-09T00:00:00"/>
    <s v="C1535"/>
    <s v="Webcam"/>
    <x v="2"/>
    <n v="3"/>
    <n v="7999"/>
    <n v="0.05"/>
    <s v="East"/>
    <s v="Credit Card"/>
    <x v="1"/>
    <n v="8995.5"/>
  </r>
  <r>
    <s v="ORD01126"/>
    <d v="2026-01-25T00:00:00"/>
    <s v="C1034"/>
    <s v="Bluetooth Speaker"/>
    <x v="3"/>
    <n v="2"/>
    <n v="1499"/>
    <n v="0.1"/>
    <s v="North"/>
    <s v="Credit Card"/>
    <x v="0"/>
    <n v="22797.149999999998"/>
  </r>
  <r>
    <s v="ORD01127"/>
    <d v="2026-02-27T00:00:00"/>
    <s v="C1094"/>
    <s v="Laptop Stand"/>
    <x v="3"/>
    <n v="3"/>
    <n v="799"/>
    <n v="0.1"/>
    <s v="Central"/>
    <s v="COD"/>
    <x v="0"/>
    <n v="2698.2000000000003"/>
  </r>
  <r>
    <s v="ORD01128"/>
    <d v="2026-06-28T00:00:00"/>
    <s v="C1187"/>
    <s v="Wireless Mouse"/>
    <x v="1"/>
    <n v="3"/>
    <n v="599"/>
    <n v="0"/>
    <s v="North"/>
    <s v="COD"/>
    <x v="1"/>
    <n v="2157.3000000000002"/>
  </r>
  <r>
    <s v="ORD01129"/>
    <d v="2026-09-09T00:00:00"/>
    <s v="C1743"/>
    <s v="Laptop Stand"/>
    <x v="3"/>
    <n v="5"/>
    <n v="799"/>
    <n v="0.15"/>
    <s v="North"/>
    <s v="Debit Card"/>
    <x v="2"/>
    <n v="1797"/>
  </r>
  <r>
    <s v="ORD01130"/>
    <d v="2026-02-12T00:00:00"/>
    <s v="C1126"/>
    <s v="Power Bank"/>
    <x v="3"/>
    <n v="3"/>
    <n v="599"/>
    <n v="0.05"/>
    <s v="South"/>
    <s v="UPI"/>
    <x v="0"/>
    <n v="3395.75"/>
  </r>
  <r>
    <s v="ORD01131"/>
    <d v="2026-07-11T00:00:00"/>
    <s v="C1777"/>
    <s v="Keyboard"/>
    <x v="1"/>
    <n v="1"/>
    <n v="1999"/>
    <n v="0.05"/>
    <s v="Central"/>
    <s v="Credit Card"/>
    <x v="0"/>
    <n v="1707.1499999999999"/>
  </r>
  <r>
    <s v="ORD01132"/>
    <d v="2026-06-14T00:00:00"/>
    <s v="C1429"/>
    <s v="Headphones"/>
    <x v="3"/>
    <n v="2"/>
    <n v="4999"/>
    <n v="0"/>
    <s v="Central"/>
    <s v="Debit Card"/>
    <x v="0"/>
    <n v="1899.05"/>
  </r>
  <r>
    <s v="ORD01133"/>
    <d v="2026-02-21T00:00:00"/>
    <s v="C1764"/>
    <s v="Webcam"/>
    <x v="4"/>
    <n v="1"/>
    <n v="1499"/>
    <n v="0"/>
    <s v="Central"/>
    <s v="COD"/>
    <x v="2"/>
    <n v="9998"/>
  </r>
  <r>
    <s v="ORD01134"/>
    <d v="2026-02-12T00:00:00"/>
    <s v="C1209"/>
    <s v="Laptop Stand"/>
    <x v="1"/>
    <n v="2"/>
    <n v="2499"/>
    <n v="0.15"/>
    <s v="South"/>
    <s v="Net Banking"/>
    <x v="0"/>
    <n v="1499"/>
  </r>
  <r>
    <s v="ORD01135"/>
    <d v="2026-01-04T00:00:00"/>
    <s v="C1148"/>
    <s v="Mechanical Keyboard"/>
    <x v="2"/>
    <n v="1"/>
    <n v="2499"/>
    <n v="0.15"/>
    <s v="West"/>
    <s v="Debit Card"/>
    <x v="0"/>
    <n v="4248.3"/>
  </r>
  <r>
    <s v="ORD01136"/>
    <d v="2026-06-16T00:00:00"/>
    <s v="C1401"/>
    <s v="Keyboard"/>
    <x v="3"/>
    <n v="1"/>
    <n v="1999"/>
    <n v="0.1"/>
    <s v="East"/>
    <s v="Credit Card"/>
    <x v="0"/>
    <n v="2124.15"/>
  </r>
  <r>
    <s v="ORD01137"/>
    <d v="2026-08-11T00:00:00"/>
    <s v="C1029"/>
    <s v="Power Bank"/>
    <x v="4"/>
    <n v="1"/>
    <n v="799"/>
    <n v="0.05"/>
    <s v="Central"/>
    <s v="UPI"/>
    <x v="0"/>
    <n v="1799.1000000000001"/>
  </r>
  <r>
    <s v="ORD01138"/>
    <d v="2026-04-06T00:00:00"/>
    <s v="C1299"/>
    <s v="Webcam"/>
    <x v="3"/>
    <n v="1"/>
    <n v="999"/>
    <n v="0"/>
    <s v="West"/>
    <s v="Debit Card"/>
    <x v="1"/>
    <n v="759.05"/>
  </r>
  <r>
    <s v="ORD01139"/>
    <d v="2026-03-24T00:00:00"/>
    <s v="C1296"/>
    <s v="Headphones"/>
    <x v="4"/>
    <n v="2"/>
    <n v="999"/>
    <n v="0.05"/>
    <s v="North"/>
    <s v="Net Banking"/>
    <x v="0"/>
    <n v="999"/>
  </r>
  <r>
    <s v="ORD01140"/>
    <d v="2026-06-12T00:00:00"/>
    <s v="C1207"/>
    <s v="Mechanical Keyboard"/>
    <x v="3"/>
    <n v="4"/>
    <n v="799"/>
    <n v="0"/>
    <s v="East"/>
    <s v="Debit Card"/>
    <x v="0"/>
    <n v="1898.1"/>
  </r>
  <r>
    <s v="ORD01141"/>
    <d v="2026-08-14T00:00:00"/>
    <s v="C1502"/>
    <s v="USB-C Hub"/>
    <x v="3"/>
    <n v="3"/>
    <n v="1999"/>
    <n v="0"/>
    <s v="Central"/>
    <s v="Credit Card"/>
    <x v="1"/>
    <n v="3196"/>
  </r>
  <r>
    <s v="ORD01142"/>
    <d v="2026-06-20T00:00:00"/>
    <s v="C1755"/>
    <s v="Webcam"/>
    <x v="1"/>
    <n v="1"/>
    <n v="1999"/>
    <n v="0"/>
    <s v="East"/>
    <s v="Net Banking"/>
    <x v="2"/>
    <n v="5997"/>
  </r>
  <r>
    <s v="ORD01143"/>
    <d v="2026-07-01T00:00:00"/>
    <s v="C1709"/>
    <s v="Webcam"/>
    <x v="2"/>
    <n v="5"/>
    <n v="499"/>
    <n v="0.15"/>
    <s v="North"/>
    <s v="Net Banking"/>
    <x v="0"/>
    <n v="1999"/>
  </r>
  <r>
    <s v="ORD01144"/>
    <d v="2026-04-24T00:00:00"/>
    <s v="C1353"/>
    <s v="Webcam"/>
    <x v="3"/>
    <n v="4"/>
    <n v="599"/>
    <n v="0.05"/>
    <s v="Central"/>
    <s v="Net Banking"/>
    <x v="0"/>
    <n v="2120.75"/>
  </r>
  <r>
    <s v="ORD01145"/>
    <d v="2026-05-05T00:00:00"/>
    <s v="C1586"/>
    <s v="Keyboard"/>
    <x v="4"/>
    <n v="5"/>
    <n v="1299"/>
    <n v="0.15"/>
    <s v="West"/>
    <s v="UPI"/>
    <x v="2"/>
    <n v="2276.1999999999998"/>
  </r>
  <r>
    <s v="ORD01146"/>
    <d v="2026-08-26T00:00:00"/>
    <s v="C1428"/>
    <s v="Headphones"/>
    <x v="0"/>
    <n v="3"/>
    <n v="799"/>
    <n v="0"/>
    <s v="South"/>
    <s v="Credit Card"/>
    <x v="0"/>
    <n v="5520.75"/>
  </r>
  <r>
    <s v="ORD01147"/>
    <d v="2026-05-12T00:00:00"/>
    <s v="C1418"/>
    <s v="Bluetooth Speaker"/>
    <x v="3"/>
    <n v="5"/>
    <n v="2499"/>
    <n v="0"/>
    <s v="Central"/>
    <s v="Credit Card"/>
    <x v="0"/>
    <n v="2397"/>
  </r>
  <r>
    <s v="ORD01148"/>
    <d v="2026-08-14T00:00:00"/>
    <s v="C1441"/>
    <s v="Laptop Stand"/>
    <x v="3"/>
    <n v="3"/>
    <n v="1299"/>
    <n v="0"/>
    <s v="East"/>
    <s v="Debit Card"/>
    <x v="0"/>
    <n v="12495"/>
  </r>
  <r>
    <s v="ORD01149"/>
    <d v="2026-05-13T00:00:00"/>
    <s v="C1307"/>
    <s v="Laptop Stand"/>
    <x v="2"/>
    <n v="5"/>
    <n v="499"/>
    <n v="0"/>
    <s v="Central"/>
    <s v="Credit Card"/>
    <x v="1"/>
    <n v="3897"/>
  </r>
  <r>
    <s v="ORD01150"/>
    <d v="2026-08-10T00:00:00"/>
    <s v="C1137"/>
    <s v="Mechanical Keyboard"/>
    <x v="0"/>
    <n v="2"/>
    <n v="1499"/>
    <n v="0.1"/>
    <s v="East"/>
    <s v="Net Banking"/>
    <x v="0"/>
    <n v="2495"/>
  </r>
  <r>
    <s v="ORD01151"/>
    <d v="2026-03-13T00:00:00"/>
    <s v="C1113"/>
    <s v="Headphones"/>
    <x v="4"/>
    <n v="4"/>
    <n v="999"/>
    <n v="0"/>
    <s v="South"/>
    <s v="Net Banking"/>
    <x v="0"/>
    <n v="2698.2000000000003"/>
  </r>
  <r>
    <s v="ORD01152"/>
    <d v="2026-06-04T00:00:00"/>
    <s v="C1001"/>
    <s v="Monitor"/>
    <x v="2"/>
    <n v="3"/>
    <n v="1499"/>
    <n v="0.15"/>
    <s v="North"/>
    <s v="Net Banking"/>
    <x v="1"/>
    <n v="3996"/>
  </r>
  <r>
    <s v="ORD01153"/>
    <d v="2026-08-03T00:00:00"/>
    <s v="C1305"/>
    <s v="Monitor"/>
    <x v="1"/>
    <n v="1"/>
    <n v="799"/>
    <n v="0"/>
    <s v="Central"/>
    <s v="Debit Card"/>
    <x v="0"/>
    <n v="3822.45"/>
  </r>
  <r>
    <s v="ORD01154"/>
    <d v="2026-02-18T00:00:00"/>
    <s v="C1754"/>
    <s v="Wireless Mouse"/>
    <x v="4"/>
    <n v="1"/>
    <n v="7999"/>
    <n v="0"/>
    <s v="Central"/>
    <s v="Debit Card"/>
    <x v="0"/>
    <n v="799"/>
  </r>
  <r>
    <s v="ORD01155"/>
    <d v="2026-02-03T00:00:00"/>
    <s v="C1236"/>
    <s v="USB-C Hub"/>
    <x v="1"/>
    <n v="5"/>
    <n v="1299"/>
    <n v="0.05"/>
    <s v="West"/>
    <s v="Debit Card"/>
    <x v="0"/>
    <n v="7999"/>
  </r>
  <r>
    <s v="ORD01156"/>
    <d v="2026-03-01T00:00:00"/>
    <s v="C1157"/>
    <s v="Webcam"/>
    <x v="3"/>
    <n v="5"/>
    <n v="799"/>
    <n v="0.1"/>
    <s v="South"/>
    <s v="UPI"/>
    <x v="0"/>
    <n v="6170.25"/>
  </r>
  <r>
    <s v="ORD01157"/>
    <d v="2026-09-11T00:00:00"/>
    <s v="C1116"/>
    <s v="Keyboard"/>
    <x v="0"/>
    <n v="1"/>
    <n v="4999"/>
    <n v="0"/>
    <s v="Central"/>
    <s v="Credit Card"/>
    <x v="1"/>
    <n v="3595.5"/>
  </r>
  <r>
    <s v="ORD01158"/>
    <d v="2026-09-17T00:00:00"/>
    <s v="C1749"/>
    <s v="USB-C Hub"/>
    <x v="3"/>
    <n v="2"/>
    <n v="599"/>
    <n v="0.05"/>
    <s v="South"/>
    <s v="UPI"/>
    <x v="2"/>
    <n v="4999"/>
  </r>
  <r>
    <s v="ORD01159"/>
    <d v="2026-03-13T00:00:00"/>
    <s v="C1455"/>
    <s v="Mechanical Keyboard"/>
    <x v="1"/>
    <n v="1"/>
    <n v="4999"/>
    <n v="0"/>
    <s v="East"/>
    <s v="Net Banking"/>
    <x v="0"/>
    <n v="1138.0999999999999"/>
  </r>
  <r>
    <s v="ORD01160"/>
    <d v="2026-09-03T00:00:00"/>
    <s v="C1703"/>
    <s v="Webcam"/>
    <x v="4"/>
    <n v="2"/>
    <n v="4999"/>
    <n v="0"/>
    <s v="South"/>
    <s v="Net Banking"/>
    <x v="0"/>
    <n v="4999"/>
  </r>
  <r>
    <s v="ORD01161"/>
    <d v="2026-07-30T00:00:00"/>
    <s v="C1257"/>
    <s v="Wireless Mouse"/>
    <x v="0"/>
    <n v="3"/>
    <n v="1299"/>
    <n v="0.05"/>
    <s v="East"/>
    <s v="Credit Card"/>
    <x v="0"/>
    <n v="9998"/>
  </r>
  <r>
    <s v="ORD01162"/>
    <d v="2026-06-08T00:00:00"/>
    <s v="C1087"/>
    <s v="Keyboard"/>
    <x v="0"/>
    <n v="5"/>
    <n v="1499"/>
    <n v="0.05"/>
    <s v="North"/>
    <s v="Net Banking"/>
    <x v="0"/>
    <n v="3702.1499999999996"/>
  </r>
  <r>
    <s v="ORD01163"/>
    <d v="2026-02-28T00:00:00"/>
    <s v="C1658"/>
    <s v="Wireless Mouse"/>
    <x v="3"/>
    <n v="4"/>
    <n v="799"/>
    <n v="0.15"/>
    <s v="West"/>
    <s v="Credit Card"/>
    <x v="2"/>
    <n v="7120.25"/>
  </r>
  <r>
    <s v="ORD01164"/>
    <d v="2026-02-24T00:00:00"/>
    <s v="C1702"/>
    <s v="Monitor"/>
    <x v="2"/>
    <n v="3"/>
    <n v="7999"/>
    <n v="0"/>
    <s v="South"/>
    <s v="COD"/>
    <x v="0"/>
    <n v="2716.6"/>
  </r>
  <r>
    <s v="ORD01165"/>
    <d v="2026-03-11T00:00:00"/>
    <s v="C1519"/>
    <s v="Wireless Mouse"/>
    <x v="1"/>
    <n v="2"/>
    <n v="599"/>
    <n v="0"/>
    <s v="East"/>
    <s v="COD"/>
    <x v="2"/>
    <n v="23997"/>
  </r>
  <r>
    <s v="ORD01166"/>
    <d v="2026-03-08T00:00:00"/>
    <s v="C1113"/>
    <s v="Wireless Mouse"/>
    <x v="0"/>
    <n v="4"/>
    <n v="499"/>
    <n v="0.1"/>
    <s v="Central"/>
    <s v="Net Banking"/>
    <x v="0"/>
    <n v="1198"/>
  </r>
  <r>
    <s v="ORD01167"/>
    <d v="2026-01-25T00:00:00"/>
    <s v="C1651"/>
    <s v="Laptop Stand"/>
    <x v="4"/>
    <n v="5"/>
    <n v="1499"/>
    <n v="0.05"/>
    <s v="North"/>
    <s v="Net Banking"/>
    <x v="0"/>
    <n v="1796.4"/>
  </r>
  <r>
    <s v="ORD01168"/>
    <d v="2026-09-15T00:00:00"/>
    <s v="C1661"/>
    <s v="Webcam"/>
    <x v="3"/>
    <n v="3"/>
    <n v="2499"/>
    <n v="0.15"/>
    <s v="South"/>
    <s v="Credit Card"/>
    <x v="0"/>
    <n v="7120.25"/>
  </r>
  <r>
    <s v="ORD01169"/>
    <d v="2026-09-04T00:00:00"/>
    <s v="C1190"/>
    <s v="USB-C Hub"/>
    <x v="3"/>
    <n v="1"/>
    <n v="1499"/>
    <n v="0"/>
    <s v="West"/>
    <s v="Net Banking"/>
    <x v="1"/>
    <n v="6372.45"/>
  </r>
  <r>
    <s v="ORD01170"/>
    <d v="2026-07-22T00:00:00"/>
    <s v="C1020"/>
    <s v="USB-C Hub"/>
    <x v="1"/>
    <n v="1"/>
    <n v="599"/>
    <n v="0.05"/>
    <s v="Central"/>
    <s v="Debit Card"/>
    <x v="0"/>
    <n v="1499"/>
  </r>
  <r>
    <s v="ORD01171"/>
    <d v="2026-04-20T00:00:00"/>
    <s v="C1126"/>
    <s v="Mechanical Keyboard"/>
    <x v="0"/>
    <n v="3"/>
    <n v="599"/>
    <n v="0.1"/>
    <s v="Central"/>
    <s v="UPI"/>
    <x v="0"/>
    <n v="569.04999999999995"/>
  </r>
  <r>
    <s v="ORD01172"/>
    <d v="2026-01-18T00:00:00"/>
    <s v="C1425"/>
    <s v="Wireless Mouse"/>
    <x v="4"/>
    <n v="1"/>
    <n v="599"/>
    <n v="0"/>
    <s v="East"/>
    <s v="COD"/>
    <x v="0"/>
    <n v="1617.3"/>
  </r>
  <r>
    <s v="ORD01173"/>
    <d v="2026-05-28T00:00:00"/>
    <s v="C1320"/>
    <s v="Bluetooth Speaker"/>
    <x v="0"/>
    <n v="4"/>
    <n v="599"/>
    <n v="0"/>
    <s v="East"/>
    <s v="UPI"/>
    <x v="2"/>
    <n v="599"/>
  </r>
  <r>
    <s v="ORD01174"/>
    <d v="2026-04-08T00:00:00"/>
    <s v="C1387"/>
    <s v="Keyboard"/>
    <x v="4"/>
    <n v="4"/>
    <n v="1999"/>
    <n v="0.1"/>
    <s v="West"/>
    <s v="COD"/>
    <x v="2"/>
    <n v="2396"/>
  </r>
  <r>
    <s v="ORD01175"/>
    <d v="2026-01-23T00:00:00"/>
    <s v="C1255"/>
    <s v="Power Bank"/>
    <x v="4"/>
    <n v="1"/>
    <n v="2499"/>
    <n v="0.15"/>
    <s v="South"/>
    <s v="COD"/>
    <x v="0"/>
    <n v="7196.4000000000005"/>
  </r>
  <r>
    <s v="ORD01176"/>
    <d v="2026-03-16T00:00:00"/>
    <s v="C1068"/>
    <s v="Keyboard"/>
    <x v="1"/>
    <n v="4"/>
    <n v="1999"/>
    <n v="0.1"/>
    <s v="Central"/>
    <s v="Net Banking"/>
    <x v="0"/>
    <n v="2124.15"/>
  </r>
  <r>
    <s v="ORD01177"/>
    <d v="2026-03-14T00:00:00"/>
    <s v="C1120"/>
    <s v="Webcam"/>
    <x v="1"/>
    <n v="2"/>
    <n v="599"/>
    <n v="0.1"/>
    <s v="North"/>
    <s v="Credit Card"/>
    <x v="1"/>
    <n v="7196.4000000000005"/>
  </r>
  <r>
    <s v="ORD01178"/>
    <d v="2026-06-28T00:00:00"/>
    <s v="C1160"/>
    <s v="Power Bank"/>
    <x v="3"/>
    <n v="5"/>
    <n v="1999"/>
    <n v="0.1"/>
    <s v="West"/>
    <s v="COD"/>
    <x v="0"/>
    <n v="1078.2"/>
  </r>
  <r>
    <s v="ORD01179"/>
    <d v="2026-04-09T00:00:00"/>
    <s v="C1345"/>
    <s v="Monitor"/>
    <x v="1"/>
    <n v="4"/>
    <n v="1999"/>
    <n v="0"/>
    <s v="North"/>
    <s v="UPI"/>
    <x v="0"/>
    <n v="8995.5"/>
  </r>
  <r>
    <s v="ORD01180"/>
    <d v="2026-01-14T00:00:00"/>
    <s v="C1119"/>
    <s v="Webcam"/>
    <x v="4"/>
    <n v="1"/>
    <n v="1999"/>
    <n v="0"/>
    <s v="West"/>
    <s v="Credit Card"/>
    <x v="0"/>
    <n v="7996"/>
  </r>
  <r>
    <s v="ORD01181"/>
    <d v="2026-08-19T00:00:00"/>
    <s v="C1122"/>
    <s v="Mechanical Keyboard"/>
    <x v="4"/>
    <n v="2"/>
    <n v="1499"/>
    <n v="0"/>
    <s v="East"/>
    <s v="UPI"/>
    <x v="0"/>
    <n v="1999"/>
  </r>
  <r>
    <s v="ORD01182"/>
    <d v="2026-03-07T00:00:00"/>
    <s v="C1501"/>
    <s v="Wireless Mouse"/>
    <x v="0"/>
    <n v="4"/>
    <n v="4999"/>
    <n v="0.05"/>
    <s v="West"/>
    <s v="Net Banking"/>
    <x v="0"/>
    <n v="2998"/>
  </r>
  <r>
    <s v="ORD01183"/>
    <d v="2026-06-03T00:00:00"/>
    <s v="C1281"/>
    <s v="Keyboard"/>
    <x v="3"/>
    <n v="4"/>
    <n v="4999"/>
    <n v="0.05"/>
    <s v="East"/>
    <s v="Credit Card"/>
    <x v="0"/>
    <n v="18996.2"/>
  </r>
  <r>
    <s v="ORD01184"/>
    <d v="2026-08-22T00:00:00"/>
    <s v="C1456"/>
    <s v="Monitor"/>
    <x v="1"/>
    <n v="3"/>
    <n v="2499"/>
    <n v="0.05"/>
    <s v="East"/>
    <s v="UPI"/>
    <x v="1"/>
    <n v="18996.2"/>
  </r>
  <r>
    <s v="ORD01185"/>
    <d v="2026-02-10T00:00:00"/>
    <s v="C1212"/>
    <s v="Webcam"/>
    <x v="4"/>
    <n v="5"/>
    <n v="4999"/>
    <n v="0.05"/>
    <s v="West"/>
    <s v="Debit Card"/>
    <x v="1"/>
    <n v="7122.15"/>
  </r>
  <r>
    <s v="ORD01186"/>
    <d v="2026-01-05T00:00:00"/>
    <s v="C1088"/>
    <s v="USB-C Hub"/>
    <x v="3"/>
    <n v="5"/>
    <n v="499"/>
    <n v="0"/>
    <s v="South"/>
    <s v="Debit Card"/>
    <x v="0"/>
    <n v="23745.25"/>
  </r>
  <r>
    <s v="ORD01187"/>
    <d v="2026-06-23T00:00:00"/>
    <s v="C1487"/>
    <s v="Bluetooth Speaker"/>
    <x v="3"/>
    <n v="5"/>
    <n v="2499"/>
    <n v="0.05"/>
    <s v="North"/>
    <s v="Net Banking"/>
    <x v="1"/>
    <n v="2495"/>
  </r>
  <r>
    <s v="ORD01188"/>
    <d v="2026-05-31T00:00:00"/>
    <s v="C1023"/>
    <s v="Bluetooth Speaker"/>
    <x v="2"/>
    <n v="1"/>
    <n v="599"/>
    <n v="0.1"/>
    <s v="West"/>
    <s v="UPI"/>
    <x v="0"/>
    <n v="11870.25"/>
  </r>
  <r>
    <s v="ORD01189"/>
    <d v="2026-02-15T00:00:00"/>
    <s v="C1539"/>
    <s v="Mechanical Keyboard"/>
    <x v="0"/>
    <n v="1"/>
    <n v="1299"/>
    <n v="0"/>
    <s v="West"/>
    <s v="COD"/>
    <x v="0"/>
    <n v="539.1"/>
  </r>
  <r>
    <s v="ORD01190"/>
    <d v="2026-03-14T00:00:00"/>
    <s v="C1639"/>
    <s v="USB-C Hub"/>
    <x v="3"/>
    <n v="1"/>
    <n v="999"/>
    <n v="0"/>
    <s v="North"/>
    <s v="COD"/>
    <x v="0"/>
    <n v="1299"/>
  </r>
  <r>
    <s v="ORD01191"/>
    <d v="2026-05-24T00:00:00"/>
    <s v="C1165"/>
    <s v="Keyboard"/>
    <x v="2"/>
    <n v="2"/>
    <n v="4999"/>
    <n v="0.05"/>
    <s v="Central"/>
    <s v="Credit Card"/>
    <x v="0"/>
    <n v="999"/>
  </r>
  <r>
    <s v="ORD01192"/>
    <d v="2026-07-11T00:00:00"/>
    <s v="C1011"/>
    <s v="Bluetooth Speaker"/>
    <x v="2"/>
    <n v="1"/>
    <n v="1499"/>
    <n v="0"/>
    <s v="West"/>
    <s v="Net Banking"/>
    <x v="1"/>
    <n v="9498.1"/>
  </r>
  <r>
    <s v="ORD01193"/>
    <d v="2026-07-06T00:00:00"/>
    <s v="C1037"/>
    <s v="Keyboard"/>
    <x v="3"/>
    <n v="3"/>
    <n v="4999"/>
    <n v="0"/>
    <s v="North"/>
    <s v="UPI"/>
    <x v="0"/>
    <n v="1499"/>
  </r>
  <r>
    <s v="ORD01194"/>
    <d v="2026-01-06T00:00:00"/>
    <s v="C1335"/>
    <s v="Power Bank"/>
    <x v="4"/>
    <n v="4"/>
    <n v="2499"/>
    <n v="0.05"/>
    <s v="Central"/>
    <s v="UPI"/>
    <x v="2"/>
    <n v="14997"/>
  </r>
  <r>
    <s v="ORD01195"/>
    <d v="2026-08-30T00:00:00"/>
    <s v="C1381"/>
    <s v="Webcam"/>
    <x v="3"/>
    <n v="5"/>
    <n v="1499"/>
    <n v="0"/>
    <s v="South"/>
    <s v="COD"/>
    <x v="2"/>
    <n v="9496.1999999999989"/>
  </r>
  <r>
    <s v="ORD01196"/>
    <d v="2026-05-06T00:00:00"/>
    <s v="C1675"/>
    <s v="USB-C Hub"/>
    <x v="2"/>
    <n v="4"/>
    <n v="599"/>
    <n v="0"/>
    <s v="North"/>
    <s v="Credit Card"/>
    <x v="0"/>
    <n v="7495"/>
  </r>
  <r>
    <s v="ORD01197"/>
    <d v="2026-08-13T00:00:00"/>
    <s v="C1519"/>
    <s v="Mechanical Keyboard"/>
    <x v="1"/>
    <n v="4"/>
    <n v="4999"/>
    <n v="0"/>
    <s v="South"/>
    <s v="Net Banking"/>
    <x v="2"/>
    <n v="2396"/>
  </r>
  <r>
    <s v="ORD01198"/>
    <d v="2026-09-23T00:00:00"/>
    <s v="C1454"/>
    <s v="Wireless Mouse"/>
    <x v="4"/>
    <n v="3"/>
    <n v="799"/>
    <n v="0"/>
    <s v="South"/>
    <s v="UPI"/>
    <x v="0"/>
    <n v="19996"/>
  </r>
  <r>
    <s v="ORD01199"/>
    <d v="2026-09-04T00:00:00"/>
    <s v="C1349"/>
    <s v="Webcam"/>
    <x v="3"/>
    <n v="2"/>
    <n v="7999"/>
    <n v="0.15"/>
    <s v="North"/>
    <s v="Credit Card"/>
    <x v="0"/>
    <n v="2397"/>
  </r>
  <r>
    <s v="ORD01200"/>
    <d v="2026-01-04T00:00:00"/>
    <s v="C1152"/>
    <s v="Mechanical Keyboard"/>
    <x v="4"/>
    <n v="2"/>
    <n v="999"/>
    <n v="0"/>
    <s v="East"/>
    <s v="COD"/>
    <x v="0"/>
    <n v="13598.3"/>
  </r>
  <r>
    <s v="ORD01201"/>
    <d v="2026-09-02T00:00:00"/>
    <s v="C1763"/>
    <s v="Headphones"/>
    <x v="3"/>
    <n v="2"/>
    <n v="7999"/>
    <n v="0.05"/>
    <s v="West"/>
    <s v="Credit Card"/>
    <x v="0"/>
    <n v="1998"/>
  </r>
  <r>
    <s v="ORD01202"/>
    <d v="2026-07-22T00:00:00"/>
    <s v="C1597"/>
    <s v="Headphones"/>
    <x v="4"/>
    <n v="5"/>
    <n v="7999"/>
    <n v="0"/>
    <s v="North"/>
    <s v="Debit Card"/>
    <x v="0"/>
    <n v="15198.099999999999"/>
  </r>
  <r>
    <s v="ORD01203"/>
    <d v="2026-09-01T00:00:00"/>
    <s v="C1704"/>
    <s v="Headphones"/>
    <x v="1"/>
    <n v="1"/>
    <n v="2499"/>
    <n v="0.05"/>
    <s v="North"/>
    <s v="Net Banking"/>
    <x v="1"/>
    <n v="39995"/>
  </r>
  <r>
    <s v="ORD01204"/>
    <d v="2026-05-23T00:00:00"/>
    <s v="C1670"/>
    <s v="Mechanical Keyboard"/>
    <x v="2"/>
    <n v="4"/>
    <n v="1499"/>
    <n v="0.15"/>
    <s v="East"/>
    <s v="Credit Card"/>
    <x v="0"/>
    <n v="2374.0499999999997"/>
  </r>
  <r>
    <s v="ORD01205"/>
    <d v="2026-03-30T00:00:00"/>
    <s v="C1724"/>
    <s v="Power Bank"/>
    <x v="0"/>
    <n v="1"/>
    <n v="1999"/>
    <n v="0.15"/>
    <s v="South"/>
    <s v="Credit Card"/>
    <x v="1"/>
    <n v="5096.5999999999995"/>
  </r>
  <r>
    <s v="ORD01206"/>
    <d v="2026-05-28T00:00:00"/>
    <s v="C1520"/>
    <s v="Webcam"/>
    <x v="1"/>
    <n v="1"/>
    <n v="2499"/>
    <n v="0.1"/>
    <s v="East"/>
    <s v="COD"/>
    <x v="1"/>
    <n v="1699.1499999999999"/>
  </r>
  <r>
    <s v="ORD01207"/>
    <d v="2026-09-01T00:00:00"/>
    <s v="C1657"/>
    <s v="Bluetooth Speaker"/>
    <x v="1"/>
    <n v="2"/>
    <n v="4999"/>
    <n v="0"/>
    <s v="West"/>
    <s v="Credit Card"/>
    <x v="1"/>
    <n v="2249.1"/>
  </r>
  <r>
    <s v="ORD01208"/>
    <d v="2026-05-05T00:00:00"/>
    <s v="C1253"/>
    <s v="Headphones"/>
    <x v="2"/>
    <n v="5"/>
    <n v="599"/>
    <n v="0"/>
    <s v="Central"/>
    <s v="Credit Card"/>
    <x v="1"/>
    <n v="9998"/>
  </r>
  <r>
    <s v="ORD01209"/>
    <d v="2026-07-18T00:00:00"/>
    <s v="C1423"/>
    <s v="Mechanical Keyboard"/>
    <x v="3"/>
    <n v="4"/>
    <n v="1499"/>
    <n v="0.15"/>
    <s v="North"/>
    <s v="UPI"/>
    <x v="2"/>
    <n v="2995"/>
  </r>
  <r>
    <s v="ORD01210"/>
    <d v="2026-03-14T00:00:00"/>
    <s v="C1719"/>
    <s v="Keyboard"/>
    <x v="3"/>
    <n v="4"/>
    <n v="1499"/>
    <n v="0.15"/>
    <s v="East"/>
    <s v="COD"/>
    <x v="0"/>
    <n v="5096.5999999999995"/>
  </r>
  <r>
    <s v="ORD01211"/>
    <d v="2026-07-18T00:00:00"/>
    <s v="C1768"/>
    <s v="Monitor"/>
    <x v="3"/>
    <n v="2"/>
    <n v="499"/>
    <n v="0"/>
    <s v="West"/>
    <s v="Net Banking"/>
    <x v="1"/>
    <n v="5096.5999999999995"/>
  </r>
  <r>
    <s v="ORD01212"/>
    <d v="2026-01-06T00:00:00"/>
    <s v="C1785"/>
    <s v="Keyboard"/>
    <x v="2"/>
    <n v="1"/>
    <n v="1499"/>
    <n v="0"/>
    <s v="West"/>
    <s v="Net Banking"/>
    <x v="1"/>
    <n v="998"/>
  </r>
  <r>
    <s v="ORD01213"/>
    <d v="2026-09-26T00:00:00"/>
    <s v="C1578"/>
    <s v="Webcam"/>
    <x v="4"/>
    <n v="5"/>
    <n v="1499"/>
    <n v="0"/>
    <s v="East"/>
    <s v="COD"/>
    <x v="0"/>
    <n v="1499"/>
  </r>
  <r>
    <s v="ORD01214"/>
    <d v="2026-05-03T00:00:00"/>
    <s v="C1732"/>
    <s v="Power Bank"/>
    <x v="3"/>
    <n v="1"/>
    <n v="799"/>
    <n v="0.15"/>
    <s v="South"/>
    <s v="Debit Card"/>
    <x v="0"/>
    <n v="7495"/>
  </r>
  <r>
    <s v="ORD01215"/>
    <d v="2026-09-06T00:00:00"/>
    <s v="C1166"/>
    <s v="Laptop Stand"/>
    <x v="4"/>
    <n v="5"/>
    <n v="599"/>
    <n v="0"/>
    <s v="South"/>
    <s v="Credit Card"/>
    <x v="0"/>
    <n v="679.15"/>
  </r>
  <r>
    <s v="ORD01216"/>
    <d v="2026-09-27T00:00:00"/>
    <s v="C1237"/>
    <s v="Bluetooth Speaker"/>
    <x v="3"/>
    <n v="4"/>
    <n v="1999"/>
    <n v="0"/>
    <s v="North"/>
    <s v="Credit Card"/>
    <x v="0"/>
    <n v="2995"/>
  </r>
  <r>
    <s v="ORD01217"/>
    <d v="2026-06-30T00:00:00"/>
    <s v="C1123"/>
    <s v="Monitor"/>
    <x v="2"/>
    <n v="2"/>
    <n v="4999"/>
    <n v="0"/>
    <s v="Central"/>
    <s v="Debit Card"/>
    <x v="0"/>
    <n v="7996"/>
  </r>
  <r>
    <s v="ORD01218"/>
    <d v="2026-09-04T00:00:00"/>
    <s v="C1184"/>
    <s v="Webcam"/>
    <x v="1"/>
    <n v="2"/>
    <n v="1999"/>
    <n v="0.1"/>
    <s v="Central"/>
    <s v="COD"/>
    <x v="0"/>
    <n v="9998"/>
  </r>
  <r>
    <s v="ORD01219"/>
    <d v="2026-08-30T00:00:00"/>
    <s v="C1269"/>
    <s v="Power Bank"/>
    <x v="4"/>
    <n v="5"/>
    <n v="4999"/>
    <n v="0.15"/>
    <s v="South"/>
    <s v="Net Banking"/>
    <x v="0"/>
    <n v="3598.2000000000003"/>
  </r>
  <r>
    <s v="ORD01220"/>
    <d v="2026-02-19T00:00:00"/>
    <s v="C1042"/>
    <s v="Mechanical Keyboard"/>
    <x v="2"/>
    <n v="2"/>
    <n v="7999"/>
    <n v="0"/>
    <s v="North"/>
    <s v="Net Banking"/>
    <x v="0"/>
    <n v="21245.75"/>
  </r>
  <r>
    <s v="ORD01221"/>
    <d v="2026-08-25T00:00:00"/>
    <s v="C1227"/>
    <s v="Monitor"/>
    <x v="3"/>
    <n v="1"/>
    <n v="799"/>
    <n v="0"/>
    <s v="South"/>
    <s v="Debit Card"/>
    <x v="0"/>
    <n v="15998"/>
  </r>
  <r>
    <s v="ORD01222"/>
    <d v="2026-06-06T00:00:00"/>
    <s v="C1178"/>
    <s v="Headphones"/>
    <x v="4"/>
    <n v="1"/>
    <n v="1999"/>
    <n v="0.05"/>
    <s v="South"/>
    <s v="Debit Card"/>
    <x v="1"/>
    <n v="799"/>
  </r>
  <r>
    <s v="ORD01223"/>
    <d v="2026-02-08T00:00:00"/>
    <s v="C1193"/>
    <s v="Monitor"/>
    <x v="0"/>
    <n v="4"/>
    <n v="499"/>
    <n v="0.05"/>
    <s v="Central"/>
    <s v="UPI"/>
    <x v="1"/>
    <n v="1899.05"/>
  </r>
  <r>
    <s v="ORD01224"/>
    <d v="2026-03-14T00:00:00"/>
    <s v="C1229"/>
    <s v="Keyboard"/>
    <x v="0"/>
    <n v="1"/>
    <n v="599"/>
    <n v="0.1"/>
    <s v="Central"/>
    <s v="Debit Card"/>
    <x v="2"/>
    <n v="1896.1999999999998"/>
  </r>
  <r>
    <s v="ORD01225"/>
    <d v="2026-07-10T00:00:00"/>
    <s v="C1335"/>
    <s v="Laptop Stand"/>
    <x v="0"/>
    <n v="2"/>
    <n v="4999"/>
    <n v="0.1"/>
    <s v="Central"/>
    <s v="COD"/>
    <x v="0"/>
    <n v="539.1"/>
  </r>
  <r>
    <s v="ORD01226"/>
    <d v="2026-07-30T00:00:00"/>
    <s v="C1093"/>
    <s v="USB-C Hub"/>
    <x v="1"/>
    <n v="1"/>
    <n v="999"/>
    <n v="0.1"/>
    <s v="Central"/>
    <s v="COD"/>
    <x v="0"/>
    <n v="8998.2000000000007"/>
  </r>
  <r>
    <s v="ORD01227"/>
    <d v="2026-05-02T00:00:00"/>
    <s v="C1482"/>
    <s v="Webcam"/>
    <x v="2"/>
    <n v="2"/>
    <n v="599"/>
    <n v="0"/>
    <s v="East"/>
    <s v="COD"/>
    <x v="2"/>
    <n v="899.1"/>
  </r>
  <r>
    <s v="ORD01228"/>
    <d v="2026-01-18T00:00:00"/>
    <s v="C1742"/>
    <s v="Mechanical Keyboard"/>
    <x v="1"/>
    <n v="5"/>
    <n v="4999"/>
    <n v="0.15"/>
    <s v="West"/>
    <s v="Net Banking"/>
    <x v="0"/>
    <n v="1198"/>
  </r>
  <r>
    <s v="ORD01229"/>
    <d v="2026-04-24T00:00:00"/>
    <s v="C1715"/>
    <s v="USB-C Hub"/>
    <x v="2"/>
    <n v="2"/>
    <n v="1299"/>
    <n v="0"/>
    <s v="South"/>
    <s v="Net Banking"/>
    <x v="2"/>
    <n v="21245.75"/>
  </r>
  <r>
    <s v="ORD01230"/>
    <d v="2026-05-21T00:00:00"/>
    <s v="C1733"/>
    <s v="Power Bank"/>
    <x v="2"/>
    <n v="3"/>
    <n v="7999"/>
    <n v="0"/>
    <s v="North"/>
    <s v="Debit Card"/>
    <x v="0"/>
    <n v="2598"/>
  </r>
  <r>
    <s v="ORD01231"/>
    <d v="2026-01-30T00:00:00"/>
    <s v="C1655"/>
    <s v="Mechanical Keyboard"/>
    <x v="4"/>
    <n v="5"/>
    <n v="2499"/>
    <n v="0.05"/>
    <s v="Central"/>
    <s v="Credit Card"/>
    <x v="0"/>
    <n v="23997"/>
  </r>
  <r>
    <s v="ORD01232"/>
    <d v="2026-07-31T00:00:00"/>
    <s v="C1720"/>
    <s v="Monitor"/>
    <x v="3"/>
    <n v="4"/>
    <n v="2499"/>
    <n v="0"/>
    <s v="East"/>
    <s v="Credit Card"/>
    <x v="2"/>
    <n v="11870.25"/>
  </r>
  <r>
    <s v="ORD01233"/>
    <d v="2026-08-13T00:00:00"/>
    <s v="C1561"/>
    <s v="USB-C Hub"/>
    <x v="3"/>
    <n v="1"/>
    <n v="4999"/>
    <n v="0"/>
    <s v="West"/>
    <s v="Net Banking"/>
    <x v="0"/>
    <n v="9996"/>
  </r>
  <r>
    <s v="ORD01234"/>
    <d v="2026-05-12T00:00:00"/>
    <s v="C1743"/>
    <s v="Bluetooth Speaker"/>
    <x v="3"/>
    <n v="1"/>
    <n v="1999"/>
    <n v="0.15"/>
    <s v="Central"/>
    <s v="Debit Card"/>
    <x v="0"/>
    <n v="4999"/>
  </r>
  <r>
    <s v="ORD01235"/>
    <d v="2026-01-09T00:00:00"/>
    <s v="C1153"/>
    <s v="Laptop Stand"/>
    <x v="3"/>
    <n v="2"/>
    <n v="4999"/>
    <n v="0.15"/>
    <s v="East"/>
    <s v="COD"/>
    <x v="0"/>
    <n v="1699.1499999999999"/>
  </r>
  <r>
    <s v="ORD01236"/>
    <d v="2026-08-04T00:00:00"/>
    <s v="C1763"/>
    <s v="Keyboard"/>
    <x v="4"/>
    <n v="2"/>
    <n v="1299"/>
    <n v="0.1"/>
    <s v="Central"/>
    <s v="Credit Card"/>
    <x v="0"/>
    <n v="8498.2999999999993"/>
  </r>
  <r>
    <s v="ORD01237"/>
    <d v="2026-02-09T00:00:00"/>
    <s v="C1251"/>
    <s v="Webcam"/>
    <x v="1"/>
    <n v="1"/>
    <n v="599"/>
    <n v="0.1"/>
    <s v="North"/>
    <s v="Credit Card"/>
    <x v="2"/>
    <n v="2338.2000000000003"/>
  </r>
  <r>
    <s v="ORD01238"/>
    <d v="2026-01-05T00:00:00"/>
    <s v="C1237"/>
    <s v="Power Bank"/>
    <x v="0"/>
    <n v="4"/>
    <n v="2499"/>
    <n v="0.1"/>
    <s v="Central"/>
    <s v="Net Banking"/>
    <x v="1"/>
    <n v="539.1"/>
  </r>
  <r>
    <s v="ORD01239"/>
    <d v="2026-09-07T00:00:00"/>
    <s v="C1171"/>
    <s v="USB-C Hub"/>
    <x v="4"/>
    <n v="2"/>
    <n v="1299"/>
    <n v="0.05"/>
    <s v="Central"/>
    <s v="Net Banking"/>
    <x v="1"/>
    <n v="8996.4"/>
  </r>
  <r>
    <s v="ORD01240"/>
    <d v="2026-04-18T00:00:00"/>
    <s v="C1020"/>
    <s v="Bluetooth Speaker"/>
    <x v="1"/>
    <n v="3"/>
    <n v="1499"/>
    <n v="0.05"/>
    <s v="West"/>
    <s v="COD"/>
    <x v="0"/>
    <n v="2468.1"/>
  </r>
  <r>
    <s v="ORD01241"/>
    <d v="2026-09-02T00:00:00"/>
    <s v="C1661"/>
    <s v="Power Bank"/>
    <x v="3"/>
    <n v="5"/>
    <n v="499"/>
    <n v="0"/>
    <s v="East"/>
    <s v="COD"/>
    <x v="0"/>
    <n v="4272.1499999999996"/>
  </r>
  <r>
    <s v="ORD01242"/>
    <d v="2026-08-14T00:00:00"/>
    <s v="C1308"/>
    <s v="Mechanical Keyboard"/>
    <x v="1"/>
    <n v="5"/>
    <n v="1499"/>
    <n v="0.05"/>
    <s v="North"/>
    <s v="UPI"/>
    <x v="2"/>
    <n v="2495"/>
  </r>
  <r>
    <s v="ORD01243"/>
    <d v="2026-03-28T00:00:00"/>
    <s v="C1294"/>
    <s v="Power Bank"/>
    <x v="4"/>
    <n v="1"/>
    <n v="1499"/>
    <n v="0.15"/>
    <s v="West"/>
    <s v="UPI"/>
    <x v="0"/>
    <n v="7120.25"/>
  </r>
  <r>
    <s v="ORD01244"/>
    <d v="2026-01-16T00:00:00"/>
    <s v="C1561"/>
    <s v="Keyboard"/>
    <x v="2"/>
    <n v="1"/>
    <n v="599"/>
    <n v="0"/>
    <s v="North"/>
    <s v="Net Banking"/>
    <x v="0"/>
    <n v="1274.1499999999999"/>
  </r>
  <r>
    <s v="ORD01245"/>
    <d v="2026-03-22T00:00:00"/>
    <s v="C1453"/>
    <s v="Keyboard"/>
    <x v="2"/>
    <n v="5"/>
    <n v="599"/>
    <n v="0"/>
    <s v="North"/>
    <s v="Credit Card"/>
    <x v="0"/>
    <n v="599"/>
  </r>
  <r>
    <s v="ORD01246"/>
    <d v="2026-05-08T00:00:00"/>
    <s v="C1587"/>
    <s v="Mechanical Keyboard"/>
    <x v="2"/>
    <n v="4"/>
    <n v="599"/>
    <n v="0"/>
    <s v="East"/>
    <s v="Debit Card"/>
    <x v="1"/>
    <n v="2995"/>
  </r>
  <r>
    <s v="ORD01247"/>
    <d v="2026-01-26T00:00:00"/>
    <s v="C1437"/>
    <s v="Webcam"/>
    <x v="1"/>
    <n v="2"/>
    <n v="1499"/>
    <n v="0"/>
    <s v="East"/>
    <s v="Net Banking"/>
    <x v="0"/>
    <n v="2396"/>
  </r>
  <r>
    <s v="ORD01248"/>
    <d v="2026-02-19T00:00:00"/>
    <s v="C1697"/>
    <s v="Bluetooth Speaker"/>
    <x v="0"/>
    <n v="1"/>
    <n v="999"/>
    <n v="0"/>
    <s v="Central"/>
    <s v="COD"/>
    <x v="1"/>
    <n v="2998"/>
  </r>
  <r>
    <s v="ORD01249"/>
    <d v="2026-09-01T00:00:00"/>
    <s v="C1211"/>
    <s v="Bluetooth Speaker"/>
    <x v="2"/>
    <n v="1"/>
    <n v="799"/>
    <n v="0"/>
    <s v="East"/>
    <s v="COD"/>
    <x v="0"/>
    <n v="999"/>
  </r>
  <r>
    <s v="ORD01250"/>
    <d v="2026-09-21T00:00:00"/>
    <s v="C1338"/>
    <s v="Keyboard"/>
    <x v="3"/>
    <n v="2"/>
    <n v="1299"/>
    <n v="0.15"/>
    <s v="West"/>
    <s v="Debit Card"/>
    <x v="0"/>
    <n v="799"/>
  </r>
  <r>
    <s v="ORD01251"/>
    <d v="2026-04-23T00:00:00"/>
    <s v="C1317"/>
    <s v="Headphones"/>
    <x v="2"/>
    <n v="4"/>
    <n v="2499"/>
    <n v="0"/>
    <s v="North"/>
    <s v="Debit Card"/>
    <x v="2"/>
    <n v="2208.2999999999997"/>
  </r>
  <r>
    <s v="ORD01252"/>
    <d v="2026-02-20T00:00:00"/>
    <s v="C1717"/>
    <s v="USB-C Hub"/>
    <x v="2"/>
    <n v="4"/>
    <n v="999"/>
    <n v="0.1"/>
    <s v="Central"/>
    <s v="Net Banking"/>
    <x v="0"/>
    <n v="9996"/>
  </r>
  <r>
    <s v="ORD01253"/>
    <d v="2026-09-28T00:00:00"/>
    <s v="C1092"/>
    <s v="Power Bank"/>
    <x v="1"/>
    <n v="1"/>
    <n v="1499"/>
    <n v="0"/>
    <s v="East"/>
    <s v="Net Banking"/>
    <x v="1"/>
    <n v="3596.4"/>
  </r>
  <r>
    <s v="ORD01254"/>
    <d v="2026-03-07T00:00:00"/>
    <s v="C1009"/>
    <s v="Webcam"/>
    <x v="3"/>
    <n v="3"/>
    <n v="2499"/>
    <n v="0"/>
    <s v="Central"/>
    <s v="Debit Card"/>
    <x v="0"/>
    <n v="1499"/>
  </r>
  <r>
    <s v="ORD01255"/>
    <d v="2026-02-22T00:00:00"/>
    <s v="C1126"/>
    <s v="Webcam"/>
    <x v="3"/>
    <n v="4"/>
    <n v="1999"/>
    <n v="0.15"/>
    <s v="East"/>
    <s v="UPI"/>
    <x v="2"/>
    <n v="7497"/>
  </r>
  <r>
    <s v="ORD01256"/>
    <d v="2026-06-06T00:00:00"/>
    <s v="C1665"/>
    <s v="Wireless Mouse"/>
    <x v="1"/>
    <n v="4"/>
    <n v="999"/>
    <n v="0.05"/>
    <s v="South"/>
    <s v="Net Banking"/>
    <x v="0"/>
    <n v="6796.5999999999995"/>
  </r>
  <r>
    <s v="ORD01257"/>
    <d v="2026-07-23T00:00:00"/>
    <s v="C1728"/>
    <s v="Power Bank"/>
    <x v="3"/>
    <n v="1"/>
    <n v="1999"/>
    <n v="0.05"/>
    <s v="South"/>
    <s v="Credit Card"/>
    <x v="0"/>
    <n v="3796.2"/>
  </r>
  <r>
    <s v="ORD01258"/>
    <d v="2026-01-22T00:00:00"/>
    <s v="C1511"/>
    <s v="Mechanical Keyboard"/>
    <x v="4"/>
    <n v="2"/>
    <n v="4999"/>
    <n v="0.05"/>
    <s v="West"/>
    <s v="COD"/>
    <x v="0"/>
    <n v="1899.05"/>
  </r>
  <r>
    <s v="ORD01259"/>
    <d v="2026-03-29T00:00:00"/>
    <s v="C1184"/>
    <s v="Keyboard"/>
    <x v="4"/>
    <n v="5"/>
    <n v="7999"/>
    <n v="0.15"/>
    <s v="West"/>
    <s v="COD"/>
    <x v="2"/>
    <n v="9498.1"/>
  </r>
  <r>
    <s v="ORD01260"/>
    <d v="2026-08-01T00:00:00"/>
    <s v="C1664"/>
    <s v="Mechanical Keyboard"/>
    <x v="2"/>
    <n v="5"/>
    <n v="999"/>
    <n v="0"/>
    <s v="West"/>
    <s v="Debit Card"/>
    <x v="1"/>
    <n v="33995.75"/>
  </r>
  <r>
    <s v="ORD01261"/>
    <d v="2026-09-16T00:00:00"/>
    <s v="C1370"/>
    <s v="USB-C Hub"/>
    <x v="0"/>
    <n v="4"/>
    <n v="1299"/>
    <n v="0.1"/>
    <s v="Central"/>
    <s v="Net Banking"/>
    <x v="0"/>
    <n v="4995"/>
  </r>
  <r>
    <s v="ORD01262"/>
    <d v="2026-04-27T00:00:00"/>
    <s v="C1127"/>
    <s v="Laptop Stand"/>
    <x v="1"/>
    <n v="3"/>
    <n v="599"/>
    <n v="0.15"/>
    <s v="South"/>
    <s v="Net Banking"/>
    <x v="0"/>
    <n v="4676.4000000000005"/>
  </r>
  <r>
    <s v="ORD01263"/>
    <d v="2026-06-23T00:00:00"/>
    <s v="C1001"/>
    <s v="Mechanical Keyboard"/>
    <x v="2"/>
    <n v="2"/>
    <n v="499"/>
    <n v="0"/>
    <s v="South"/>
    <s v="COD"/>
    <x v="0"/>
    <n v="1527.45"/>
  </r>
  <r>
    <s v="ORD01264"/>
    <d v="2026-02-25T00:00:00"/>
    <s v="C1650"/>
    <s v="Headphones"/>
    <x v="0"/>
    <n v="3"/>
    <n v="599"/>
    <n v="0.1"/>
    <s v="West"/>
    <s v="UPI"/>
    <x v="1"/>
    <n v="998"/>
  </r>
  <r>
    <s v="ORD01265"/>
    <d v="2026-07-25T00:00:00"/>
    <s v="C1350"/>
    <s v="Keyboard"/>
    <x v="0"/>
    <n v="5"/>
    <n v="799"/>
    <n v="0"/>
    <s v="North"/>
    <s v="Credit Card"/>
    <x v="0"/>
    <n v="1617.3"/>
  </r>
  <r>
    <s v="ORD01266"/>
    <d v="2026-09-15T00:00:00"/>
    <s v="C1485"/>
    <s v="Headphones"/>
    <x v="4"/>
    <n v="5"/>
    <n v="2499"/>
    <n v="0.05"/>
    <s v="South"/>
    <s v="UPI"/>
    <x v="0"/>
    <n v="3995"/>
  </r>
  <r>
    <s v="ORD01267"/>
    <d v="2026-07-16T00:00:00"/>
    <s v="C1373"/>
    <s v="Keyboard"/>
    <x v="4"/>
    <n v="4"/>
    <n v="4999"/>
    <n v="0.05"/>
    <s v="North"/>
    <s v="UPI"/>
    <x v="0"/>
    <n v="11870.25"/>
  </r>
  <r>
    <s v="ORD01268"/>
    <d v="2026-08-28T00:00:00"/>
    <s v="C1556"/>
    <s v="Power Bank"/>
    <x v="0"/>
    <n v="5"/>
    <n v="4999"/>
    <n v="0"/>
    <s v="Central"/>
    <s v="Credit Card"/>
    <x v="0"/>
    <n v="18996.2"/>
  </r>
  <r>
    <s v="ORD01269"/>
    <d v="2026-05-11T00:00:00"/>
    <s v="C1023"/>
    <s v="Keyboard"/>
    <x v="1"/>
    <n v="2"/>
    <n v="4999"/>
    <n v="0"/>
    <s v="North"/>
    <s v="COD"/>
    <x v="1"/>
    <n v="24995"/>
  </r>
  <r>
    <s v="ORD01270"/>
    <d v="2026-04-07T00:00:00"/>
    <s v="C1708"/>
    <s v="USB-C Hub"/>
    <x v="2"/>
    <n v="1"/>
    <n v="499"/>
    <n v="0.1"/>
    <s v="North"/>
    <s v="Debit Card"/>
    <x v="0"/>
    <n v="9998"/>
  </r>
  <r>
    <s v="ORD01271"/>
    <d v="2026-02-20T00:00:00"/>
    <s v="C1544"/>
    <s v="Wireless Mouse"/>
    <x v="4"/>
    <n v="3"/>
    <n v="999"/>
    <n v="0"/>
    <s v="East"/>
    <s v="Credit Card"/>
    <x v="0"/>
    <n v="449.1"/>
  </r>
  <r>
    <s v="ORD01272"/>
    <d v="2026-02-16T00:00:00"/>
    <s v="C1530"/>
    <s v="Wireless Mouse"/>
    <x v="4"/>
    <n v="5"/>
    <n v="1499"/>
    <n v="0.1"/>
    <s v="West"/>
    <s v="COD"/>
    <x v="2"/>
    <n v="2997"/>
  </r>
  <r>
    <s v="ORD01273"/>
    <d v="2026-03-01T00:00:00"/>
    <s v="C1308"/>
    <s v="Power Bank"/>
    <x v="4"/>
    <n v="5"/>
    <n v="499"/>
    <n v="0.05"/>
    <s v="South"/>
    <s v="COD"/>
    <x v="0"/>
    <n v="6745.5"/>
  </r>
  <r>
    <s v="ORD01274"/>
    <d v="2026-08-26T00:00:00"/>
    <s v="C1170"/>
    <s v="Laptop Stand"/>
    <x v="2"/>
    <n v="1"/>
    <n v="599"/>
    <n v="0.15"/>
    <s v="South"/>
    <s v="UPI"/>
    <x v="2"/>
    <n v="2370.25"/>
  </r>
  <r>
    <s v="ORD01275"/>
    <d v="2026-05-17T00:00:00"/>
    <s v="C1744"/>
    <s v="Wireless Mouse"/>
    <x v="4"/>
    <n v="2"/>
    <n v="999"/>
    <n v="0.05"/>
    <s v="East"/>
    <s v="COD"/>
    <x v="1"/>
    <n v="509.15"/>
  </r>
  <r>
    <s v="ORD01276"/>
    <d v="2026-08-02T00:00:00"/>
    <s v="C1792"/>
    <s v="USB-C Hub"/>
    <x v="2"/>
    <n v="5"/>
    <n v="799"/>
    <n v="0.1"/>
    <s v="Central"/>
    <s v="Credit Card"/>
    <x v="0"/>
    <n v="1898.1"/>
  </r>
  <r>
    <s v="ORD01277"/>
    <d v="2026-01-07T00:00:00"/>
    <s v="C1399"/>
    <s v="Bluetooth Speaker"/>
    <x v="2"/>
    <n v="1"/>
    <n v="2499"/>
    <n v="0.05"/>
    <s v="West"/>
    <s v="Net Banking"/>
    <x v="0"/>
    <n v="3595.5"/>
  </r>
  <r>
    <s v="ORD01278"/>
    <d v="2026-02-13T00:00:00"/>
    <s v="C1229"/>
    <s v="Webcam"/>
    <x v="3"/>
    <n v="4"/>
    <n v="999"/>
    <n v="0"/>
    <s v="Central"/>
    <s v="COD"/>
    <x v="0"/>
    <n v="2374.0499999999997"/>
  </r>
  <r>
    <s v="ORD01279"/>
    <d v="2026-09-18T00:00:00"/>
    <s v="C1048"/>
    <s v="Laptop Stand"/>
    <x v="3"/>
    <n v="3"/>
    <n v="2499"/>
    <n v="0.05"/>
    <s v="Central"/>
    <s v="Credit Card"/>
    <x v="0"/>
    <n v="3996"/>
  </r>
  <r>
    <s v="ORD01280"/>
    <d v="2026-05-10T00:00:00"/>
    <s v="C1586"/>
    <s v="Keyboard"/>
    <x v="3"/>
    <n v="1"/>
    <n v="1999"/>
    <n v="0"/>
    <s v="Central"/>
    <s v="UPI"/>
    <x v="2"/>
    <n v="7122.15"/>
  </r>
  <r>
    <s v="ORD01281"/>
    <d v="2026-02-17T00:00:00"/>
    <s v="C1243"/>
    <s v="Webcam"/>
    <x v="4"/>
    <n v="4"/>
    <n v="4999"/>
    <n v="0"/>
    <s v="West"/>
    <s v="Net Banking"/>
    <x v="1"/>
    <n v="1999"/>
  </r>
  <r>
    <s v="ORD01282"/>
    <d v="2026-05-16T00:00:00"/>
    <s v="C1473"/>
    <s v="Headphones"/>
    <x v="3"/>
    <n v="5"/>
    <n v="1299"/>
    <n v="0"/>
    <s v="North"/>
    <s v="Debit Card"/>
    <x v="0"/>
    <n v="19996"/>
  </r>
  <r>
    <s v="ORD01283"/>
    <d v="2026-08-24T00:00:00"/>
    <s v="C1557"/>
    <s v="Webcam"/>
    <x v="2"/>
    <n v="3"/>
    <n v="1499"/>
    <n v="0"/>
    <s v="East"/>
    <s v="Debit Card"/>
    <x v="0"/>
    <n v="6495"/>
  </r>
  <r>
    <s v="ORD01284"/>
    <d v="2026-09-02T00:00:00"/>
    <s v="C1452"/>
    <s v="Monitor"/>
    <x v="3"/>
    <n v="2"/>
    <n v="4999"/>
    <n v="0"/>
    <s v="Central"/>
    <s v="Credit Card"/>
    <x v="2"/>
    <n v="4497"/>
  </r>
  <r>
    <s v="ORD01285"/>
    <d v="2026-08-28T00:00:00"/>
    <s v="C1066"/>
    <s v="USB-C Hub"/>
    <x v="4"/>
    <n v="1"/>
    <n v="4999"/>
    <n v="0"/>
    <s v="Central"/>
    <s v="Credit Card"/>
    <x v="0"/>
    <n v="9998"/>
  </r>
  <r>
    <s v="ORD01286"/>
    <d v="2026-02-12T00:00:00"/>
    <s v="C1634"/>
    <s v="Laptop Stand"/>
    <x v="2"/>
    <n v="1"/>
    <n v="999"/>
    <n v="0"/>
    <s v="East"/>
    <s v="Net Banking"/>
    <x v="0"/>
    <n v="4999"/>
  </r>
  <r>
    <s v="ORD01287"/>
    <d v="2026-02-10T00:00:00"/>
    <s v="C1206"/>
    <s v="Bluetooth Speaker"/>
    <x v="2"/>
    <n v="2"/>
    <n v="7999"/>
    <n v="0"/>
    <s v="West"/>
    <s v="Debit Card"/>
    <x v="0"/>
    <n v="999"/>
  </r>
  <r>
    <s v="ORD01288"/>
    <d v="2026-03-12T00:00:00"/>
    <s v="C1124"/>
    <s v="Mechanical Keyboard"/>
    <x v="2"/>
    <n v="3"/>
    <n v="1299"/>
    <n v="0.15"/>
    <s v="West"/>
    <s v="Credit Card"/>
    <x v="0"/>
    <n v="15998"/>
  </r>
  <r>
    <s v="ORD01289"/>
    <d v="2026-01-12T00:00:00"/>
    <s v="C1506"/>
    <s v="Laptop Stand"/>
    <x v="0"/>
    <n v="4"/>
    <n v="1999"/>
    <n v="0.1"/>
    <s v="South"/>
    <s v="Net Banking"/>
    <x v="0"/>
    <n v="3312.45"/>
  </r>
  <r>
    <s v="ORD01290"/>
    <d v="2026-07-23T00:00:00"/>
    <s v="C1483"/>
    <s v="USB-C Hub"/>
    <x v="3"/>
    <n v="5"/>
    <n v="7999"/>
    <n v="0"/>
    <s v="North"/>
    <s v="COD"/>
    <x v="2"/>
    <n v="7196.4000000000005"/>
  </r>
  <r>
    <s v="ORD01291"/>
    <d v="2026-03-24T00:00:00"/>
    <s v="C1387"/>
    <s v="USB-C Hub"/>
    <x v="4"/>
    <n v="3"/>
    <n v="1999"/>
    <n v="0"/>
    <s v="North"/>
    <s v="Debit Card"/>
    <x v="0"/>
    <n v="39995"/>
  </r>
  <r>
    <s v="ORD01292"/>
    <d v="2026-02-01T00:00:00"/>
    <s v="C1743"/>
    <s v="Headphones"/>
    <x v="4"/>
    <n v="5"/>
    <n v="999"/>
    <n v="0"/>
    <s v="South"/>
    <s v="Net Banking"/>
    <x v="0"/>
    <n v="5997"/>
  </r>
  <r>
    <s v="ORD01293"/>
    <d v="2026-03-08T00:00:00"/>
    <s v="C1463"/>
    <s v="Laptop Stand"/>
    <x v="3"/>
    <n v="2"/>
    <n v="2499"/>
    <n v="0.15"/>
    <s v="South"/>
    <s v="Credit Card"/>
    <x v="0"/>
    <n v="4995"/>
  </r>
  <r>
    <s v="ORD01294"/>
    <d v="2026-05-01T00:00:00"/>
    <s v="C1162"/>
    <s v="USB-C Hub"/>
    <x v="4"/>
    <n v="4"/>
    <n v="999"/>
    <n v="0"/>
    <s v="East"/>
    <s v="COD"/>
    <x v="0"/>
    <n v="4248.3"/>
  </r>
  <r>
    <s v="ORD01295"/>
    <d v="2026-04-26T00:00:00"/>
    <s v="C1220"/>
    <s v="Power Bank"/>
    <x v="3"/>
    <n v="4"/>
    <n v="7999"/>
    <n v="0.15"/>
    <s v="South"/>
    <s v="Net Banking"/>
    <x v="1"/>
    <n v="3996"/>
  </r>
  <r>
    <s v="ORD01296"/>
    <d v="2026-05-22T00:00:00"/>
    <s v="C1385"/>
    <s v="Keyboard"/>
    <x v="0"/>
    <n v="5"/>
    <n v="599"/>
    <n v="0"/>
    <s v="East"/>
    <s v="Debit Card"/>
    <x v="1"/>
    <n v="27196.6"/>
  </r>
  <r>
    <s v="ORD01297"/>
    <d v="2026-05-12T00:00:00"/>
    <s v="C1037"/>
    <s v="Monitor"/>
    <x v="4"/>
    <n v="1"/>
    <n v="999"/>
    <n v="0.1"/>
    <s v="Central"/>
    <s v="Debit Card"/>
    <x v="0"/>
    <n v="2995"/>
  </r>
  <r>
    <s v="ORD01298"/>
    <d v="2026-07-11T00:00:00"/>
    <s v="C1004"/>
    <s v="Keyboard"/>
    <x v="4"/>
    <n v="3"/>
    <n v="2499"/>
    <n v="0.15"/>
    <s v="East"/>
    <s v="UPI"/>
    <x v="1"/>
    <n v="899.1"/>
  </r>
  <r>
    <s v="ORD01299"/>
    <d v="2026-04-02T00:00:00"/>
    <s v="C1510"/>
    <s v="Headphones"/>
    <x v="0"/>
    <n v="5"/>
    <n v="1499"/>
    <n v="0.1"/>
    <s v="West"/>
    <s v="Debit Card"/>
    <x v="0"/>
    <n v="6372.45"/>
  </r>
  <r>
    <s v="ORD01300"/>
    <d v="2026-04-12T00:00:00"/>
    <s v="C1190"/>
    <s v="Power Bank"/>
    <x v="4"/>
    <n v="5"/>
    <n v="7999"/>
    <n v="0"/>
    <s v="East"/>
    <s v="Net Banking"/>
    <x v="1"/>
    <n v="6745.5"/>
  </r>
  <r>
    <s v="ORD01301"/>
    <d v="2026-01-11T00:00:00"/>
    <s v="C1344"/>
    <s v="Wireless Mouse"/>
    <x v="3"/>
    <n v="1"/>
    <n v="1499"/>
    <n v="0.05"/>
    <s v="South"/>
    <s v="UPI"/>
    <x v="0"/>
    <n v="39995"/>
  </r>
  <r>
    <s v="ORD01302"/>
    <d v="2026-05-18T00:00:00"/>
    <s v="C1798"/>
    <s v="Headphones"/>
    <x v="0"/>
    <n v="2"/>
    <n v="7999"/>
    <n v="0.1"/>
    <s v="Central"/>
    <s v="Credit Card"/>
    <x v="1"/>
    <n v="1424.05"/>
  </r>
  <r>
    <s v="ORD01303"/>
    <d v="2026-03-29T00:00:00"/>
    <s v="C1135"/>
    <s v="Laptop Stand"/>
    <x v="4"/>
    <n v="5"/>
    <n v="499"/>
    <n v="0"/>
    <s v="North"/>
    <s v="Debit Card"/>
    <x v="0"/>
    <n v="14398.2"/>
  </r>
  <r>
    <s v="ORD01304"/>
    <d v="2026-02-23T00:00:00"/>
    <s v="C1724"/>
    <s v="Webcam"/>
    <x v="0"/>
    <n v="3"/>
    <n v="7999"/>
    <n v="0"/>
    <s v="West"/>
    <s v="Credit Card"/>
    <x v="2"/>
    <n v="2495"/>
  </r>
  <r>
    <s v="ORD01305"/>
    <d v="2026-01-30T00:00:00"/>
    <s v="C1391"/>
    <s v="USB-C Hub"/>
    <x v="1"/>
    <n v="4"/>
    <n v="799"/>
    <n v="0"/>
    <s v="East"/>
    <s v="Net Banking"/>
    <x v="1"/>
    <n v="23997"/>
  </r>
  <r>
    <s v="ORD01306"/>
    <d v="2026-05-28T00:00:00"/>
    <s v="C1612"/>
    <s v="Mechanical Keyboard"/>
    <x v="2"/>
    <n v="3"/>
    <n v="7999"/>
    <n v="0.05"/>
    <s v="West"/>
    <s v="Debit Card"/>
    <x v="1"/>
    <n v="3196"/>
  </r>
  <r>
    <s v="ORD01307"/>
    <d v="2026-07-11T00:00:00"/>
    <s v="C1301"/>
    <s v="Bluetooth Speaker"/>
    <x v="0"/>
    <n v="1"/>
    <n v="1999"/>
    <n v="0.05"/>
    <s v="South"/>
    <s v="COD"/>
    <x v="0"/>
    <n v="22797.149999999998"/>
  </r>
  <r>
    <s v="ORD01308"/>
    <d v="2026-06-18T00:00:00"/>
    <s v="C1390"/>
    <s v="Mechanical Keyboard"/>
    <x v="1"/>
    <n v="4"/>
    <n v="1999"/>
    <n v="0"/>
    <s v="North"/>
    <s v="Debit Card"/>
    <x v="0"/>
    <n v="1899.05"/>
  </r>
  <r>
    <s v="ORD01309"/>
    <d v="2026-04-02T00:00:00"/>
    <s v="C1058"/>
    <s v="Headphones"/>
    <x v="2"/>
    <n v="3"/>
    <n v="599"/>
    <n v="0.05"/>
    <s v="West"/>
    <s v="Debit Card"/>
    <x v="0"/>
    <n v="7996"/>
  </r>
  <r>
    <s v="ORD01310"/>
    <d v="2026-09-24T00:00:00"/>
    <s v="C1602"/>
    <s v="Keyboard"/>
    <x v="0"/>
    <n v="1"/>
    <n v="1499"/>
    <n v="0.05"/>
    <s v="East"/>
    <s v="UPI"/>
    <x v="1"/>
    <n v="1707.1499999999999"/>
  </r>
  <r>
    <s v="ORD01311"/>
    <d v="2026-09-25T00:00:00"/>
    <s v="C1345"/>
    <s v="Power Bank"/>
    <x v="2"/>
    <n v="2"/>
    <n v="499"/>
    <n v="0.15"/>
    <s v="South"/>
    <s v="UPI"/>
    <x v="0"/>
    <n v="1424.05"/>
  </r>
  <r>
    <s v="ORD01312"/>
    <d v="2026-02-02T00:00:00"/>
    <s v="C1320"/>
    <s v="Mechanical Keyboard"/>
    <x v="4"/>
    <n v="3"/>
    <n v="999"/>
    <n v="0"/>
    <s v="West"/>
    <s v="Debit Card"/>
    <x v="1"/>
    <n v="848.3"/>
  </r>
  <r>
    <s v="ORD01313"/>
    <d v="2026-01-26T00:00:00"/>
    <s v="C1425"/>
    <s v="Mechanical Keyboard"/>
    <x v="4"/>
    <n v="3"/>
    <n v="1999"/>
    <n v="0"/>
    <s v="South"/>
    <s v="Debit Card"/>
    <x v="1"/>
    <n v="2997"/>
  </r>
  <r>
    <s v="ORD01314"/>
    <d v="2026-02-17T00:00:00"/>
    <s v="C1139"/>
    <s v="USB-C Hub"/>
    <x v="3"/>
    <n v="4"/>
    <n v="499"/>
    <n v="0.1"/>
    <s v="West"/>
    <s v="UPI"/>
    <x v="0"/>
    <n v="5997"/>
  </r>
  <r>
    <s v="ORD01315"/>
    <d v="2026-02-03T00:00:00"/>
    <s v="C1790"/>
    <s v="Wireless Mouse"/>
    <x v="3"/>
    <n v="1"/>
    <n v="1499"/>
    <n v="0.15"/>
    <s v="North"/>
    <s v="COD"/>
    <x v="1"/>
    <n v="1796.4"/>
  </r>
  <r>
    <s v="ORD01316"/>
    <d v="2026-02-19T00:00:00"/>
    <s v="C1379"/>
    <s v="USB-C Hub"/>
    <x v="3"/>
    <n v="1"/>
    <n v="1499"/>
    <n v="0.15"/>
    <s v="North"/>
    <s v="COD"/>
    <x v="2"/>
    <n v="1274.1499999999999"/>
  </r>
  <r>
    <s v="ORD01317"/>
    <d v="2026-08-19T00:00:00"/>
    <s v="C1503"/>
    <s v="Laptop Stand"/>
    <x v="1"/>
    <n v="2"/>
    <n v="4999"/>
    <n v="0.15"/>
    <s v="North"/>
    <s v="Debit Card"/>
    <x v="0"/>
    <n v="1274.1499999999999"/>
  </r>
  <r>
    <s v="ORD01318"/>
    <d v="2026-05-30T00:00:00"/>
    <s v="C1751"/>
    <s v="Bluetooth Speaker"/>
    <x v="2"/>
    <n v="3"/>
    <n v="2499"/>
    <n v="0.05"/>
    <s v="Central"/>
    <s v="Credit Card"/>
    <x v="0"/>
    <n v="8498.2999999999993"/>
  </r>
  <r>
    <s v="ORD01319"/>
    <d v="2026-06-12T00:00:00"/>
    <s v="C1166"/>
    <s v="Keyboard"/>
    <x v="3"/>
    <n v="1"/>
    <n v="2499"/>
    <n v="0"/>
    <s v="Central"/>
    <s v="Debit Card"/>
    <x v="1"/>
    <n v="7122.15"/>
  </r>
  <r>
    <s v="ORD01320"/>
    <d v="2026-03-28T00:00:00"/>
    <s v="C1392"/>
    <s v="Webcam"/>
    <x v="1"/>
    <n v="1"/>
    <n v="4999"/>
    <n v="0"/>
    <s v="Central"/>
    <s v="Net Banking"/>
    <x v="0"/>
    <n v="2499"/>
  </r>
  <r>
    <s v="ORD01321"/>
    <d v="2026-09-20T00:00:00"/>
    <s v="C1629"/>
    <s v="USB-C Hub"/>
    <x v="4"/>
    <n v="2"/>
    <n v="1999"/>
    <n v="0.1"/>
    <s v="East"/>
    <s v="UPI"/>
    <x v="1"/>
    <n v="4999"/>
  </r>
  <r>
    <s v="ORD01322"/>
    <d v="2026-06-12T00:00:00"/>
    <s v="C1800"/>
    <s v="Laptop Stand"/>
    <x v="2"/>
    <n v="5"/>
    <n v="7999"/>
    <n v="0.1"/>
    <s v="Central"/>
    <s v="Net Banking"/>
    <x v="1"/>
    <n v="3598.2000000000003"/>
  </r>
  <r>
    <s v="ORD01323"/>
    <d v="2026-08-14T00:00:00"/>
    <s v="C1711"/>
    <s v="Webcam"/>
    <x v="0"/>
    <n v="2"/>
    <n v="799"/>
    <n v="0.05"/>
    <s v="Central"/>
    <s v="Net Banking"/>
    <x v="0"/>
    <n v="35995.5"/>
  </r>
  <r>
    <s v="ORD01324"/>
    <d v="2026-06-07T00:00:00"/>
    <s v="C1232"/>
    <s v="Laptop Stand"/>
    <x v="0"/>
    <n v="4"/>
    <n v="2499"/>
    <n v="0.1"/>
    <s v="West"/>
    <s v="Credit Card"/>
    <x v="1"/>
    <n v="1518.1"/>
  </r>
  <r>
    <s v="ORD01325"/>
    <d v="2026-01-15T00:00:00"/>
    <s v="C1324"/>
    <s v="USB-C Hub"/>
    <x v="0"/>
    <n v="5"/>
    <n v="1999"/>
    <n v="0"/>
    <s v="West"/>
    <s v="COD"/>
    <x v="0"/>
    <n v="8996.4"/>
  </r>
  <r>
    <s v="ORD01326"/>
    <d v="2026-06-28T00:00:00"/>
    <s v="C1044"/>
    <s v="USB-C Hub"/>
    <x v="2"/>
    <n v="4"/>
    <n v="1999"/>
    <n v="0.05"/>
    <s v="South"/>
    <s v="Credit Card"/>
    <x v="2"/>
    <n v="9995"/>
  </r>
  <r>
    <s v="ORD01327"/>
    <d v="2026-06-27T00:00:00"/>
    <s v="C1558"/>
    <s v="Bluetooth Speaker"/>
    <x v="0"/>
    <n v="5"/>
    <n v="1999"/>
    <n v="0"/>
    <s v="South"/>
    <s v="UPI"/>
    <x v="0"/>
    <n v="7596.2"/>
  </r>
  <r>
    <s v="ORD01328"/>
    <d v="2026-01-26T00:00:00"/>
    <s v="C1089"/>
    <s v="Wireless Mouse"/>
    <x v="1"/>
    <n v="3"/>
    <n v="499"/>
    <n v="0"/>
    <s v="South"/>
    <s v="Credit Card"/>
    <x v="2"/>
    <n v="9995"/>
  </r>
  <r>
    <s v="ORD01329"/>
    <d v="2026-03-22T00:00:00"/>
    <s v="C1363"/>
    <s v="Webcam"/>
    <x v="0"/>
    <n v="1"/>
    <n v="999"/>
    <n v="0"/>
    <s v="North"/>
    <s v="Net Banking"/>
    <x v="0"/>
    <n v="1497"/>
  </r>
  <r>
    <s v="ORD01330"/>
    <d v="2026-02-07T00:00:00"/>
    <s v="C1665"/>
    <s v="Bluetooth Speaker"/>
    <x v="4"/>
    <n v="4"/>
    <n v="7999"/>
    <n v="0"/>
    <s v="Central"/>
    <s v="UPI"/>
    <x v="0"/>
    <n v="999"/>
  </r>
  <r>
    <s v="ORD01331"/>
    <d v="2026-05-02T00:00:00"/>
    <s v="C1422"/>
    <s v="Headphones"/>
    <x v="2"/>
    <n v="3"/>
    <n v="2499"/>
    <n v="0"/>
    <s v="South"/>
    <s v="COD"/>
    <x v="1"/>
    <n v="31996"/>
  </r>
  <r>
    <s v="ORD01332"/>
    <d v="2026-08-03T00:00:00"/>
    <s v="C1011"/>
    <s v="Wireless Mouse"/>
    <x v="3"/>
    <n v="1"/>
    <n v="7999"/>
    <n v="0"/>
    <s v="South"/>
    <s v="Credit Card"/>
    <x v="0"/>
    <n v="7497"/>
  </r>
  <r>
    <s v="ORD01333"/>
    <d v="2026-05-10T00:00:00"/>
    <s v="C1734"/>
    <s v="Headphones"/>
    <x v="4"/>
    <n v="2"/>
    <n v="499"/>
    <n v="0"/>
    <s v="East"/>
    <s v="UPI"/>
    <x v="0"/>
    <n v="7999"/>
  </r>
  <r>
    <s v="ORD01334"/>
    <d v="2026-03-29T00:00:00"/>
    <s v="C1090"/>
    <s v="Laptop Stand"/>
    <x v="4"/>
    <n v="3"/>
    <n v="1499"/>
    <n v="0"/>
    <s v="North"/>
    <s v="COD"/>
    <x v="0"/>
    <n v="998"/>
  </r>
  <r>
    <s v="ORD01335"/>
    <d v="2026-08-23T00:00:00"/>
    <s v="C1666"/>
    <s v="Keyboard"/>
    <x v="3"/>
    <n v="2"/>
    <n v="4999"/>
    <n v="0"/>
    <s v="North"/>
    <s v="COD"/>
    <x v="0"/>
    <n v="4497"/>
  </r>
  <r>
    <s v="ORD01336"/>
    <d v="2026-07-09T00:00:00"/>
    <s v="C1216"/>
    <s v="Keyboard"/>
    <x v="0"/>
    <n v="1"/>
    <n v="4999"/>
    <n v="0"/>
    <s v="Central"/>
    <s v="UPI"/>
    <x v="1"/>
    <n v="9998"/>
  </r>
  <r>
    <s v="ORD01337"/>
    <d v="2026-03-27T00:00:00"/>
    <s v="C1523"/>
    <s v="Laptop Stand"/>
    <x v="4"/>
    <n v="3"/>
    <n v="7999"/>
    <n v="0.05"/>
    <s v="North"/>
    <s v="Net Banking"/>
    <x v="0"/>
    <n v="4999"/>
  </r>
  <r>
    <s v="ORD01338"/>
    <d v="2026-01-09T00:00:00"/>
    <s v="C1126"/>
    <s v="Webcam"/>
    <x v="4"/>
    <n v="2"/>
    <n v="4999"/>
    <n v="0"/>
    <s v="South"/>
    <s v="Net Banking"/>
    <x v="0"/>
    <n v="22797.149999999998"/>
  </r>
  <r>
    <s v="ORD01339"/>
    <d v="2026-06-30T00:00:00"/>
    <s v="C1328"/>
    <s v="Laptop Stand"/>
    <x v="2"/>
    <n v="2"/>
    <n v="1299"/>
    <n v="0"/>
    <s v="West"/>
    <s v="Debit Card"/>
    <x v="0"/>
    <n v="9998"/>
  </r>
  <r>
    <s v="ORD01340"/>
    <d v="2026-09-16T00:00:00"/>
    <s v="C1590"/>
    <s v="Monitor"/>
    <x v="3"/>
    <n v="3"/>
    <n v="2499"/>
    <n v="0.05"/>
    <s v="West"/>
    <s v="COD"/>
    <x v="0"/>
    <n v="2598"/>
  </r>
  <r>
    <s v="ORD01341"/>
    <d v="2026-03-27T00:00:00"/>
    <s v="C1601"/>
    <s v="USB-C Hub"/>
    <x v="3"/>
    <n v="5"/>
    <n v="1999"/>
    <n v="0"/>
    <s v="Central"/>
    <s v="UPI"/>
    <x v="0"/>
    <n v="7122.15"/>
  </r>
  <r>
    <s v="ORD01342"/>
    <d v="2026-09-06T00:00:00"/>
    <s v="C1428"/>
    <s v="Headphones"/>
    <x v="2"/>
    <n v="1"/>
    <n v="499"/>
    <n v="0.1"/>
    <s v="Central"/>
    <s v="COD"/>
    <x v="0"/>
    <n v="9995"/>
  </r>
  <r>
    <s v="ORD01343"/>
    <d v="2026-07-09T00:00:00"/>
    <s v="C1305"/>
    <s v="USB-C Hub"/>
    <x v="3"/>
    <n v="2"/>
    <n v="999"/>
    <n v="0.15"/>
    <s v="North"/>
    <s v="Net Banking"/>
    <x v="0"/>
    <n v="449.1"/>
  </r>
  <r>
    <s v="ORD01344"/>
    <d v="2026-01-11T00:00:00"/>
    <s v="C1753"/>
    <s v="Power Bank"/>
    <x v="3"/>
    <n v="2"/>
    <n v="1499"/>
    <n v="0.15"/>
    <s v="Central"/>
    <s v="Debit Card"/>
    <x v="0"/>
    <n v="1698.3"/>
  </r>
  <r>
    <s v="ORD01345"/>
    <d v="2026-09-26T00:00:00"/>
    <s v="C1211"/>
    <s v="Monitor"/>
    <x v="3"/>
    <n v="2"/>
    <n v="2499"/>
    <n v="0"/>
    <s v="South"/>
    <s v="Credit Card"/>
    <x v="0"/>
    <n v="2548.2999999999997"/>
  </r>
  <r>
    <s v="ORD01346"/>
    <d v="2026-01-24T00:00:00"/>
    <s v="C1435"/>
    <s v="Power Bank"/>
    <x v="1"/>
    <n v="1"/>
    <n v="499"/>
    <n v="0"/>
    <s v="South"/>
    <s v="Debit Card"/>
    <x v="2"/>
    <n v="4998"/>
  </r>
  <r>
    <s v="ORD01347"/>
    <d v="2026-05-22T00:00:00"/>
    <s v="C1164"/>
    <s v="Webcam"/>
    <x v="3"/>
    <n v="3"/>
    <n v="799"/>
    <n v="0.15"/>
    <s v="West"/>
    <s v="UPI"/>
    <x v="0"/>
    <n v="499"/>
  </r>
  <r>
    <s v="ORD01348"/>
    <d v="2026-06-18T00:00:00"/>
    <s v="C1744"/>
    <s v="Laptop Stand"/>
    <x v="0"/>
    <n v="4"/>
    <n v="799"/>
    <n v="0.1"/>
    <s v="East"/>
    <s v="Debit Card"/>
    <x v="1"/>
    <n v="2037.45"/>
  </r>
  <r>
    <s v="ORD01349"/>
    <d v="2026-08-13T00:00:00"/>
    <s v="C1130"/>
    <s v="Monitor"/>
    <x v="3"/>
    <n v="4"/>
    <n v="1999"/>
    <n v="0.1"/>
    <s v="North"/>
    <s v="COD"/>
    <x v="0"/>
    <n v="2876.4"/>
  </r>
  <r>
    <s v="ORD01350"/>
    <d v="2026-06-25T00:00:00"/>
    <s v="C1734"/>
    <s v="Monitor"/>
    <x v="1"/>
    <n v="2"/>
    <n v="1299"/>
    <n v="0"/>
    <s v="North"/>
    <s v="Credit Card"/>
    <x v="1"/>
    <n v="7196.4000000000005"/>
  </r>
  <r>
    <s v="ORD01351"/>
    <d v="2026-03-02T00:00:00"/>
    <s v="C1154"/>
    <s v="Keyboard"/>
    <x v="3"/>
    <n v="3"/>
    <n v="999"/>
    <n v="0.15"/>
    <s v="East"/>
    <s v="UPI"/>
    <x v="2"/>
    <n v="2598"/>
  </r>
  <r>
    <s v="ORD01352"/>
    <d v="2026-06-28T00:00:00"/>
    <s v="C1645"/>
    <s v="Webcam"/>
    <x v="0"/>
    <n v="3"/>
    <n v="499"/>
    <n v="0.15"/>
    <s v="North"/>
    <s v="COD"/>
    <x v="0"/>
    <n v="2547.4499999999998"/>
  </r>
  <r>
    <s v="ORD01353"/>
    <d v="2026-08-20T00:00:00"/>
    <s v="C1415"/>
    <s v="Webcam"/>
    <x v="2"/>
    <n v="2"/>
    <n v="1999"/>
    <n v="0.15"/>
    <s v="West"/>
    <s v="UPI"/>
    <x v="1"/>
    <n v="1272.45"/>
  </r>
  <r>
    <s v="ORD01354"/>
    <d v="2026-03-23T00:00:00"/>
    <s v="C1105"/>
    <s v="Power Bank"/>
    <x v="2"/>
    <n v="2"/>
    <n v="4999"/>
    <n v="0.1"/>
    <s v="South"/>
    <s v="Credit Card"/>
    <x v="2"/>
    <n v="3398.2999999999997"/>
  </r>
  <r>
    <s v="ORD01355"/>
    <d v="2026-06-14T00:00:00"/>
    <s v="C1757"/>
    <s v="Mechanical Keyboard"/>
    <x v="2"/>
    <n v="2"/>
    <n v="1299"/>
    <n v="0.1"/>
    <s v="East"/>
    <s v="Net Banking"/>
    <x v="0"/>
    <n v="8998.2000000000007"/>
  </r>
  <r>
    <s v="ORD01356"/>
    <d v="2026-04-16T00:00:00"/>
    <s v="C1029"/>
    <s v="Monitor"/>
    <x v="0"/>
    <n v="5"/>
    <n v="999"/>
    <n v="0.15"/>
    <s v="West"/>
    <s v="Debit Card"/>
    <x v="0"/>
    <n v="2338.2000000000003"/>
  </r>
  <r>
    <s v="ORD01357"/>
    <d v="2026-07-12T00:00:00"/>
    <s v="C1672"/>
    <s v="Bluetooth Speaker"/>
    <x v="3"/>
    <n v="1"/>
    <n v="7999"/>
    <n v="0.15"/>
    <s v="North"/>
    <s v="Debit Card"/>
    <x v="0"/>
    <n v="4245.75"/>
  </r>
  <r>
    <s v="ORD01358"/>
    <d v="2026-07-05T00:00:00"/>
    <s v="C1714"/>
    <s v="Monitor"/>
    <x v="2"/>
    <n v="3"/>
    <n v="2499"/>
    <n v="0"/>
    <s v="Central"/>
    <s v="Credit Card"/>
    <x v="2"/>
    <n v="6799.15"/>
  </r>
  <r>
    <s v="ORD01359"/>
    <d v="2026-03-13T00:00:00"/>
    <s v="C1646"/>
    <s v="Power Bank"/>
    <x v="3"/>
    <n v="5"/>
    <n v="2499"/>
    <n v="0.1"/>
    <s v="East"/>
    <s v="Debit Card"/>
    <x v="0"/>
    <n v="7497"/>
  </r>
  <r>
    <s v="ORD01360"/>
    <d v="2026-01-12T00:00:00"/>
    <s v="C1237"/>
    <s v="USB-C Hub"/>
    <x v="0"/>
    <n v="2"/>
    <n v="1299"/>
    <n v="0"/>
    <s v="North"/>
    <s v="COD"/>
    <x v="1"/>
    <n v="11245.5"/>
  </r>
  <r>
    <s v="ORD01361"/>
    <d v="2026-08-15T00:00:00"/>
    <s v="C1110"/>
    <s v="Power Bank"/>
    <x v="0"/>
    <n v="3"/>
    <n v="1299"/>
    <n v="0.15"/>
    <s v="West"/>
    <s v="Net Banking"/>
    <x v="0"/>
    <n v="2598"/>
  </r>
  <r>
    <s v="ORD01362"/>
    <d v="2026-01-15T00:00:00"/>
    <s v="C1570"/>
    <s v="Mechanical Keyboard"/>
    <x v="4"/>
    <n v="2"/>
    <n v="999"/>
    <n v="0.05"/>
    <s v="North"/>
    <s v="Net Banking"/>
    <x v="2"/>
    <n v="3312.45"/>
  </r>
  <r>
    <s v="ORD01363"/>
    <d v="2026-05-13T00:00:00"/>
    <s v="C1414"/>
    <s v="Monitor"/>
    <x v="4"/>
    <n v="2"/>
    <n v="799"/>
    <n v="0.15"/>
    <s v="Central"/>
    <s v="UPI"/>
    <x v="2"/>
    <n v="1898.1"/>
  </r>
  <r>
    <s v="ORD01364"/>
    <d v="2026-06-08T00:00:00"/>
    <s v="C1199"/>
    <s v="Headphones"/>
    <x v="2"/>
    <n v="4"/>
    <n v="1499"/>
    <n v="0.15"/>
    <s v="East"/>
    <s v="Net Banking"/>
    <x v="1"/>
    <n v="1358.3"/>
  </r>
  <r>
    <s v="ORD01365"/>
    <d v="2026-03-10T00:00:00"/>
    <s v="C1647"/>
    <s v="USB-C Hub"/>
    <x v="4"/>
    <n v="1"/>
    <n v="799"/>
    <n v="0"/>
    <s v="West"/>
    <s v="Net Banking"/>
    <x v="1"/>
    <n v="5096.5999999999995"/>
  </r>
  <r>
    <s v="ORD01366"/>
    <d v="2026-07-21T00:00:00"/>
    <s v="C1057"/>
    <s v="Headphones"/>
    <x v="3"/>
    <n v="4"/>
    <n v="4999"/>
    <n v="0"/>
    <s v="East"/>
    <s v="Net Banking"/>
    <x v="1"/>
    <n v="799"/>
  </r>
  <r>
    <s v="ORD01367"/>
    <d v="2026-08-09T00:00:00"/>
    <s v="C1250"/>
    <s v="Headphones"/>
    <x v="3"/>
    <n v="2"/>
    <n v="1299"/>
    <n v="0"/>
    <s v="West"/>
    <s v="Debit Card"/>
    <x v="0"/>
    <n v="19996"/>
  </r>
  <r>
    <s v="ORD01368"/>
    <d v="2026-01-11T00:00:00"/>
    <s v="C1208"/>
    <s v="Bluetooth Speaker"/>
    <x v="3"/>
    <n v="5"/>
    <n v="2499"/>
    <n v="0.15"/>
    <s v="South"/>
    <s v="COD"/>
    <x v="0"/>
    <n v="2598"/>
  </r>
  <r>
    <s v="ORD01369"/>
    <d v="2026-05-21T00:00:00"/>
    <s v="C1379"/>
    <s v="Power Bank"/>
    <x v="0"/>
    <n v="4"/>
    <n v="7999"/>
    <n v="0.1"/>
    <s v="West"/>
    <s v="Debit Card"/>
    <x v="1"/>
    <n v="10620.75"/>
  </r>
  <r>
    <s v="ORD01370"/>
    <d v="2026-03-17T00:00:00"/>
    <s v="C1191"/>
    <s v="Power Bank"/>
    <x v="2"/>
    <n v="5"/>
    <n v="7999"/>
    <n v="0"/>
    <s v="Central"/>
    <s v="COD"/>
    <x v="2"/>
    <n v="28796.400000000001"/>
  </r>
  <r>
    <s v="ORD01371"/>
    <d v="2026-03-20T00:00:00"/>
    <s v="C1169"/>
    <s v="USB-C Hub"/>
    <x v="3"/>
    <n v="1"/>
    <n v="4999"/>
    <n v="0"/>
    <s v="South"/>
    <s v="UPI"/>
    <x v="2"/>
    <n v="39995"/>
  </r>
  <r>
    <s v="ORD01372"/>
    <d v="2026-07-13T00:00:00"/>
    <s v="C1253"/>
    <s v="Webcam"/>
    <x v="4"/>
    <n v="2"/>
    <n v="599"/>
    <n v="0.05"/>
    <s v="West"/>
    <s v="COD"/>
    <x v="0"/>
    <n v="4999"/>
  </r>
  <r>
    <s v="ORD01373"/>
    <d v="2026-07-19T00:00:00"/>
    <s v="C1469"/>
    <s v="Mechanical Keyboard"/>
    <x v="1"/>
    <n v="5"/>
    <n v="1999"/>
    <n v="0.1"/>
    <s v="West"/>
    <s v="Credit Card"/>
    <x v="1"/>
    <n v="1138.0999999999999"/>
  </r>
  <r>
    <s v="ORD01374"/>
    <d v="2026-06-12T00:00:00"/>
    <s v="C1333"/>
    <s v="Monitor"/>
    <x v="0"/>
    <n v="4"/>
    <n v="499"/>
    <n v="0.1"/>
    <s v="East"/>
    <s v="UPI"/>
    <x v="2"/>
    <n v="8995.5"/>
  </r>
  <r>
    <s v="ORD01375"/>
    <d v="2026-01-29T00:00:00"/>
    <s v="C1741"/>
    <s v="Laptop Stand"/>
    <x v="4"/>
    <n v="2"/>
    <n v="1299"/>
    <n v="0"/>
    <s v="North"/>
    <s v="Credit Card"/>
    <x v="2"/>
    <n v="1796.4"/>
  </r>
  <r>
    <s v="ORD01376"/>
    <d v="2026-08-08T00:00:00"/>
    <s v="C1781"/>
    <s v="Mechanical Keyboard"/>
    <x v="3"/>
    <n v="3"/>
    <n v="2499"/>
    <n v="0"/>
    <s v="East"/>
    <s v="Debit Card"/>
    <x v="1"/>
    <n v="2598"/>
  </r>
  <r>
    <s v="ORD01377"/>
    <d v="2026-09-24T00:00:00"/>
    <s v="C1229"/>
    <s v="Power Bank"/>
    <x v="0"/>
    <n v="1"/>
    <n v="2499"/>
    <n v="0.15"/>
    <s v="West"/>
    <s v="Credit Card"/>
    <x v="0"/>
    <n v="7497"/>
  </r>
  <r>
    <s v="ORD01378"/>
    <d v="2026-02-02T00:00:00"/>
    <s v="C1233"/>
    <s v="Webcam"/>
    <x v="2"/>
    <n v="4"/>
    <n v="999"/>
    <n v="0.05"/>
    <s v="South"/>
    <s v="UPI"/>
    <x v="0"/>
    <n v="2124.15"/>
  </r>
  <r>
    <s v="ORD01379"/>
    <d v="2026-04-19T00:00:00"/>
    <s v="C1532"/>
    <s v="Keyboard"/>
    <x v="4"/>
    <n v="4"/>
    <n v="599"/>
    <n v="0.1"/>
    <s v="West"/>
    <s v="UPI"/>
    <x v="0"/>
    <n v="3796.2"/>
  </r>
  <r>
    <s v="ORD01380"/>
    <d v="2026-08-20T00:00:00"/>
    <s v="C1552"/>
    <s v="Monitor"/>
    <x v="4"/>
    <n v="3"/>
    <n v="7999"/>
    <n v="0"/>
    <s v="Central"/>
    <s v="Debit Card"/>
    <x v="0"/>
    <n v="2156.4"/>
  </r>
  <r>
    <s v="ORD01381"/>
    <d v="2026-09-26T00:00:00"/>
    <s v="C1364"/>
    <s v="USB-C Hub"/>
    <x v="4"/>
    <n v="3"/>
    <n v="2499"/>
    <n v="0"/>
    <s v="North"/>
    <s v="COD"/>
    <x v="2"/>
    <n v="23997"/>
  </r>
  <r>
    <s v="ORD01382"/>
    <d v="2026-06-02T00:00:00"/>
    <s v="C1785"/>
    <s v="Bluetooth Speaker"/>
    <x v="3"/>
    <n v="1"/>
    <n v="1999"/>
    <n v="0"/>
    <s v="West"/>
    <s v="Net Banking"/>
    <x v="1"/>
    <n v="7497"/>
  </r>
  <r>
    <s v="ORD01383"/>
    <d v="2026-05-09T00:00:00"/>
    <s v="C1320"/>
    <s v="Wireless Mouse"/>
    <x v="1"/>
    <n v="1"/>
    <n v="2499"/>
    <n v="0"/>
    <s v="South"/>
    <s v="Credit Card"/>
    <x v="1"/>
    <n v="1999"/>
  </r>
  <r>
    <s v="ORD01384"/>
    <d v="2026-09-10T00:00:00"/>
    <s v="C1068"/>
    <s v="Webcam"/>
    <x v="2"/>
    <n v="4"/>
    <n v="1499"/>
    <n v="0"/>
    <s v="South"/>
    <s v="COD"/>
    <x v="0"/>
    <n v="2499"/>
  </r>
  <r>
    <s v="ORD01385"/>
    <d v="2026-01-01T00:00:00"/>
    <s v="C1780"/>
    <s v="Laptop Stand"/>
    <x v="0"/>
    <n v="4"/>
    <n v="999"/>
    <n v="0.15"/>
    <s v="North"/>
    <s v="Debit Card"/>
    <x v="1"/>
    <n v="5996"/>
  </r>
  <r>
    <s v="ORD01386"/>
    <d v="2026-08-24T00:00:00"/>
    <s v="C1558"/>
    <s v="Laptop Stand"/>
    <x v="4"/>
    <n v="3"/>
    <n v="999"/>
    <n v="0"/>
    <s v="Central"/>
    <s v="Credit Card"/>
    <x v="1"/>
    <n v="3396.6"/>
  </r>
  <r>
    <s v="ORD01387"/>
    <d v="2026-01-09T00:00:00"/>
    <s v="C1479"/>
    <s v="Monitor"/>
    <x v="2"/>
    <n v="1"/>
    <n v="1999"/>
    <n v="0.05"/>
    <s v="South"/>
    <s v="Net Banking"/>
    <x v="1"/>
    <n v="2997"/>
  </r>
  <r>
    <s v="ORD01388"/>
    <d v="2026-01-06T00:00:00"/>
    <s v="C1083"/>
    <s v="Headphones"/>
    <x v="2"/>
    <n v="5"/>
    <n v="2499"/>
    <n v="0"/>
    <s v="East"/>
    <s v="Debit Card"/>
    <x v="1"/>
    <n v="1899.05"/>
  </r>
  <r>
    <s v="ORD01389"/>
    <d v="2026-09-23T00:00:00"/>
    <s v="C1559"/>
    <s v="Laptop Stand"/>
    <x v="3"/>
    <n v="5"/>
    <n v="999"/>
    <n v="0"/>
    <s v="South"/>
    <s v="Debit Card"/>
    <x v="0"/>
    <n v="12495"/>
  </r>
  <r>
    <s v="ORD01390"/>
    <d v="2026-08-22T00:00:00"/>
    <s v="C1200"/>
    <s v="Laptop Stand"/>
    <x v="0"/>
    <n v="3"/>
    <n v="1999"/>
    <n v="0"/>
    <s v="West"/>
    <s v="Credit Card"/>
    <x v="1"/>
    <n v="4995"/>
  </r>
  <r>
    <s v="ORD01391"/>
    <d v="2026-08-02T00:00:00"/>
    <s v="C1648"/>
    <s v="Webcam"/>
    <x v="3"/>
    <n v="2"/>
    <n v="499"/>
    <n v="0"/>
    <s v="West"/>
    <s v="COD"/>
    <x v="1"/>
    <n v="5997"/>
  </r>
  <r>
    <s v="ORD01392"/>
    <d v="2026-02-24T00:00:00"/>
    <s v="C1201"/>
    <s v="Mechanical Keyboard"/>
    <x v="2"/>
    <n v="1"/>
    <n v="7999"/>
    <n v="0.05"/>
    <s v="South"/>
    <s v="Credit Card"/>
    <x v="0"/>
    <n v="998"/>
  </r>
  <r>
    <s v="ORD01393"/>
    <d v="2026-04-19T00:00:00"/>
    <s v="C1196"/>
    <s v="Laptop Stand"/>
    <x v="3"/>
    <n v="3"/>
    <n v="2499"/>
    <n v="0"/>
    <s v="Central"/>
    <s v="Net Banking"/>
    <x v="0"/>
    <n v="7599.0499999999993"/>
  </r>
  <r>
    <s v="ORD01394"/>
    <d v="2026-03-03T00:00:00"/>
    <s v="C1206"/>
    <s v="Wireless Mouse"/>
    <x v="1"/>
    <n v="1"/>
    <n v="1999"/>
    <n v="0.05"/>
    <s v="North"/>
    <s v="Net Banking"/>
    <x v="0"/>
    <n v="7497"/>
  </r>
  <r>
    <s v="ORD01395"/>
    <d v="2026-07-11T00:00:00"/>
    <s v="C1009"/>
    <s v="Laptop Stand"/>
    <x v="0"/>
    <n v="1"/>
    <n v="999"/>
    <n v="0.15"/>
    <s v="South"/>
    <s v="UPI"/>
    <x v="0"/>
    <n v="1899.05"/>
  </r>
  <r>
    <s v="ORD01396"/>
    <d v="2026-04-28T00:00:00"/>
    <s v="C1733"/>
    <s v="Power Bank"/>
    <x v="4"/>
    <n v="5"/>
    <n v="599"/>
    <n v="0.1"/>
    <s v="East"/>
    <s v="COD"/>
    <x v="0"/>
    <n v="849.15"/>
  </r>
  <r>
    <s v="ORD01397"/>
    <d v="2026-01-09T00:00:00"/>
    <s v="C1504"/>
    <s v="Keyboard"/>
    <x v="1"/>
    <n v="2"/>
    <n v="4999"/>
    <n v="0"/>
    <s v="Central"/>
    <s v="Credit Card"/>
    <x v="1"/>
    <n v="2695.5"/>
  </r>
  <r>
    <s v="ORD01398"/>
    <d v="2026-03-26T00:00:00"/>
    <s v="C1431"/>
    <s v="Headphones"/>
    <x v="3"/>
    <n v="2"/>
    <n v="1499"/>
    <n v="0"/>
    <s v="North"/>
    <s v="Debit Card"/>
    <x v="0"/>
    <n v="9998"/>
  </r>
  <r>
    <s v="ORD01399"/>
    <d v="2026-01-23T00:00:00"/>
    <s v="C1215"/>
    <s v="Keyboard"/>
    <x v="0"/>
    <n v="4"/>
    <n v="1499"/>
    <n v="0.1"/>
    <s v="East"/>
    <s v="Net Banking"/>
    <x v="0"/>
    <n v="2998"/>
  </r>
  <r>
    <s v="ORD01400"/>
    <d v="2026-01-26T00:00:00"/>
    <s v="C1643"/>
    <s v="Mechanical Keyboard"/>
    <x v="4"/>
    <n v="2"/>
    <n v="799"/>
    <n v="0"/>
    <s v="Central"/>
    <s v="UPI"/>
    <x v="0"/>
    <n v="5396.4000000000005"/>
  </r>
  <r>
    <s v="ORD01401"/>
    <d v="2026-02-17T00:00:00"/>
    <s v="C1340"/>
    <s v="Keyboard"/>
    <x v="3"/>
    <n v="1"/>
    <n v="599"/>
    <n v="0.1"/>
    <s v="East"/>
    <s v="Net Banking"/>
    <x v="0"/>
    <n v="1598"/>
  </r>
  <r>
    <s v="ORD01402"/>
    <d v="2026-04-02T00:00:00"/>
    <s v="C1604"/>
    <s v="Webcam"/>
    <x v="0"/>
    <n v="1"/>
    <n v="2499"/>
    <n v="0"/>
    <s v="South"/>
    <s v="Net Banking"/>
    <x v="0"/>
    <n v="539.1"/>
  </r>
  <r>
    <s v="ORD01403"/>
    <d v="2026-06-05T00:00:00"/>
    <s v="C1084"/>
    <s v="Bluetooth Speaker"/>
    <x v="0"/>
    <n v="1"/>
    <n v="1499"/>
    <n v="0"/>
    <s v="West"/>
    <s v="COD"/>
    <x v="0"/>
    <n v="2499"/>
  </r>
  <r>
    <s v="ORD01404"/>
    <d v="2026-01-02T00:00:00"/>
    <s v="C1791"/>
    <s v="USB-C Hub"/>
    <x v="2"/>
    <n v="1"/>
    <n v="799"/>
    <n v="0.15"/>
    <s v="East"/>
    <s v="Net Banking"/>
    <x v="0"/>
    <n v="1499"/>
  </r>
  <r>
    <s v="ORD01405"/>
    <d v="2026-01-31T00:00:00"/>
    <s v="C1356"/>
    <s v="USB-C Hub"/>
    <x v="1"/>
    <n v="5"/>
    <n v="7999"/>
    <n v="0.1"/>
    <s v="East"/>
    <s v="COD"/>
    <x v="1"/>
    <n v="679.15"/>
  </r>
  <r>
    <s v="ORD01406"/>
    <d v="2026-05-08T00:00:00"/>
    <s v="C1685"/>
    <s v="Bluetooth Speaker"/>
    <x v="2"/>
    <n v="2"/>
    <n v="2499"/>
    <n v="0.1"/>
    <s v="West"/>
    <s v="Debit Card"/>
    <x v="0"/>
    <n v="35995.5"/>
  </r>
  <r>
    <s v="ORD01407"/>
    <d v="2026-05-16T00:00:00"/>
    <s v="C1553"/>
    <s v="Bluetooth Speaker"/>
    <x v="4"/>
    <n v="4"/>
    <n v="2499"/>
    <n v="0.1"/>
    <s v="West"/>
    <s v="COD"/>
    <x v="1"/>
    <n v="4498.2"/>
  </r>
  <r>
    <s v="ORD01408"/>
    <d v="2026-04-10T00:00:00"/>
    <s v="C1340"/>
    <s v="Bluetooth Speaker"/>
    <x v="2"/>
    <n v="5"/>
    <n v="2499"/>
    <n v="0.1"/>
    <s v="East"/>
    <s v="Debit Card"/>
    <x v="0"/>
    <n v="8996.4"/>
  </r>
  <r>
    <s v="ORD01409"/>
    <d v="2026-05-24T00:00:00"/>
    <s v="C1266"/>
    <s v="Headphones"/>
    <x v="2"/>
    <n v="2"/>
    <n v="999"/>
    <n v="0.05"/>
    <s v="Central"/>
    <s v="COD"/>
    <x v="1"/>
    <n v="11245.5"/>
  </r>
  <r>
    <s v="ORD01410"/>
    <d v="2026-07-05T00:00:00"/>
    <s v="C1774"/>
    <s v="Bluetooth Speaker"/>
    <x v="2"/>
    <n v="2"/>
    <n v="599"/>
    <n v="0"/>
    <s v="West"/>
    <s v="Credit Card"/>
    <x v="0"/>
    <n v="1898.1"/>
  </r>
  <r>
    <s v="ORD01411"/>
    <d v="2026-09-03T00:00:00"/>
    <s v="C1053"/>
    <s v="Bluetooth Speaker"/>
    <x v="3"/>
    <n v="5"/>
    <n v="1499"/>
    <n v="0.1"/>
    <s v="South"/>
    <s v="Net Banking"/>
    <x v="0"/>
    <n v="1198"/>
  </r>
  <r>
    <s v="ORD01412"/>
    <d v="2026-09-18T00:00:00"/>
    <s v="C1618"/>
    <s v="Webcam"/>
    <x v="3"/>
    <n v="5"/>
    <n v="7999"/>
    <n v="0.15"/>
    <s v="West"/>
    <s v="Net Banking"/>
    <x v="0"/>
    <n v="6745.5"/>
  </r>
  <r>
    <s v="ORD01413"/>
    <d v="2026-03-23T00:00:00"/>
    <s v="C1211"/>
    <s v="USB-C Hub"/>
    <x v="0"/>
    <n v="1"/>
    <n v="2499"/>
    <n v="0"/>
    <s v="Central"/>
    <s v="Net Banking"/>
    <x v="1"/>
    <n v="33995.75"/>
  </r>
  <r>
    <s v="ORD01414"/>
    <d v="2026-07-25T00:00:00"/>
    <s v="C1482"/>
    <s v="Power Bank"/>
    <x v="1"/>
    <n v="1"/>
    <n v="499"/>
    <n v="0.15"/>
    <s v="West"/>
    <s v="Net Banking"/>
    <x v="0"/>
    <n v="2499"/>
  </r>
  <r>
    <s v="ORD01415"/>
    <d v="2026-01-02T00:00:00"/>
    <s v="C1214"/>
    <s v="USB-C Hub"/>
    <x v="4"/>
    <n v="1"/>
    <n v="799"/>
    <n v="0"/>
    <s v="East"/>
    <s v="COD"/>
    <x v="0"/>
    <n v="424.15"/>
  </r>
  <r>
    <s v="ORD01416"/>
    <d v="2026-08-22T00:00:00"/>
    <s v="C1475"/>
    <s v="Power Bank"/>
    <x v="4"/>
    <n v="2"/>
    <n v="4999"/>
    <n v="0.1"/>
    <s v="North"/>
    <s v="COD"/>
    <x v="0"/>
    <n v="799"/>
  </r>
  <r>
    <s v="ORD01417"/>
    <d v="2026-08-12T00:00:00"/>
    <s v="C1464"/>
    <s v="Webcam"/>
    <x v="1"/>
    <n v="1"/>
    <n v="499"/>
    <n v="0.05"/>
    <s v="South"/>
    <s v="UPI"/>
    <x v="0"/>
    <n v="8998.2000000000007"/>
  </r>
  <r>
    <s v="ORD01418"/>
    <d v="2026-07-02T00:00:00"/>
    <s v="C1396"/>
    <s v="Headphones"/>
    <x v="0"/>
    <n v="4"/>
    <n v="1299"/>
    <n v="0"/>
    <s v="Central"/>
    <s v="COD"/>
    <x v="0"/>
    <n v="474.04999999999995"/>
  </r>
  <r>
    <s v="ORD01419"/>
    <d v="2026-07-04T00:00:00"/>
    <s v="C1302"/>
    <s v="Keyboard"/>
    <x v="4"/>
    <n v="3"/>
    <n v="7999"/>
    <n v="0.05"/>
    <s v="South"/>
    <s v="UPI"/>
    <x v="0"/>
    <n v="5196"/>
  </r>
  <r>
    <s v="ORD01420"/>
    <d v="2026-02-23T00:00:00"/>
    <s v="C1249"/>
    <s v="Headphones"/>
    <x v="0"/>
    <n v="4"/>
    <n v="1499"/>
    <n v="0.15"/>
    <s v="East"/>
    <s v="UPI"/>
    <x v="0"/>
    <n v="22797.149999999998"/>
  </r>
  <r>
    <s v="ORD01421"/>
    <d v="2026-08-28T00:00:00"/>
    <s v="C1590"/>
    <s v="USB-C Hub"/>
    <x v="3"/>
    <n v="5"/>
    <n v="999"/>
    <n v="0.05"/>
    <s v="Central"/>
    <s v="UPI"/>
    <x v="2"/>
    <n v="5096.5999999999995"/>
  </r>
  <r>
    <s v="ORD01422"/>
    <d v="2026-04-21T00:00:00"/>
    <s v="C1498"/>
    <s v="Headphones"/>
    <x v="0"/>
    <n v="3"/>
    <n v="1299"/>
    <n v="0"/>
    <s v="South"/>
    <s v="UPI"/>
    <x v="0"/>
    <n v="4745.25"/>
  </r>
  <r>
    <s v="ORD01423"/>
    <d v="2026-02-11T00:00:00"/>
    <s v="C1049"/>
    <s v="Headphones"/>
    <x v="3"/>
    <n v="2"/>
    <n v="4999"/>
    <n v="0"/>
    <s v="South"/>
    <s v="UPI"/>
    <x v="0"/>
    <n v="3897"/>
  </r>
  <r>
    <s v="ORD01424"/>
    <d v="2026-05-29T00:00:00"/>
    <s v="C1407"/>
    <s v="Keyboard"/>
    <x v="4"/>
    <n v="3"/>
    <n v="1999"/>
    <n v="0.15"/>
    <s v="Central"/>
    <s v="Credit Card"/>
    <x v="0"/>
    <n v="9998"/>
  </r>
  <r>
    <s v="ORD01425"/>
    <d v="2026-04-09T00:00:00"/>
    <s v="C1715"/>
    <s v="Monitor"/>
    <x v="4"/>
    <n v="5"/>
    <n v="4999"/>
    <n v="0.15"/>
    <s v="East"/>
    <s v="UPI"/>
    <x v="0"/>
    <n v="5097.45"/>
  </r>
  <r>
    <s v="ORD01426"/>
    <d v="2026-01-18T00:00:00"/>
    <s v="C1532"/>
    <s v="Mechanical Keyboard"/>
    <x v="1"/>
    <n v="5"/>
    <n v="2499"/>
    <n v="0"/>
    <s v="West"/>
    <s v="Debit Card"/>
    <x v="0"/>
    <n v="21245.75"/>
  </r>
  <r>
    <s v="ORD01427"/>
    <d v="2026-05-14T00:00:00"/>
    <s v="C1008"/>
    <s v="Bluetooth Speaker"/>
    <x v="1"/>
    <n v="2"/>
    <n v="1499"/>
    <n v="0"/>
    <s v="North"/>
    <s v="Debit Card"/>
    <x v="0"/>
    <n v="12495"/>
  </r>
  <r>
    <s v="ORD01428"/>
    <d v="2026-07-08T00:00:00"/>
    <s v="C1608"/>
    <s v="Bluetooth Speaker"/>
    <x v="2"/>
    <n v="2"/>
    <n v="1499"/>
    <n v="0"/>
    <s v="West"/>
    <s v="UPI"/>
    <x v="0"/>
    <n v="2998"/>
  </r>
  <r>
    <s v="ORD01429"/>
    <d v="2026-07-24T00:00:00"/>
    <s v="C1358"/>
    <s v="Mechanical Keyboard"/>
    <x v="4"/>
    <n v="4"/>
    <n v="7999"/>
    <n v="0.05"/>
    <s v="West"/>
    <s v="Debit Card"/>
    <x v="0"/>
    <n v="2998"/>
  </r>
  <r>
    <s v="ORD01430"/>
    <d v="2026-07-26T00:00:00"/>
    <s v="C1394"/>
    <s v="Bluetooth Speaker"/>
    <x v="3"/>
    <n v="1"/>
    <n v="599"/>
    <n v="0.15"/>
    <s v="East"/>
    <s v="Credit Card"/>
    <x v="2"/>
    <n v="30396.199999999997"/>
  </r>
  <r>
    <s v="ORD01431"/>
    <d v="2026-09-12T00:00:00"/>
    <s v="C1517"/>
    <s v="Monitor"/>
    <x v="2"/>
    <n v="3"/>
    <n v="799"/>
    <n v="0.05"/>
    <s v="North"/>
    <s v="COD"/>
    <x v="0"/>
    <n v="509.15"/>
  </r>
  <r>
    <s v="ORD01432"/>
    <d v="2026-06-23T00:00:00"/>
    <s v="C1278"/>
    <s v="Keyboard"/>
    <x v="4"/>
    <n v="1"/>
    <n v="2499"/>
    <n v="0"/>
    <s v="North"/>
    <s v="Debit Card"/>
    <x v="0"/>
    <n v="2277.15"/>
  </r>
  <r>
    <s v="ORD01433"/>
    <d v="2026-03-11T00:00:00"/>
    <s v="C1415"/>
    <s v="USB-C Hub"/>
    <x v="0"/>
    <n v="2"/>
    <n v="7999"/>
    <n v="0.1"/>
    <s v="West"/>
    <s v="Debit Card"/>
    <x v="1"/>
    <n v="2499"/>
  </r>
  <r>
    <s v="ORD01434"/>
    <d v="2026-02-22T00:00:00"/>
    <s v="C1602"/>
    <s v="Headphones"/>
    <x v="0"/>
    <n v="4"/>
    <n v="1499"/>
    <n v="0.1"/>
    <s v="South"/>
    <s v="Net Banking"/>
    <x v="0"/>
    <n v="14398.2"/>
  </r>
  <r>
    <s v="ORD01435"/>
    <d v="2026-03-28T00:00:00"/>
    <s v="C1573"/>
    <s v="Webcam"/>
    <x v="3"/>
    <n v="1"/>
    <n v="999"/>
    <n v="0"/>
    <s v="Central"/>
    <s v="UPI"/>
    <x v="0"/>
    <n v="5396.4000000000005"/>
  </r>
  <r>
    <s v="ORD01436"/>
    <d v="2026-01-22T00:00:00"/>
    <s v="C1026"/>
    <s v="Monitor"/>
    <x v="4"/>
    <n v="1"/>
    <n v="799"/>
    <n v="0"/>
    <s v="West"/>
    <s v="Credit Card"/>
    <x v="0"/>
    <n v="999"/>
  </r>
  <r>
    <s v="ORD01437"/>
    <d v="2026-09-29T00:00:00"/>
    <s v="C1092"/>
    <s v="Bluetooth Speaker"/>
    <x v="2"/>
    <n v="4"/>
    <n v="599"/>
    <n v="0"/>
    <s v="East"/>
    <s v="Net Banking"/>
    <x v="0"/>
    <n v="799"/>
  </r>
  <r>
    <s v="ORD01438"/>
    <d v="2026-09-27T00:00:00"/>
    <s v="C1163"/>
    <s v="Wireless Mouse"/>
    <x v="0"/>
    <n v="1"/>
    <n v="1999"/>
    <n v="0.15"/>
    <s v="South"/>
    <s v="Net Banking"/>
    <x v="0"/>
    <n v="2396"/>
  </r>
  <r>
    <s v="ORD01439"/>
    <d v="2026-08-14T00:00:00"/>
    <s v="C1078"/>
    <s v="Wireless Mouse"/>
    <x v="2"/>
    <n v="3"/>
    <n v="1999"/>
    <n v="0"/>
    <s v="East"/>
    <s v="Debit Card"/>
    <x v="0"/>
    <n v="1699.1499999999999"/>
  </r>
  <r>
    <s v="ORD01440"/>
    <d v="2026-05-03T00:00:00"/>
    <s v="C1436"/>
    <s v="Monitor"/>
    <x v="3"/>
    <n v="4"/>
    <n v="7999"/>
    <n v="0.1"/>
    <s v="South"/>
    <s v="UPI"/>
    <x v="0"/>
    <n v="5997"/>
  </r>
  <r>
    <s v="ORD01441"/>
    <d v="2026-04-05T00:00:00"/>
    <s v="C1031"/>
    <s v="Headphones"/>
    <x v="4"/>
    <n v="5"/>
    <n v="1499"/>
    <n v="0"/>
    <s v="South"/>
    <s v="COD"/>
    <x v="1"/>
    <n v="28796.400000000001"/>
  </r>
  <r>
    <s v="ORD01442"/>
    <d v="2026-03-20T00:00:00"/>
    <s v="C1391"/>
    <s v="Wireless Mouse"/>
    <x v="3"/>
    <n v="4"/>
    <n v="499"/>
    <n v="0.05"/>
    <s v="North"/>
    <s v="COD"/>
    <x v="2"/>
    <n v="7495"/>
  </r>
  <r>
    <s v="ORD01443"/>
    <d v="2026-02-11T00:00:00"/>
    <s v="C1207"/>
    <s v="Monitor"/>
    <x v="4"/>
    <n v="1"/>
    <n v="599"/>
    <n v="0.1"/>
    <s v="South"/>
    <s v="Credit Card"/>
    <x v="1"/>
    <n v="1896.1999999999998"/>
  </r>
  <r>
    <s v="ORD01444"/>
    <d v="2026-04-22T00:00:00"/>
    <s v="C1301"/>
    <s v="Keyboard"/>
    <x v="2"/>
    <n v="2"/>
    <n v="2499"/>
    <n v="0.15"/>
    <s v="West"/>
    <s v="Debit Card"/>
    <x v="0"/>
    <n v="539.1"/>
  </r>
  <r>
    <s v="ORD01445"/>
    <d v="2026-02-01T00:00:00"/>
    <s v="C1393"/>
    <s v="Webcam"/>
    <x v="2"/>
    <n v="5"/>
    <n v="4999"/>
    <n v="0"/>
    <s v="Central"/>
    <s v="Credit Card"/>
    <x v="0"/>
    <n v="4248.3"/>
  </r>
  <r>
    <s v="ORD01446"/>
    <d v="2026-06-16T00:00:00"/>
    <s v="C1232"/>
    <s v="Laptop Stand"/>
    <x v="2"/>
    <n v="3"/>
    <n v="1999"/>
    <n v="0.1"/>
    <s v="North"/>
    <s v="Debit Card"/>
    <x v="2"/>
    <n v="24995"/>
  </r>
  <r>
    <s v="ORD01447"/>
    <d v="2026-09-03T00:00:00"/>
    <s v="C1093"/>
    <s v="Bluetooth Speaker"/>
    <x v="1"/>
    <n v="5"/>
    <n v="499"/>
    <n v="0.1"/>
    <s v="South"/>
    <s v="Credit Card"/>
    <x v="0"/>
    <n v="5397.3"/>
  </r>
  <r>
    <s v="ORD01448"/>
    <d v="2026-09-24T00:00:00"/>
    <s v="C1647"/>
    <s v="Mechanical Keyboard"/>
    <x v="1"/>
    <n v="3"/>
    <n v="1299"/>
    <n v="0.05"/>
    <s v="Central"/>
    <s v="Debit Card"/>
    <x v="0"/>
    <n v="2245.5"/>
  </r>
  <r>
    <s v="ORD01449"/>
    <d v="2026-03-15T00:00:00"/>
    <s v="C1750"/>
    <s v="Power Bank"/>
    <x v="2"/>
    <n v="5"/>
    <n v="999"/>
    <n v="0.1"/>
    <s v="West"/>
    <s v="COD"/>
    <x v="0"/>
    <n v="3702.1499999999996"/>
  </r>
  <r>
    <s v="ORD01450"/>
    <d v="2026-07-21T00:00:00"/>
    <s v="C1420"/>
    <s v="Keyboard"/>
    <x v="0"/>
    <n v="5"/>
    <n v="599"/>
    <n v="0.15"/>
    <s v="Central"/>
    <s v="Net Banking"/>
    <x v="0"/>
    <n v="4495.5"/>
  </r>
  <r>
    <s v="ORD01451"/>
    <d v="2026-04-24T00:00:00"/>
    <s v="C1775"/>
    <s v="USB-C Hub"/>
    <x v="0"/>
    <n v="5"/>
    <n v="1999"/>
    <n v="0.05"/>
    <s v="Central"/>
    <s v="Credit Card"/>
    <x v="0"/>
    <n v="2545.75"/>
  </r>
  <r>
    <s v="ORD01452"/>
    <d v="2026-03-06T00:00:00"/>
    <s v="C1039"/>
    <s v="Wireless Mouse"/>
    <x v="4"/>
    <n v="1"/>
    <n v="599"/>
    <n v="0.1"/>
    <s v="East"/>
    <s v="COD"/>
    <x v="0"/>
    <n v="9495.25"/>
  </r>
  <r>
    <s v="ORD01453"/>
    <d v="2026-04-04T00:00:00"/>
    <s v="C1106"/>
    <s v="USB-C Hub"/>
    <x v="4"/>
    <n v="3"/>
    <n v="7999"/>
    <n v="0"/>
    <s v="Central"/>
    <s v="Credit Card"/>
    <x v="2"/>
    <n v="539.1"/>
  </r>
  <r>
    <s v="ORD01454"/>
    <d v="2026-08-17T00:00:00"/>
    <s v="C1431"/>
    <s v="Webcam"/>
    <x v="4"/>
    <n v="4"/>
    <n v="2499"/>
    <n v="0.15"/>
    <s v="East"/>
    <s v="Credit Card"/>
    <x v="0"/>
    <n v="23997"/>
  </r>
  <r>
    <s v="ORD01455"/>
    <d v="2026-02-05T00:00:00"/>
    <s v="C1623"/>
    <s v="Webcam"/>
    <x v="2"/>
    <n v="4"/>
    <n v="7999"/>
    <n v="0.15"/>
    <s v="North"/>
    <s v="COD"/>
    <x v="2"/>
    <n v="8496.6"/>
  </r>
  <r>
    <s v="ORD01456"/>
    <d v="2026-02-25T00:00:00"/>
    <s v="C1630"/>
    <s v="Monitor"/>
    <x v="0"/>
    <n v="3"/>
    <n v="2499"/>
    <n v="0.1"/>
    <s v="Central"/>
    <s v="COD"/>
    <x v="1"/>
    <n v="27196.6"/>
  </r>
  <r>
    <s v="ORD01457"/>
    <d v="2026-05-23T00:00:00"/>
    <s v="C1044"/>
    <s v="Webcam"/>
    <x v="4"/>
    <n v="5"/>
    <n v="1499"/>
    <n v="0"/>
    <s v="East"/>
    <s v="Debit Card"/>
    <x v="0"/>
    <n v="6747.3"/>
  </r>
  <r>
    <s v="ORD01458"/>
    <d v="2026-08-19T00:00:00"/>
    <s v="C1337"/>
    <s v="Bluetooth Speaker"/>
    <x v="0"/>
    <n v="3"/>
    <n v="1299"/>
    <n v="0.1"/>
    <s v="East"/>
    <s v="Net Banking"/>
    <x v="0"/>
    <n v="7495"/>
  </r>
  <r>
    <s v="ORD01459"/>
    <d v="2026-09-28T00:00:00"/>
    <s v="C1071"/>
    <s v="Wireless Mouse"/>
    <x v="2"/>
    <n v="4"/>
    <n v="799"/>
    <n v="0.15"/>
    <s v="Central"/>
    <s v="Debit Card"/>
    <x v="0"/>
    <n v="3507.3"/>
  </r>
  <r>
    <s v="ORD01460"/>
    <d v="2026-02-10T00:00:00"/>
    <s v="C1225"/>
    <s v="Webcam"/>
    <x v="1"/>
    <n v="2"/>
    <n v="999"/>
    <n v="0"/>
    <s v="Central"/>
    <s v="COD"/>
    <x v="2"/>
    <n v="2716.6"/>
  </r>
  <r>
    <s v="ORD01461"/>
    <d v="2026-05-13T00:00:00"/>
    <s v="C1087"/>
    <s v="Webcam"/>
    <x v="3"/>
    <n v="3"/>
    <n v="799"/>
    <n v="0"/>
    <s v="East"/>
    <s v="Debit Card"/>
    <x v="0"/>
    <n v="1998"/>
  </r>
  <r>
    <s v="ORD01462"/>
    <d v="2026-08-22T00:00:00"/>
    <s v="C1576"/>
    <s v="USB-C Hub"/>
    <x v="2"/>
    <n v="1"/>
    <n v="999"/>
    <n v="0"/>
    <s v="South"/>
    <s v="UPI"/>
    <x v="1"/>
    <n v="2397"/>
  </r>
  <r>
    <s v="ORD01463"/>
    <d v="2026-02-22T00:00:00"/>
    <s v="C1023"/>
    <s v="Headphones"/>
    <x v="2"/>
    <n v="1"/>
    <n v="1299"/>
    <n v="0.05"/>
    <s v="South"/>
    <s v="Debit Card"/>
    <x v="1"/>
    <n v="999"/>
  </r>
  <r>
    <s v="ORD01464"/>
    <d v="2026-04-09T00:00:00"/>
    <s v="C1565"/>
    <s v="Wireless Mouse"/>
    <x v="4"/>
    <n v="5"/>
    <n v="4999"/>
    <n v="0.05"/>
    <s v="East"/>
    <s v="COD"/>
    <x v="1"/>
    <n v="1234.05"/>
  </r>
  <r>
    <s v="ORD01465"/>
    <d v="2026-07-20T00:00:00"/>
    <s v="C1162"/>
    <s v="Mechanical Keyboard"/>
    <x v="2"/>
    <n v="2"/>
    <n v="799"/>
    <n v="0.15"/>
    <s v="South"/>
    <s v="Net Banking"/>
    <x v="1"/>
    <n v="23745.25"/>
  </r>
  <r>
    <s v="ORD01466"/>
    <d v="2026-09-25T00:00:00"/>
    <s v="C1400"/>
    <s v="Keyboard"/>
    <x v="3"/>
    <n v="5"/>
    <n v="499"/>
    <n v="0"/>
    <s v="North"/>
    <s v="Debit Card"/>
    <x v="1"/>
    <n v="1358.3"/>
  </r>
  <r>
    <s v="ORD01467"/>
    <d v="2026-01-29T00:00:00"/>
    <s v="C1676"/>
    <s v="Laptop Stand"/>
    <x v="4"/>
    <n v="3"/>
    <n v="999"/>
    <n v="0.1"/>
    <s v="Central"/>
    <s v="Debit Card"/>
    <x v="0"/>
    <n v="2495"/>
  </r>
  <r>
    <s v="ORD01468"/>
    <d v="2026-09-02T00:00:00"/>
    <s v="C1326"/>
    <s v="Power Bank"/>
    <x v="1"/>
    <n v="3"/>
    <n v="7999"/>
    <n v="0.05"/>
    <s v="East"/>
    <s v="Debit Card"/>
    <x v="2"/>
    <n v="2697.3"/>
  </r>
  <r>
    <s v="ORD01469"/>
    <d v="2026-05-12T00:00:00"/>
    <s v="C1123"/>
    <s v="Power Bank"/>
    <x v="3"/>
    <n v="5"/>
    <n v="1299"/>
    <n v="0.15"/>
    <s v="West"/>
    <s v="UPI"/>
    <x v="0"/>
    <n v="22797.149999999998"/>
  </r>
  <r>
    <s v="ORD01470"/>
    <d v="2026-03-23T00:00:00"/>
    <s v="C1509"/>
    <s v="Power Bank"/>
    <x v="2"/>
    <n v="5"/>
    <n v="1499"/>
    <n v="0"/>
    <s v="Central"/>
    <s v="Credit Card"/>
    <x v="0"/>
    <n v="5520.75"/>
  </r>
  <r>
    <s v="ORD01471"/>
    <d v="2026-06-30T00:00:00"/>
    <s v="C1493"/>
    <s v="Laptop Stand"/>
    <x v="0"/>
    <n v="4"/>
    <n v="2499"/>
    <n v="0"/>
    <s v="South"/>
    <s v="Credit Card"/>
    <x v="1"/>
    <n v="7495"/>
  </r>
  <r>
    <s v="ORD01472"/>
    <d v="2026-01-02T00:00:00"/>
    <s v="C1248"/>
    <s v="Mechanical Keyboard"/>
    <x v="4"/>
    <n v="3"/>
    <n v="1299"/>
    <n v="0.1"/>
    <s v="Central"/>
    <s v="Credit Card"/>
    <x v="1"/>
    <n v="9996"/>
  </r>
  <r>
    <s v="ORD01473"/>
    <d v="2026-08-08T00:00:00"/>
    <s v="C1289"/>
    <s v="Laptop Stand"/>
    <x v="2"/>
    <n v="3"/>
    <n v="1999"/>
    <n v="0.05"/>
    <s v="East"/>
    <s v="Credit Card"/>
    <x v="2"/>
    <n v="3507.3"/>
  </r>
  <r>
    <s v="ORD01474"/>
    <d v="2026-08-28T00:00:00"/>
    <s v="C1095"/>
    <s v="Headphones"/>
    <x v="4"/>
    <n v="4"/>
    <n v="1999"/>
    <n v="0"/>
    <s v="West"/>
    <s v="Net Banking"/>
    <x v="2"/>
    <n v="5697.15"/>
  </r>
  <r>
    <s v="ORD01475"/>
    <d v="2026-04-11T00:00:00"/>
    <s v="C1044"/>
    <s v="Power Bank"/>
    <x v="3"/>
    <n v="4"/>
    <n v="4999"/>
    <n v="0"/>
    <s v="Central"/>
    <s v="Net Banking"/>
    <x v="0"/>
    <n v="7996"/>
  </r>
  <r>
    <s v="ORD01476"/>
    <d v="2026-05-15T00:00:00"/>
    <s v="C1096"/>
    <s v="Laptop Stand"/>
    <x v="0"/>
    <n v="3"/>
    <n v="1999"/>
    <n v="0"/>
    <s v="West"/>
    <s v="Net Banking"/>
    <x v="2"/>
    <n v="19996"/>
  </r>
  <r>
    <s v="ORD01477"/>
    <d v="2026-09-09T00:00:00"/>
    <s v="C1169"/>
    <s v="Bluetooth Speaker"/>
    <x v="2"/>
    <n v="4"/>
    <n v="4999"/>
    <n v="0.05"/>
    <s v="South"/>
    <s v="COD"/>
    <x v="0"/>
    <n v="5997"/>
  </r>
  <r>
    <s v="ORD01478"/>
    <d v="2026-07-03T00:00:00"/>
    <s v="C1133"/>
    <s v="Bluetooth Speaker"/>
    <x v="3"/>
    <n v="3"/>
    <n v="1999"/>
    <n v="0"/>
    <s v="South"/>
    <s v="Credit Card"/>
    <x v="0"/>
    <n v="18996.2"/>
  </r>
  <r>
    <s v="ORD01479"/>
    <d v="2026-08-30T00:00:00"/>
    <s v="C1248"/>
    <s v="Keyboard"/>
    <x v="2"/>
    <n v="3"/>
    <n v="999"/>
    <n v="0.1"/>
    <s v="North"/>
    <s v="COD"/>
    <x v="0"/>
    <n v="5997"/>
  </r>
  <r>
    <s v="ORD01480"/>
    <d v="2026-03-30T00:00:00"/>
    <s v="C1432"/>
    <s v="USB-C Hub"/>
    <x v="3"/>
    <n v="4"/>
    <n v="599"/>
    <n v="0"/>
    <s v="Central"/>
    <s v="Debit Card"/>
    <x v="0"/>
    <n v="2697.3"/>
  </r>
  <r>
    <s v="ORD01481"/>
    <d v="2026-03-10T00:00:00"/>
    <s v="C1269"/>
    <s v="Bluetooth Speaker"/>
    <x v="0"/>
    <n v="3"/>
    <n v="499"/>
    <n v="0"/>
    <s v="East"/>
    <s v="Net Banking"/>
    <x v="0"/>
    <n v="2396"/>
  </r>
  <r>
    <s v="ORD01482"/>
    <d v="2026-04-24T00:00:00"/>
    <s v="C1209"/>
    <s v="Keyboard"/>
    <x v="2"/>
    <n v="5"/>
    <n v="999"/>
    <n v="0"/>
    <s v="Central"/>
    <s v="UPI"/>
    <x v="0"/>
    <n v="1497"/>
  </r>
  <r>
    <s v="ORD01483"/>
    <d v="2026-05-05T00:00:00"/>
    <s v="C1465"/>
    <s v="Headphones"/>
    <x v="4"/>
    <n v="4"/>
    <n v="4999"/>
    <n v="0.1"/>
    <s v="East"/>
    <s v="Credit Card"/>
    <x v="0"/>
    <n v="4995"/>
  </r>
  <r>
    <s v="ORD01484"/>
    <d v="2026-02-10T00:00:00"/>
    <s v="C1054"/>
    <s v="Mechanical Keyboard"/>
    <x v="4"/>
    <n v="5"/>
    <n v="4999"/>
    <n v="0"/>
    <s v="North"/>
    <s v="Credit Card"/>
    <x v="1"/>
    <n v="17996.400000000001"/>
  </r>
  <r>
    <s v="ORD01485"/>
    <d v="2026-02-05T00:00:00"/>
    <s v="C1164"/>
    <s v="Keyboard"/>
    <x v="4"/>
    <n v="4"/>
    <n v="1999"/>
    <n v="0.15"/>
    <s v="South"/>
    <s v="COD"/>
    <x v="0"/>
    <n v="24995"/>
  </r>
  <r>
    <s v="ORD01486"/>
    <d v="2026-01-08T00:00:00"/>
    <s v="C1498"/>
    <s v="Mechanical Keyboard"/>
    <x v="4"/>
    <n v="3"/>
    <n v="599"/>
    <n v="0"/>
    <s v="North"/>
    <s v="Debit Card"/>
    <x v="1"/>
    <n v="6796.5999999999995"/>
  </r>
  <r>
    <s v="ORD01487"/>
    <d v="2026-08-03T00:00:00"/>
    <s v="C1120"/>
    <s v="Monitor"/>
    <x v="1"/>
    <n v="3"/>
    <n v="1299"/>
    <n v="0.1"/>
    <s v="South"/>
    <s v="Net Banking"/>
    <x v="2"/>
    <n v="1797"/>
  </r>
  <r>
    <s v="ORD01488"/>
    <d v="2026-04-23T00:00:00"/>
    <s v="C1234"/>
    <s v="Wireless Mouse"/>
    <x v="0"/>
    <n v="3"/>
    <n v="4999"/>
    <n v="0.15"/>
    <s v="West"/>
    <s v="UPI"/>
    <x v="0"/>
    <n v="3507.3"/>
  </r>
  <r>
    <s v="ORD01489"/>
    <d v="2026-08-04T00:00:00"/>
    <s v="C1294"/>
    <s v="Wireless Mouse"/>
    <x v="4"/>
    <n v="5"/>
    <n v="799"/>
    <n v="0.05"/>
    <s v="South"/>
    <s v="Debit Card"/>
    <x v="1"/>
    <n v="12747.449999999999"/>
  </r>
  <r>
    <s v="ORD01490"/>
    <d v="2026-07-19T00:00:00"/>
    <s v="C1331"/>
    <s v="Mechanical Keyboard"/>
    <x v="4"/>
    <n v="1"/>
    <n v="1299"/>
    <n v="0.15"/>
    <s v="West"/>
    <s v="Credit Card"/>
    <x v="0"/>
    <n v="3795.25"/>
  </r>
  <r>
    <s v="ORD01491"/>
    <d v="2026-04-09T00:00:00"/>
    <s v="C1387"/>
    <s v="Bluetooth Speaker"/>
    <x v="0"/>
    <n v="3"/>
    <n v="2499"/>
    <n v="0.05"/>
    <s v="North"/>
    <s v="Credit Card"/>
    <x v="2"/>
    <n v="1104.1499999999999"/>
  </r>
  <r>
    <s v="ORD01492"/>
    <d v="2026-02-14T00:00:00"/>
    <s v="C1771"/>
    <s v="Wireless Mouse"/>
    <x v="1"/>
    <n v="5"/>
    <n v="4999"/>
    <n v="0.1"/>
    <s v="East"/>
    <s v="Debit Card"/>
    <x v="1"/>
    <n v="7122.15"/>
  </r>
  <r>
    <s v="ORD01493"/>
    <d v="2026-03-02T00:00:00"/>
    <s v="C1424"/>
    <s v="Monitor"/>
    <x v="0"/>
    <n v="2"/>
    <n v="599"/>
    <n v="0"/>
    <s v="Central"/>
    <s v="UPI"/>
    <x v="2"/>
    <n v="22495.5"/>
  </r>
  <r>
    <s v="ORD01494"/>
    <d v="2026-05-29T00:00:00"/>
    <s v="C1003"/>
    <s v="Power Bank"/>
    <x v="2"/>
    <n v="1"/>
    <n v="1999"/>
    <n v="0.05"/>
    <s v="Central"/>
    <s v="Credit Card"/>
    <x v="0"/>
    <n v="1198"/>
  </r>
  <r>
    <s v="ORD01495"/>
    <d v="2026-01-14T00:00:00"/>
    <s v="C1289"/>
    <s v="Laptop Stand"/>
    <x v="3"/>
    <n v="1"/>
    <n v="4999"/>
    <n v="0.1"/>
    <s v="South"/>
    <s v="Net Banking"/>
    <x v="1"/>
    <n v="1899.05"/>
  </r>
  <r>
    <s v="ORD01496"/>
    <d v="2026-01-30T00:00:00"/>
    <s v="C1224"/>
    <s v="Webcam"/>
    <x v="0"/>
    <n v="4"/>
    <n v="4999"/>
    <n v="0"/>
    <s v="West"/>
    <s v="Net Banking"/>
    <x v="0"/>
    <n v="4499.1000000000004"/>
  </r>
  <r>
    <s v="ORD01497"/>
    <d v="2026-03-18T00:00:00"/>
    <s v="C1193"/>
    <s v="Monitor"/>
    <x v="0"/>
    <n v="1"/>
    <n v="499"/>
    <n v="0"/>
    <s v="Central"/>
    <s v="Credit Card"/>
    <x v="0"/>
    <n v="19996"/>
  </r>
  <r>
    <s v="ORD01498"/>
    <d v="2026-08-03T00:00:00"/>
    <s v="C1302"/>
    <s v="Laptop Stand"/>
    <x v="2"/>
    <n v="4"/>
    <n v="799"/>
    <n v="0"/>
    <s v="Central"/>
    <s v="Debit Card"/>
    <x v="1"/>
    <n v="499"/>
  </r>
  <r>
    <s v="ORD01499"/>
    <d v="2026-04-02T00:00:00"/>
    <s v="C1573"/>
    <s v="Laptop Stand"/>
    <x v="2"/>
    <n v="4"/>
    <n v="2499"/>
    <n v="0.15"/>
    <s v="Central"/>
    <s v="Net Banking"/>
    <x v="0"/>
    <n v="3196"/>
  </r>
  <r>
    <s v="ORD01500"/>
    <d v="2026-05-24T00:00:00"/>
    <s v="C1141"/>
    <s v="Bluetooth Speaker"/>
    <x v="3"/>
    <n v="4"/>
    <n v="799"/>
    <n v="0.15"/>
    <s v="East"/>
    <s v="UPI"/>
    <x v="0"/>
    <n v="8496.6"/>
  </r>
  <r>
    <s v="ORD01501"/>
    <d v="2026-04-04T00:00:00"/>
    <s v="C1319"/>
    <s v="Power Bank"/>
    <x v="3"/>
    <n v="3"/>
    <n v="7999"/>
    <n v="0.15"/>
    <s v="Central"/>
    <s v="Debit Card"/>
    <x v="0"/>
    <n v="2716.6"/>
  </r>
  <r>
    <s v="ORD01502"/>
    <d v="2026-02-20T00:00:00"/>
    <s v="C1318"/>
    <s v="USB-C Hub"/>
    <x v="3"/>
    <n v="1"/>
    <n v="2499"/>
    <n v="0.05"/>
    <s v="West"/>
    <s v="UPI"/>
    <x v="1"/>
    <n v="20397.45"/>
  </r>
  <r>
    <s v="ORD01503"/>
    <d v="2026-04-17T00:00:00"/>
    <s v="C1573"/>
    <s v="Webcam"/>
    <x v="3"/>
    <n v="5"/>
    <n v="7999"/>
    <n v="0.15"/>
    <s v="North"/>
    <s v="Debit Card"/>
    <x v="2"/>
    <n v="2374.0499999999997"/>
  </r>
  <r>
    <s v="ORD01504"/>
    <d v="2026-08-12T00:00:00"/>
    <s v="C1185"/>
    <s v="Keyboard"/>
    <x v="3"/>
    <n v="5"/>
    <n v="2499"/>
    <n v="0.05"/>
    <s v="East"/>
    <s v="COD"/>
    <x v="0"/>
    <n v="33995.75"/>
  </r>
  <r>
    <s v="ORD01505"/>
    <d v="2026-04-10T00:00:00"/>
    <s v="C1710"/>
    <s v="USB-C Hub"/>
    <x v="4"/>
    <n v="1"/>
    <n v="1499"/>
    <n v="0"/>
    <s v="West"/>
    <s v="COD"/>
    <x v="0"/>
    <n v="11870.25"/>
  </r>
  <r>
    <s v="ORD01506"/>
    <d v="2026-01-12T00:00:00"/>
    <s v="C1270"/>
    <s v="Keyboard"/>
    <x v="1"/>
    <n v="3"/>
    <n v="1499"/>
    <n v="0.15"/>
    <s v="West"/>
    <s v="COD"/>
    <x v="1"/>
    <n v="1499"/>
  </r>
  <r>
    <s v="ORD01507"/>
    <d v="2026-02-14T00:00:00"/>
    <s v="C1092"/>
    <s v="Power Bank"/>
    <x v="4"/>
    <n v="5"/>
    <n v="1999"/>
    <n v="0"/>
    <s v="East"/>
    <s v="UPI"/>
    <x v="2"/>
    <n v="3822.45"/>
  </r>
  <r>
    <s v="ORD01508"/>
    <d v="2026-03-28T00:00:00"/>
    <s v="C1097"/>
    <s v="Webcam"/>
    <x v="0"/>
    <n v="2"/>
    <n v="799"/>
    <n v="0"/>
    <s v="North"/>
    <s v="Net Banking"/>
    <x v="0"/>
    <n v="9995"/>
  </r>
  <r>
    <s v="ORD01509"/>
    <d v="2026-07-21T00:00:00"/>
    <s v="C1063"/>
    <s v="Power Bank"/>
    <x v="2"/>
    <n v="1"/>
    <n v="1499"/>
    <n v="0.15"/>
    <s v="South"/>
    <s v="Debit Card"/>
    <x v="0"/>
    <n v="1598"/>
  </r>
  <r>
    <s v="ORD01510"/>
    <d v="2026-08-17T00:00:00"/>
    <s v="C1738"/>
    <s v="Webcam"/>
    <x v="0"/>
    <n v="2"/>
    <n v="2499"/>
    <n v="0.05"/>
    <s v="North"/>
    <s v="Credit Card"/>
    <x v="2"/>
    <n v="1274.1499999999999"/>
  </r>
  <r>
    <s v="ORD01511"/>
    <d v="2026-03-15T00:00:00"/>
    <s v="C1550"/>
    <s v="USB-C Hub"/>
    <x v="4"/>
    <n v="5"/>
    <n v="599"/>
    <n v="0"/>
    <s v="North"/>
    <s v="Net Banking"/>
    <x v="0"/>
    <n v="4748.0999999999995"/>
  </r>
  <r>
    <s v="ORD01512"/>
    <d v="2026-07-13T00:00:00"/>
    <s v="C1343"/>
    <s v="Power Bank"/>
    <x v="0"/>
    <n v="3"/>
    <n v="1299"/>
    <n v="0.15"/>
    <s v="West"/>
    <s v="UPI"/>
    <x v="1"/>
    <n v="2995"/>
  </r>
  <r>
    <s v="ORD01513"/>
    <d v="2026-01-29T00:00:00"/>
    <s v="C1037"/>
    <s v="Webcam"/>
    <x v="0"/>
    <n v="3"/>
    <n v="999"/>
    <n v="0"/>
    <s v="North"/>
    <s v="Net Banking"/>
    <x v="1"/>
    <n v="3312.45"/>
  </r>
  <r>
    <s v="ORD01514"/>
    <d v="2026-02-23T00:00:00"/>
    <s v="C1325"/>
    <s v="Laptop Stand"/>
    <x v="1"/>
    <n v="3"/>
    <n v="2499"/>
    <n v="0.15"/>
    <s v="Central"/>
    <s v="UPI"/>
    <x v="1"/>
    <n v="2997"/>
  </r>
  <r>
    <s v="ORD01515"/>
    <d v="2026-06-24T00:00:00"/>
    <s v="C1456"/>
    <s v="Headphones"/>
    <x v="4"/>
    <n v="4"/>
    <n v="599"/>
    <n v="0.05"/>
    <s v="Central"/>
    <s v="Debit Card"/>
    <x v="0"/>
    <n v="6372.45"/>
  </r>
  <r>
    <s v="ORD01516"/>
    <d v="2026-05-26T00:00:00"/>
    <s v="C1656"/>
    <s v="Power Bank"/>
    <x v="0"/>
    <n v="3"/>
    <n v="7999"/>
    <n v="0"/>
    <s v="East"/>
    <s v="Debit Card"/>
    <x v="0"/>
    <n v="2276.1999999999998"/>
  </r>
  <r>
    <s v="ORD01517"/>
    <d v="2026-03-07T00:00:00"/>
    <s v="C1129"/>
    <s v="Power Bank"/>
    <x v="1"/>
    <n v="4"/>
    <n v="2499"/>
    <n v="0.05"/>
    <s v="South"/>
    <s v="Credit Card"/>
    <x v="0"/>
    <n v="23997"/>
  </r>
  <r>
    <s v="ORD01518"/>
    <d v="2026-08-20T00:00:00"/>
    <s v="C1342"/>
    <s v="Headphones"/>
    <x v="0"/>
    <n v="3"/>
    <n v="2499"/>
    <n v="0.15"/>
    <s v="West"/>
    <s v="COD"/>
    <x v="0"/>
    <n v="9496.1999999999989"/>
  </r>
  <r>
    <s v="ORD01519"/>
    <d v="2026-03-19T00:00:00"/>
    <s v="C1538"/>
    <s v="USB-C Hub"/>
    <x v="1"/>
    <n v="4"/>
    <n v="1999"/>
    <n v="0.05"/>
    <s v="East"/>
    <s v="Debit Card"/>
    <x v="1"/>
    <n v="6372.45"/>
  </r>
  <r>
    <s v="ORD01520"/>
    <d v="2026-05-28T00:00:00"/>
    <s v="C1478"/>
    <s v="Mechanical Keyboard"/>
    <x v="1"/>
    <n v="1"/>
    <n v="2499"/>
    <n v="0.1"/>
    <s v="West"/>
    <s v="UPI"/>
    <x v="0"/>
    <n v="7596.2"/>
  </r>
  <r>
    <s v="ORD01521"/>
    <d v="2026-04-24T00:00:00"/>
    <s v="C1036"/>
    <s v="Mechanical Keyboard"/>
    <x v="2"/>
    <n v="3"/>
    <n v="7999"/>
    <n v="0"/>
    <s v="North"/>
    <s v="Credit Card"/>
    <x v="0"/>
    <n v="2249.1"/>
  </r>
  <r>
    <s v="ORD01522"/>
    <d v="2026-02-13T00:00:00"/>
    <s v="C1036"/>
    <s v="USB-C Hub"/>
    <x v="1"/>
    <n v="4"/>
    <n v="1299"/>
    <n v="0"/>
    <s v="East"/>
    <s v="Net Banking"/>
    <x v="1"/>
    <n v="23997"/>
  </r>
  <r>
    <s v="ORD01523"/>
    <d v="2026-07-21T00:00:00"/>
    <s v="C1604"/>
    <s v="Mechanical Keyboard"/>
    <x v="1"/>
    <n v="4"/>
    <n v="799"/>
    <n v="0.1"/>
    <s v="West"/>
    <s v="Credit Card"/>
    <x v="1"/>
    <n v="5196"/>
  </r>
  <r>
    <s v="ORD01524"/>
    <d v="2026-07-30T00:00:00"/>
    <s v="C1131"/>
    <s v="Wireless Mouse"/>
    <x v="4"/>
    <n v="1"/>
    <n v="4999"/>
    <n v="0.15"/>
    <s v="North"/>
    <s v="Net Banking"/>
    <x v="2"/>
    <n v="2876.4"/>
  </r>
  <r>
    <s v="ORD01525"/>
    <d v="2026-09-30T00:00:00"/>
    <s v="C1427"/>
    <s v="Headphones"/>
    <x v="4"/>
    <n v="3"/>
    <n v="999"/>
    <n v="0.15"/>
    <s v="East"/>
    <s v="UPI"/>
    <x v="0"/>
    <n v="4249.1499999999996"/>
  </r>
  <r>
    <s v="ORD01526"/>
    <d v="2026-05-26T00:00:00"/>
    <s v="C1052"/>
    <s v="Monitor"/>
    <x v="0"/>
    <n v="5"/>
    <n v="499"/>
    <n v="0.15"/>
    <s v="Central"/>
    <s v="Debit Card"/>
    <x v="0"/>
    <n v="2547.4499999999998"/>
  </r>
  <r>
    <s v="ORD01527"/>
    <d v="2026-04-02T00:00:00"/>
    <s v="C1691"/>
    <s v="Wireless Mouse"/>
    <x v="4"/>
    <n v="2"/>
    <n v="1999"/>
    <n v="0"/>
    <s v="West"/>
    <s v="COD"/>
    <x v="0"/>
    <n v="2120.75"/>
  </r>
  <r>
    <s v="ORD01528"/>
    <d v="2026-03-24T00:00:00"/>
    <s v="C1401"/>
    <s v="Webcam"/>
    <x v="1"/>
    <n v="3"/>
    <n v="1499"/>
    <n v="0"/>
    <s v="North"/>
    <s v="Credit Card"/>
    <x v="0"/>
    <n v="3998"/>
  </r>
  <r>
    <s v="ORD01529"/>
    <d v="2026-08-21T00:00:00"/>
    <s v="C1039"/>
    <s v="Wireless Mouse"/>
    <x v="1"/>
    <n v="1"/>
    <n v="4999"/>
    <n v="0"/>
    <s v="Central"/>
    <s v="Credit Card"/>
    <x v="0"/>
    <n v="4497"/>
  </r>
  <r>
    <s v="ORD01530"/>
    <d v="2026-02-21T00:00:00"/>
    <s v="C1680"/>
    <s v="Monitor"/>
    <x v="1"/>
    <n v="1"/>
    <n v="799"/>
    <n v="0.15"/>
    <s v="Central"/>
    <s v="UPI"/>
    <x v="0"/>
    <n v="4999"/>
  </r>
  <r>
    <s v="ORD01531"/>
    <d v="2026-01-01T00:00:00"/>
    <s v="C1792"/>
    <s v="Power Bank"/>
    <x v="1"/>
    <n v="5"/>
    <n v="1299"/>
    <n v="0"/>
    <s v="West"/>
    <s v="Net Banking"/>
    <x v="0"/>
    <n v="679.15"/>
  </r>
  <r>
    <s v="ORD01532"/>
    <d v="2026-07-08T00:00:00"/>
    <s v="C1105"/>
    <s v="USB-C Hub"/>
    <x v="2"/>
    <n v="4"/>
    <n v="4999"/>
    <n v="0.1"/>
    <s v="South"/>
    <s v="UPI"/>
    <x v="0"/>
    <n v="6495"/>
  </r>
  <r>
    <s v="ORD01533"/>
    <d v="2026-04-06T00:00:00"/>
    <s v="C1690"/>
    <s v="Wireless Mouse"/>
    <x v="0"/>
    <n v="2"/>
    <n v="1299"/>
    <n v="0"/>
    <s v="West"/>
    <s v="COD"/>
    <x v="0"/>
    <n v="17996.400000000001"/>
  </r>
  <r>
    <s v="ORD01534"/>
    <d v="2026-02-23T00:00:00"/>
    <s v="C1185"/>
    <s v="Headphones"/>
    <x v="3"/>
    <n v="3"/>
    <n v="7999"/>
    <n v="0"/>
    <s v="East"/>
    <s v="Net Banking"/>
    <x v="0"/>
    <n v="2598"/>
  </r>
  <r>
    <s v="ORD01535"/>
    <d v="2026-02-13T00:00:00"/>
    <s v="C1221"/>
    <s v="Bluetooth Speaker"/>
    <x v="2"/>
    <n v="1"/>
    <n v="1499"/>
    <n v="0.1"/>
    <s v="West"/>
    <s v="UPI"/>
    <x v="0"/>
    <n v="23997"/>
  </r>
  <r>
    <s v="ORD01536"/>
    <d v="2026-03-06T00:00:00"/>
    <s v="C1666"/>
    <s v="USB-C Hub"/>
    <x v="2"/>
    <n v="1"/>
    <n v="1999"/>
    <n v="0.1"/>
    <s v="West"/>
    <s v="UPI"/>
    <x v="0"/>
    <n v="1349.1000000000001"/>
  </r>
  <r>
    <s v="ORD01537"/>
    <d v="2026-06-13T00:00:00"/>
    <s v="C1439"/>
    <s v="Headphones"/>
    <x v="3"/>
    <n v="4"/>
    <n v="499"/>
    <n v="0.15"/>
    <s v="Central"/>
    <s v="Debit Card"/>
    <x v="2"/>
    <n v="1799.1000000000001"/>
  </r>
  <r>
    <s v="ORD01538"/>
    <d v="2026-04-09T00:00:00"/>
    <s v="C1696"/>
    <s v="Power Bank"/>
    <x v="4"/>
    <n v="4"/>
    <n v="499"/>
    <n v="0"/>
    <s v="North"/>
    <s v="Debit Card"/>
    <x v="0"/>
    <n v="1696.6"/>
  </r>
  <r>
    <s v="ORD01539"/>
    <d v="2026-06-13T00:00:00"/>
    <s v="C1607"/>
    <s v="USB-C Hub"/>
    <x v="2"/>
    <n v="2"/>
    <n v="2499"/>
    <n v="0"/>
    <s v="East"/>
    <s v="Debit Card"/>
    <x v="0"/>
    <n v="1996"/>
  </r>
  <r>
    <s v="ORD01540"/>
    <d v="2026-03-10T00:00:00"/>
    <s v="C1750"/>
    <s v="Power Bank"/>
    <x v="0"/>
    <n v="2"/>
    <n v="1999"/>
    <n v="0"/>
    <s v="Central"/>
    <s v="UPI"/>
    <x v="0"/>
    <n v="4998"/>
  </r>
  <r>
    <s v="ORD01541"/>
    <d v="2026-02-27T00:00:00"/>
    <s v="C1718"/>
    <s v="Keyboard"/>
    <x v="4"/>
    <n v="3"/>
    <n v="7999"/>
    <n v="0.1"/>
    <s v="West"/>
    <s v="COD"/>
    <x v="1"/>
    <n v="3998"/>
  </r>
  <r>
    <s v="ORD01542"/>
    <d v="2026-04-16T00:00:00"/>
    <s v="C1180"/>
    <s v="Power Bank"/>
    <x v="1"/>
    <n v="4"/>
    <n v="799"/>
    <n v="0"/>
    <s v="East"/>
    <s v="Credit Card"/>
    <x v="0"/>
    <n v="21597.3"/>
  </r>
  <r>
    <s v="ORD01543"/>
    <d v="2026-07-19T00:00:00"/>
    <s v="C1621"/>
    <s v="Headphones"/>
    <x v="2"/>
    <n v="2"/>
    <n v="4999"/>
    <n v="0.1"/>
    <s v="West"/>
    <s v="Debit Card"/>
    <x v="0"/>
    <n v="3196"/>
  </r>
  <r>
    <s v="ORD01544"/>
    <d v="2026-01-08T00:00:00"/>
    <s v="C1725"/>
    <s v="Keyboard"/>
    <x v="2"/>
    <n v="4"/>
    <n v="1299"/>
    <n v="0.05"/>
    <s v="East"/>
    <s v="UPI"/>
    <x v="0"/>
    <n v="8998.2000000000007"/>
  </r>
  <r>
    <s v="ORD01545"/>
    <d v="2026-08-29T00:00:00"/>
    <s v="C1524"/>
    <s v="Mechanical Keyboard"/>
    <x v="0"/>
    <n v="1"/>
    <n v="4999"/>
    <n v="0.05"/>
    <s v="South"/>
    <s v="Debit Card"/>
    <x v="1"/>
    <n v="4936.2"/>
  </r>
  <r>
    <s v="ORD01546"/>
    <d v="2026-09-24T00:00:00"/>
    <s v="C1634"/>
    <s v="Bluetooth Speaker"/>
    <x v="2"/>
    <n v="2"/>
    <n v="999"/>
    <n v="0.15"/>
    <s v="East"/>
    <s v="UPI"/>
    <x v="1"/>
    <n v="4749.05"/>
  </r>
  <r>
    <s v="ORD01547"/>
    <d v="2026-09-30T00:00:00"/>
    <s v="C1750"/>
    <s v="Wireless Mouse"/>
    <x v="2"/>
    <n v="5"/>
    <n v="1299"/>
    <n v="0"/>
    <s v="East"/>
    <s v="Debit Card"/>
    <x v="2"/>
    <n v="1698.3"/>
  </r>
  <r>
    <s v="ORD01548"/>
    <d v="2026-06-26T00:00:00"/>
    <s v="C1161"/>
    <s v="Monitor"/>
    <x v="4"/>
    <n v="2"/>
    <n v="599"/>
    <n v="0.05"/>
    <s v="East"/>
    <s v="COD"/>
    <x v="1"/>
    <n v="6495"/>
  </r>
  <r>
    <s v="ORD01549"/>
    <d v="2026-01-18T00:00:00"/>
    <s v="C1713"/>
    <s v="Power Bank"/>
    <x v="3"/>
    <n v="3"/>
    <n v="1499"/>
    <n v="0.15"/>
    <s v="West"/>
    <s v="Net Banking"/>
    <x v="0"/>
    <n v="1138.0999999999999"/>
  </r>
  <r>
    <s v="ORD01550"/>
    <d v="2026-04-25T00:00:00"/>
    <s v="C1410"/>
    <s v="Power Bank"/>
    <x v="2"/>
    <n v="3"/>
    <n v="1999"/>
    <n v="0.1"/>
    <s v="West"/>
    <s v="Debit Card"/>
    <x v="1"/>
    <n v="3822.45"/>
  </r>
  <r>
    <s v="ORD01551"/>
    <d v="2026-08-12T00:00:00"/>
    <s v="C1020"/>
    <s v="Webcam"/>
    <x v="0"/>
    <n v="5"/>
    <n v="599"/>
    <n v="0.1"/>
    <s v="West"/>
    <s v="Credit Card"/>
    <x v="0"/>
    <n v="5397.3"/>
  </r>
  <r>
    <s v="ORD01552"/>
    <d v="2026-05-20T00:00:00"/>
    <s v="C1367"/>
    <s v="Webcam"/>
    <x v="2"/>
    <n v="1"/>
    <n v="7999"/>
    <n v="0"/>
    <s v="North"/>
    <s v="Net Banking"/>
    <x v="0"/>
    <n v="2695.5"/>
  </r>
  <r>
    <s v="ORD01553"/>
    <d v="2026-08-02T00:00:00"/>
    <s v="C1339"/>
    <s v="Mechanical Keyboard"/>
    <x v="4"/>
    <n v="4"/>
    <n v="1999"/>
    <n v="0.1"/>
    <s v="East"/>
    <s v="Debit Card"/>
    <x v="1"/>
    <n v="7999"/>
  </r>
  <r>
    <s v="ORD01554"/>
    <d v="2026-02-15T00:00:00"/>
    <s v="C1545"/>
    <s v="Bluetooth Speaker"/>
    <x v="0"/>
    <n v="4"/>
    <n v="4999"/>
    <n v="0.1"/>
    <s v="Central"/>
    <s v="UPI"/>
    <x v="0"/>
    <n v="7196.4000000000005"/>
  </r>
  <r>
    <s v="ORD01555"/>
    <d v="2026-05-20T00:00:00"/>
    <s v="C1242"/>
    <s v="Wireless Mouse"/>
    <x v="0"/>
    <n v="2"/>
    <n v="1499"/>
    <n v="0.1"/>
    <s v="East"/>
    <s v="Credit Card"/>
    <x v="1"/>
    <n v="17996.400000000001"/>
  </r>
  <r>
    <s v="ORD01556"/>
    <d v="2026-04-04T00:00:00"/>
    <s v="C1261"/>
    <s v="Keyboard"/>
    <x v="2"/>
    <n v="1"/>
    <n v="4999"/>
    <n v="0.15"/>
    <s v="West"/>
    <s v="UPI"/>
    <x v="0"/>
    <n v="2698.2000000000003"/>
  </r>
  <r>
    <s v="ORD01557"/>
    <d v="2026-07-15T00:00:00"/>
    <s v="C1468"/>
    <s v="Laptop Stand"/>
    <x v="2"/>
    <n v="5"/>
    <n v="799"/>
    <n v="0"/>
    <s v="South"/>
    <s v="Net Banking"/>
    <x v="0"/>
    <n v="4249.1499999999996"/>
  </r>
  <r>
    <s v="ORD01558"/>
    <d v="2026-01-04T00:00:00"/>
    <s v="C1372"/>
    <s v="Mechanical Keyboard"/>
    <x v="0"/>
    <n v="2"/>
    <n v="599"/>
    <n v="0"/>
    <s v="North"/>
    <s v="Debit Card"/>
    <x v="0"/>
    <n v="3995"/>
  </r>
  <r>
    <s v="ORD01559"/>
    <d v="2026-01-11T00:00:00"/>
    <s v="C1557"/>
    <s v="Laptop Stand"/>
    <x v="0"/>
    <n v="2"/>
    <n v="599"/>
    <n v="0.1"/>
    <s v="East"/>
    <s v="COD"/>
    <x v="2"/>
    <n v="1198"/>
  </r>
  <r>
    <s v="ORD01560"/>
    <d v="2026-01-26T00:00:00"/>
    <s v="C1564"/>
    <s v="Monitor"/>
    <x v="0"/>
    <n v="4"/>
    <n v="1999"/>
    <n v="0.05"/>
    <s v="Central"/>
    <s v="Credit Card"/>
    <x v="0"/>
    <n v="1078.2"/>
  </r>
  <r>
    <s v="ORD01561"/>
    <d v="2026-09-03T00:00:00"/>
    <s v="C1382"/>
    <s v="Monitor"/>
    <x v="0"/>
    <n v="2"/>
    <n v="1499"/>
    <n v="0"/>
    <s v="Central"/>
    <s v="COD"/>
    <x v="0"/>
    <n v="7596.2"/>
  </r>
  <r>
    <s v="ORD01562"/>
    <d v="2026-08-30T00:00:00"/>
    <s v="C1549"/>
    <s v="Monitor"/>
    <x v="4"/>
    <n v="1"/>
    <n v="799"/>
    <n v="0"/>
    <s v="Central"/>
    <s v="Credit Card"/>
    <x v="0"/>
    <n v="2998"/>
  </r>
  <r>
    <s v="ORD01563"/>
    <d v="2026-08-09T00:00:00"/>
    <s v="C1582"/>
    <s v="Wireless Mouse"/>
    <x v="2"/>
    <n v="2"/>
    <n v="499"/>
    <n v="0"/>
    <s v="East"/>
    <s v="Credit Card"/>
    <x v="2"/>
    <n v="799"/>
  </r>
  <r>
    <s v="ORD01564"/>
    <d v="2026-06-12T00:00:00"/>
    <s v="C1498"/>
    <s v="Monitor"/>
    <x v="1"/>
    <n v="2"/>
    <n v="1499"/>
    <n v="0"/>
    <s v="South"/>
    <s v="UPI"/>
    <x v="0"/>
    <n v="998"/>
  </r>
  <r>
    <s v="ORD01565"/>
    <d v="2026-08-04T00:00:00"/>
    <s v="C1269"/>
    <s v="Monitor"/>
    <x v="0"/>
    <n v="2"/>
    <n v="599"/>
    <n v="0.05"/>
    <s v="East"/>
    <s v="UPI"/>
    <x v="2"/>
    <n v="2998"/>
  </r>
  <r>
    <s v="ORD01566"/>
    <d v="2026-03-13T00:00:00"/>
    <s v="C1048"/>
    <s v="Monitor"/>
    <x v="2"/>
    <n v="2"/>
    <n v="4999"/>
    <n v="0"/>
    <s v="West"/>
    <s v="UPI"/>
    <x v="0"/>
    <n v="1138.0999999999999"/>
  </r>
  <r>
    <s v="ORD01567"/>
    <d v="2026-02-17T00:00:00"/>
    <s v="C1173"/>
    <s v="Laptop Stand"/>
    <x v="4"/>
    <n v="4"/>
    <n v="999"/>
    <n v="0.15"/>
    <s v="West"/>
    <s v="Credit Card"/>
    <x v="2"/>
    <n v="9998"/>
  </r>
  <r>
    <s v="ORD01568"/>
    <d v="2026-08-21T00:00:00"/>
    <s v="C1249"/>
    <s v="Wireless Mouse"/>
    <x v="4"/>
    <n v="4"/>
    <n v="799"/>
    <n v="0.15"/>
    <s v="West"/>
    <s v="UPI"/>
    <x v="0"/>
    <n v="3396.6"/>
  </r>
  <r>
    <s v="ORD01569"/>
    <d v="2026-06-12T00:00:00"/>
    <s v="C1527"/>
    <s v="Headphones"/>
    <x v="1"/>
    <n v="2"/>
    <n v="599"/>
    <n v="0.05"/>
    <s v="West"/>
    <s v="Debit Card"/>
    <x v="1"/>
    <n v="2716.6"/>
  </r>
  <r>
    <s v="ORD01570"/>
    <d v="2026-01-13T00:00:00"/>
    <s v="C1233"/>
    <s v="Headphones"/>
    <x v="1"/>
    <n v="5"/>
    <n v="499"/>
    <n v="0"/>
    <s v="North"/>
    <s v="COD"/>
    <x v="0"/>
    <n v="1138.0999999999999"/>
  </r>
  <r>
    <s v="ORD01571"/>
    <d v="2026-01-10T00:00:00"/>
    <s v="C1405"/>
    <s v="Laptop Stand"/>
    <x v="2"/>
    <n v="5"/>
    <n v="1499"/>
    <n v="0.15"/>
    <s v="North"/>
    <s v="UPI"/>
    <x v="0"/>
    <n v="2495"/>
  </r>
  <r>
    <s v="ORD01572"/>
    <d v="2026-05-17T00:00:00"/>
    <s v="C1401"/>
    <s v="Webcam"/>
    <x v="2"/>
    <n v="2"/>
    <n v="499"/>
    <n v="0.15"/>
    <s v="East"/>
    <s v="COD"/>
    <x v="1"/>
    <n v="6370.75"/>
  </r>
  <r>
    <s v="ORD01573"/>
    <d v="2026-04-01T00:00:00"/>
    <s v="C1600"/>
    <s v="Wireless Mouse"/>
    <x v="2"/>
    <n v="1"/>
    <n v="1299"/>
    <n v="0.05"/>
    <s v="West"/>
    <s v="Net Banking"/>
    <x v="0"/>
    <n v="848.3"/>
  </r>
  <r>
    <s v="ORD01574"/>
    <d v="2026-07-13T00:00:00"/>
    <s v="C1780"/>
    <s v="Wireless Mouse"/>
    <x v="0"/>
    <n v="5"/>
    <n v="599"/>
    <n v="0.05"/>
    <s v="Central"/>
    <s v="Credit Card"/>
    <x v="1"/>
    <n v="1234.05"/>
  </r>
  <r>
    <s v="ORD01575"/>
    <d v="2026-05-31T00:00:00"/>
    <s v="C1285"/>
    <s v="Bluetooth Speaker"/>
    <x v="0"/>
    <n v="1"/>
    <n v="1299"/>
    <n v="0"/>
    <s v="North"/>
    <s v="Credit Card"/>
    <x v="1"/>
    <n v="2845.25"/>
  </r>
  <r>
    <s v="ORD01576"/>
    <d v="2026-08-15T00:00:00"/>
    <s v="C1304"/>
    <s v="Mechanical Keyboard"/>
    <x v="2"/>
    <n v="4"/>
    <n v="1999"/>
    <n v="0.1"/>
    <s v="East"/>
    <s v="COD"/>
    <x v="0"/>
    <n v="1299"/>
  </r>
  <r>
    <s v="ORD01577"/>
    <d v="2026-01-30T00:00:00"/>
    <s v="C1045"/>
    <s v="Bluetooth Speaker"/>
    <x v="3"/>
    <n v="4"/>
    <n v="1299"/>
    <n v="0"/>
    <s v="South"/>
    <s v="UPI"/>
    <x v="0"/>
    <n v="7196.4000000000005"/>
  </r>
  <r>
    <s v="ORD01578"/>
    <d v="2026-03-09T00:00:00"/>
    <s v="C1788"/>
    <s v="Mechanical Keyboard"/>
    <x v="0"/>
    <n v="5"/>
    <n v="7999"/>
    <n v="0"/>
    <s v="West"/>
    <s v="Net Banking"/>
    <x v="2"/>
    <n v="5196"/>
  </r>
  <r>
    <s v="ORD01579"/>
    <d v="2026-02-08T00:00:00"/>
    <s v="C1716"/>
    <s v="Wireless Mouse"/>
    <x v="0"/>
    <n v="5"/>
    <n v="4999"/>
    <n v="0.15"/>
    <s v="Central"/>
    <s v="Credit Card"/>
    <x v="2"/>
    <n v="39995"/>
  </r>
  <r>
    <s v="ORD01580"/>
    <d v="2026-02-26T00:00:00"/>
    <s v="C1506"/>
    <s v="Headphones"/>
    <x v="0"/>
    <n v="4"/>
    <n v="1299"/>
    <n v="0.1"/>
    <s v="West"/>
    <s v="Credit Card"/>
    <x v="0"/>
    <n v="21245.75"/>
  </r>
  <r>
    <s v="ORD01581"/>
    <d v="2026-08-13T00:00:00"/>
    <s v="C1164"/>
    <s v="Mechanical Keyboard"/>
    <x v="3"/>
    <n v="1"/>
    <n v="999"/>
    <n v="0.05"/>
    <s v="Central"/>
    <s v="Credit Card"/>
    <x v="0"/>
    <n v="4676.4000000000005"/>
  </r>
  <r>
    <s v="ORD01582"/>
    <d v="2026-05-12T00:00:00"/>
    <s v="C1522"/>
    <s v="Monitor"/>
    <x v="4"/>
    <n v="4"/>
    <n v="799"/>
    <n v="0.1"/>
    <s v="Central"/>
    <s v="Credit Card"/>
    <x v="0"/>
    <n v="949.05"/>
  </r>
  <r>
    <s v="ORD01583"/>
    <d v="2026-07-22T00:00:00"/>
    <s v="C1490"/>
    <s v="Laptop Stand"/>
    <x v="3"/>
    <n v="1"/>
    <n v="1299"/>
    <n v="0.1"/>
    <s v="West"/>
    <s v="Debit Card"/>
    <x v="2"/>
    <n v="2876.4"/>
  </r>
  <r>
    <s v="ORD01584"/>
    <d v="2026-05-06T00:00:00"/>
    <s v="C1056"/>
    <s v="Monitor"/>
    <x v="0"/>
    <n v="3"/>
    <n v="7999"/>
    <n v="0.1"/>
    <s v="North"/>
    <s v="COD"/>
    <x v="0"/>
    <n v="1169.1000000000001"/>
  </r>
  <r>
    <s v="ORD01585"/>
    <d v="2026-05-15T00:00:00"/>
    <s v="C1422"/>
    <s v="Webcam"/>
    <x v="3"/>
    <n v="3"/>
    <n v="4999"/>
    <n v="0.1"/>
    <s v="South"/>
    <s v="UPI"/>
    <x v="2"/>
    <n v="21597.3"/>
  </r>
  <r>
    <s v="ORD01586"/>
    <d v="2026-04-11T00:00:00"/>
    <s v="C1528"/>
    <s v="Power Bank"/>
    <x v="2"/>
    <n v="1"/>
    <n v="2499"/>
    <n v="0.15"/>
    <s v="East"/>
    <s v="Credit Card"/>
    <x v="2"/>
    <n v="13497.300000000001"/>
  </r>
  <r>
    <s v="ORD01587"/>
    <d v="2026-09-03T00:00:00"/>
    <s v="C1740"/>
    <s v="Headphones"/>
    <x v="2"/>
    <n v="4"/>
    <n v="1999"/>
    <n v="0.05"/>
    <s v="North"/>
    <s v="Debit Card"/>
    <x v="2"/>
    <n v="2124.15"/>
  </r>
  <r>
    <s v="ORD01588"/>
    <d v="2026-02-20T00:00:00"/>
    <s v="C1143"/>
    <s v="Headphones"/>
    <x v="4"/>
    <n v="5"/>
    <n v="7999"/>
    <n v="0.15"/>
    <s v="West"/>
    <s v="COD"/>
    <x v="0"/>
    <n v="7596.2"/>
  </r>
  <r>
    <s v="ORD01589"/>
    <d v="2026-06-09T00:00:00"/>
    <s v="C1227"/>
    <s v="Keyboard"/>
    <x v="2"/>
    <n v="4"/>
    <n v="599"/>
    <n v="0.1"/>
    <s v="East"/>
    <s v="COD"/>
    <x v="0"/>
    <n v="33995.75"/>
  </r>
  <r>
    <s v="ORD01590"/>
    <d v="2026-05-04T00:00:00"/>
    <s v="C1111"/>
    <s v="Headphones"/>
    <x v="3"/>
    <n v="1"/>
    <n v="2499"/>
    <n v="0"/>
    <s v="South"/>
    <s v="Debit Card"/>
    <x v="0"/>
    <n v="2156.4"/>
  </r>
  <r>
    <s v="ORD01591"/>
    <d v="2026-01-07T00:00:00"/>
    <s v="C1721"/>
    <s v="Headphones"/>
    <x v="3"/>
    <n v="1"/>
    <n v="1999"/>
    <n v="0"/>
    <s v="North"/>
    <s v="COD"/>
    <x v="0"/>
    <n v="2499"/>
  </r>
  <r>
    <s v="ORD01592"/>
    <d v="2026-08-01T00:00:00"/>
    <s v="C1146"/>
    <s v="Monitor"/>
    <x v="0"/>
    <n v="2"/>
    <n v="2499"/>
    <n v="0"/>
    <s v="East"/>
    <s v="UPI"/>
    <x v="0"/>
    <n v="1999"/>
  </r>
  <r>
    <s v="ORD01593"/>
    <d v="2026-01-03T00:00:00"/>
    <s v="C1243"/>
    <s v="Headphones"/>
    <x v="0"/>
    <n v="1"/>
    <n v="999"/>
    <n v="0"/>
    <s v="West"/>
    <s v="UPI"/>
    <x v="0"/>
    <n v="4998"/>
  </r>
  <r>
    <s v="ORD01594"/>
    <d v="2026-06-05T00:00:00"/>
    <s v="C1069"/>
    <s v="Webcam"/>
    <x v="0"/>
    <n v="3"/>
    <n v="999"/>
    <n v="0.15"/>
    <s v="North"/>
    <s v="UPI"/>
    <x v="2"/>
    <n v="999"/>
  </r>
  <r>
    <s v="ORD01595"/>
    <d v="2026-08-24T00:00:00"/>
    <s v="C1517"/>
    <s v="Mechanical Keyboard"/>
    <x v="4"/>
    <n v="1"/>
    <n v="799"/>
    <n v="0"/>
    <s v="East"/>
    <s v="Credit Card"/>
    <x v="0"/>
    <n v="2547.4499999999998"/>
  </r>
  <r>
    <s v="ORD01596"/>
    <d v="2026-09-23T00:00:00"/>
    <s v="C1468"/>
    <s v="Headphones"/>
    <x v="1"/>
    <n v="4"/>
    <n v="999"/>
    <n v="0.1"/>
    <s v="South"/>
    <s v="Net Banking"/>
    <x v="1"/>
    <n v="799"/>
  </r>
  <r>
    <s v="ORD01597"/>
    <d v="2026-04-29T00:00:00"/>
    <s v="C1211"/>
    <s v="Wireless Mouse"/>
    <x v="0"/>
    <n v="1"/>
    <n v="599"/>
    <n v="0"/>
    <s v="West"/>
    <s v="COD"/>
    <x v="0"/>
    <n v="3596.4"/>
  </r>
  <r>
    <s v="ORD01598"/>
    <d v="2026-02-05T00:00:00"/>
    <s v="C1655"/>
    <s v="Mechanical Keyboard"/>
    <x v="2"/>
    <n v="3"/>
    <n v="499"/>
    <n v="0.05"/>
    <s v="North"/>
    <s v="COD"/>
    <x v="0"/>
    <n v="599"/>
  </r>
  <r>
    <s v="ORD01599"/>
    <d v="2026-02-15T00:00:00"/>
    <s v="C1563"/>
    <s v="Keyboard"/>
    <x v="4"/>
    <n v="5"/>
    <n v="1499"/>
    <n v="0"/>
    <s v="West"/>
    <s v="Net Banking"/>
    <x v="0"/>
    <n v="1422.1499999999999"/>
  </r>
  <r>
    <s v="ORD01600"/>
    <d v="2026-09-16T00:00:00"/>
    <s v="C1412"/>
    <s v="Laptop Stand"/>
    <x v="2"/>
    <n v="2"/>
    <n v="799"/>
    <n v="0.15"/>
    <s v="South"/>
    <s v="Net Banking"/>
    <x v="0"/>
    <n v="7495"/>
  </r>
  <r>
    <s v="ORD01601"/>
    <d v="2026-03-14T00:00:00"/>
    <s v="C1060"/>
    <s v="Laptop Stand"/>
    <x v="0"/>
    <n v="1"/>
    <n v="2499"/>
    <n v="0.1"/>
    <s v="Central"/>
    <s v="Debit Card"/>
    <x v="0"/>
    <n v="1358.3"/>
  </r>
  <r>
    <s v="ORD01602"/>
    <d v="2026-08-04T00:00:00"/>
    <s v="C1161"/>
    <s v="USB-C Hub"/>
    <x v="0"/>
    <n v="5"/>
    <n v="1299"/>
    <n v="0"/>
    <s v="South"/>
    <s v="Net Banking"/>
    <x v="2"/>
    <n v="2249.1"/>
  </r>
  <r>
    <s v="ORD01603"/>
    <d v="2026-03-15T00:00:00"/>
    <s v="C1290"/>
    <s v="Bluetooth Speaker"/>
    <x v="0"/>
    <n v="5"/>
    <n v="7999"/>
    <n v="0.1"/>
    <s v="West"/>
    <s v="Debit Card"/>
    <x v="0"/>
    <n v="6495"/>
  </r>
  <r>
    <s v="ORD01604"/>
    <d v="2026-08-30T00:00:00"/>
    <s v="C1558"/>
    <s v="Headphones"/>
    <x v="2"/>
    <n v="3"/>
    <n v="1299"/>
    <n v="0.1"/>
    <s v="East"/>
    <s v="Credit Card"/>
    <x v="0"/>
    <n v="35995.5"/>
  </r>
  <r>
    <s v="ORD01605"/>
    <d v="2026-04-28T00:00:00"/>
    <s v="C1271"/>
    <s v="Webcam"/>
    <x v="1"/>
    <n v="5"/>
    <n v="599"/>
    <n v="0.15"/>
    <s v="East"/>
    <s v="Debit Card"/>
    <x v="2"/>
    <n v="3507.3"/>
  </r>
  <r>
    <s v="ORD01606"/>
    <d v="2026-03-20T00:00:00"/>
    <s v="C1262"/>
    <s v="Headphones"/>
    <x v="4"/>
    <n v="4"/>
    <n v="7999"/>
    <n v="0.1"/>
    <s v="North"/>
    <s v="Net Banking"/>
    <x v="0"/>
    <n v="2545.75"/>
  </r>
  <r>
    <s v="ORD01607"/>
    <d v="2026-07-28T00:00:00"/>
    <s v="C1399"/>
    <s v="Headphones"/>
    <x v="2"/>
    <n v="1"/>
    <n v="799"/>
    <n v="0.15"/>
    <s v="West"/>
    <s v="Net Banking"/>
    <x v="0"/>
    <n v="28796.400000000001"/>
  </r>
  <r>
    <s v="ORD01608"/>
    <d v="2026-04-15T00:00:00"/>
    <s v="C1601"/>
    <s v="Monitor"/>
    <x v="0"/>
    <n v="3"/>
    <n v="499"/>
    <n v="0.1"/>
    <s v="North"/>
    <s v="UPI"/>
    <x v="0"/>
    <n v="679.15"/>
  </r>
  <r>
    <s v="ORD01609"/>
    <d v="2026-05-23T00:00:00"/>
    <s v="C1639"/>
    <s v="USB-C Hub"/>
    <x v="4"/>
    <n v="5"/>
    <n v="799"/>
    <n v="0.15"/>
    <s v="East"/>
    <s v="COD"/>
    <x v="0"/>
    <n v="1347.3"/>
  </r>
  <r>
    <s v="ORD01610"/>
    <d v="2026-06-17T00:00:00"/>
    <s v="C1725"/>
    <s v="Keyboard"/>
    <x v="1"/>
    <n v="2"/>
    <n v="1299"/>
    <n v="0.05"/>
    <s v="North"/>
    <s v="Net Banking"/>
    <x v="2"/>
    <n v="3395.75"/>
  </r>
  <r>
    <s v="ORD01611"/>
    <d v="2026-05-10T00:00:00"/>
    <s v="C1393"/>
    <s v="Power Bank"/>
    <x v="4"/>
    <n v="3"/>
    <n v="1299"/>
    <n v="0"/>
    <s v="South"/>
    <s v="COD"/>
    <x v="0"/>
    <n v="2468.1"/>
  </r>
  <r>
    <s v="ORD01612"/>
    <d v="2026-09-10T00:00:00"/>
    <s v="C1305"/>
    <s v="Laptop Stand"/>
    <x v="1"/>
    <n v="4"/>
    <n v="1499"/>
    <n v="0.05"/>
    <s v="Central"/>
    <s v="Credit Card"/>
    <x v="1"/>
    <n v="3897"/>
  </r>
  <r>
    <s v="ORD01613"/>
    <d v="2026-03-04T00:00:00"/>
    <s v="C1029"/>
    <s v="Bluetooth Speaker"/>
    <x v="1"/>
    <n v="4"/>
    <n v="1999"/>
    <n v="0.05"/>
    <s v="South"/>
    <s v="Net Banking"/>
    <x v="1"/>
    <n v="5696.2"/>
  </r>
  <r>
    <s v="ORD01614"/>
    <d v="2026-05-26T00:00:00"/>
    <s v="C1282"/>
    <s v="Mechanical Keyboard"/>
    <x v="2"/>
    <n v="1"/>
    <n v="999"/>
    <n v="0"/>
    <s v="South"/>
    <s v="Credit Card"/>
    <x v="1"/>
    <n v="7596.2"/>
  </r>
  <r>
    <s v="ORD01615"/>
    <d v="2026-04-10T00:00:00"/>
    <s v="C1758"/>
    <s v="Monitor"/>
    <x v="4"/>
    <n v="4"/>
    <n v="1999"/>
    <n v="0"/>
    <s v="Central"/>
    <s v="Net Banking"/>
    <x v="1"/>
    <n v="999"/>
  </r>
  <r>
    <s v="ORD01616"/>
    <d v="2026-07-31T00:00:00"/>
    <s v="C1789"/>
    <s v="Wireless Mouse"/>
    <x v="4"/>
    <n v="3"/>
    <n v="599"/>
    <n v="0"/>
    <s v="West"/>
    <s v="Net Banking"/>
    <x v="1"/>
    <n v="7996"/>
  </r>
  <r>
    <s v="ORD01617"/>
    <d v="2026-01-31T00:00:00"/>
    <s v="C1220"/>
    <s v="Mechanical Keyboard"/>
    <x v="0"/>
    <n v="5"/>
    <n v="1999"/>
    <n v="0"/>
    <s v="South"/>
    <s v="COD"/>
    <x v="2"/>
    <n v="1797"/>
  </r>
  <r>
    <s v="ORD01618"/>
    <d v="2026-05-10T00:00:00"/>
    <s v="C1330"/>
    <s v="Keyboard"/>
    <x v="2"/>
    <n v="2"/>
    <n v="999"/>
    <n v="0.15"/>
    <s v="East"/>
    <s v="UPI"/>
    <x v="0"/>
    <n v="9995"/>
  </r>
  <r>
    <s v="ORD01619"/>
    <d v="2026-04-20T00:00:00"/>
    <s v="C1294"/>
    <s v="USB-C Hub"/>
    <x v="3"/>
    <n v="2"/>
    <n v="799"/>
    <n v="0"/>
    <s v="East"/>
    <s v="Net Banking"/>
    <x v="0"/>
    <n v="1698.3"/>
  </r>
  <r>
    <s v="ORD01620"/>
    <d v="2026-03-20T00:00:00"/>
    <s v="C1085"/>
    <s v="Monitor"/>
    <x v="2"/>
    <n v="4"/>
    <n v="7999"/>
    <n v="0.1"/>
    <s v="North"/>
    <s v="UPI"/>
    <x v="0"/>
    <n v="1598"/>
  </r>
  <r>
    <s v="ORD01621"/>
    <d v="2026-04-13T00:00:00"/>
    <s v="C1791"/>
    <s v="Monitor"/>
    <x v="0"/>
    <n v="5"/>
    <n v="4999"/>
    <n v="0.1"/>
    <s v="North"/>
    <s v="Credit Card"/>
    <x v="1"/>
    <n v="28796.400000000001"/>
  </r>
  <r>
    <s v="ORD01622"/>
    <d v="2026-05-30T00:00:00"/>
    <s v="C1629"/>
    <s v="Power Bank"/>
    <x v="2"/>
    <n v="5"/>
    <n v="999"/>
    <n v="0"/>
    <s v="West"/>
    <s v="Credit Card"/>
    <x v="0"/>
    <n v="22495.5"/>
  </r>
  <r>
    <s v="ORD01623"/>
    <d v="2026-09-05T00:00:00"/>
    <s v="C1619"/>
    <s v="USB-C Hub"/>
    <x v="2"/>
    <n v="3"/>
    <n v="7999"/>
    <n v="0.1"/>
    <s v="South"/>
    <s v="Credit Card"/>
    <x v="0"/>
    <n v="4995"/>
  </r>
  <r>
    <s v="ORD01624"/>
    <d v="2026-08-23T00:00:00"/>
    <s v="C1223"/>
    <s v="Laptop Stand"/>
    <x v="4"/>
    <n v="4"/>
    <n v="7999"/>
    <n v="0"/>
    <s v="East"/>
    <s v="Debit Card"/>
    <x v="0"/>
    <n v="21597.3"/>
  </r>
  <r>
    <s v="ORD01625"/>
    <d v="2026-05-25T00:00:00"/>
    <s v="C1790"/>
    <s v="Headphones"/>
    <x v="1"/>
    <n v="3"/>
    <n v="799"/>
    <n v="0"/>
    <s v="North"/>
    <s v="UPI"/>
    <x v="0"/>
    <n v="31996"/>
  </r>
  <r>
    <s v="ORD01626"/>
    <d v="2026-08-01T00:00:00"/>
    <s v="C1666"/>
    <s v="Monitor"/>
    <x v="2"/>
    <n v="1"/>
    <n v="799"/>
    <n v="0.15"/>
    <s v="North"/>
    <s v="Debit Card"/>
    <x v="0"/>
    <n v="2397"/>
  </r>
  <r>
    <s v="ORD01627"/>
    <d v="2026-05-20T00:00:00"/>
    <s v="C1554"/>
    <s v="Keyboard"/>
    <x v="2"/>
    <n v="5"/>
    <n v="799"/>
    <n v="0.05"/>
    <s v="West"/>
    <s v="Credit Card"/>
    <x v="0"/>
    <n v="679.15"/>
  </r>
  <r>
    <s v="ORD01628"/>
    <d v="2026-06-02T00:00:00"/>
    <s v="C1792"/>
    <s v="Monitor"/>
    <x v="4"/>
    <n v="2"/>
    <n v="799"/>
    <n v="0.05"/>
    <s v="South"/>
    <s v="Credit Card"/>
    <x v="2"/>
    <n v="3795.25"/>
  </r>
  <r>
    <s v="ORD01629"/>
    <d v="2026-07-25T00:00:00"/>
    <s v="C1254"/>
    <s v="Power Bank"/>
    <x v="0"/>
    <n v="2"/>
    <n v="999"/>
    <n v="0.1"/>
    <s v="North"/>
    <s v="Debit Card"/>
    <x v="0"/>
    <n v="1518.1"/>
  </r>
  <r>
    <s v="ORD01630"/>
    <d v="2026-07-25T00:00:00"/>
    <s v="C1374"/>
    <s v="Headphones"/>
    <x v="4"/>
    <n v="1"/>
    <n v="2499"/>
    <n v="0.1"/>
    <s v="Central"/>
    <s v="Net Banking"/>
    <x v="0"/>
    <n v="1798.2"/>
  </r>
  <r>
    <s v="ORD01631"/>
    <d v="2026-04-05T00:00:00"/>
    <s v="C1324"/>
    <s v="USB-C Hub"/>
    <x v="2"/>
    <n v="5"/>
    <n v="1499"/>
    <n v="0"/>
    <s v="East"/>
    <s v="UPI"/>
    <x v="0"/>
    <n v="2249.1"/>
  </r>
  <r>
    <s v="ORD01632"/>
    <d v="2026-01-23T00:00:00"/>
    <s v="C1134"/>
    <s v="Keyboard"/>
    <x v="0"/>
    <n v="4"/>
    <n v="1299"/>
    <n v="0.05"/>
    <s v="West"/>
    <s v="COD"/>
    <x v="2"/>
    <n v="7495"/>
  </r>
  <r>
    <s v="ORD01633"/>
    <d v="2026-06-10T00:00:00"/>
    <s v="C1643"/>
    <s v="Webcam"/>
    <x v="0"/>
    <n v="2"/>
    <n v="799"/>
    <n v="0.15"/>
    <s v="North"/>
    <s v="Net Banking"/>
    <x v="0"/>
    <n v="4936.2"/>
  </r>
  <r>
    <s v="ORD01634"/>
    <d v="2026-02-14T00:00:00"/>
    <s v="C1521"/>
    <s v="Monitor"/>
    <x v="2"/>
    <n v="4"/>
    <n v="4999"/>
    <n v="0"/>
    <s v="South"/>
    <s v="COD"/>
    <x v="0"/>
    <n v="1358.3"/>
  </r>
  <r>
    <s v="ORD01635"/>
    <d v="2026-07-04T00:00:00"/>
    <s v="C1491"/>
    <s v="Headphones"/>
    <x v="1"/>
    <n v="4"/>
    <n v="499"/>
    <n v="0.1"/>
    <s v="West"/>
    <s v="COD"/>
    <x v="1"/>
    <n v="19996"/>
  </r>
  <r>
    <s v="ORD01636"/>
    <d v="2026-03-16T00:00:00"/>
    <s v="C1289"/>
    <s v="Wireless Mouse"/>
    <x v="3"/>
    <n v="3"/>
    <n v="1299"/>
    <n v="0"/>
    <s v="Central"/>
    <s v="Debit Card"/>
    <x v="0"/>
    <n v="1796.4"/>
  </r>
  <r>
    <s v="ORD01637"/>
    <d v="2026-07-12T00:00:00"/>
    <s v="C1727"/>
    <s v="Wireless Mouse"/>
    <x v="4"/>
    <n v="4"/>
    <n v="1299"/>
    <n v="0.1"/>
    <s v="South"/>
    <s v="COD"/>
    <x v="0"/>
    <n v="3897"/>
  </r>
  <r>
    <s v="ORD01638"/>
    <d v="2026-02-22T00:00:00"/>
    <s v="C1266"/>
    <s v="Webcam"/>
    <x v="4"/>
    <n v="5"/>
    <n v="999"/>
    <n v="0"/>
    <s v="South"/>
    <s v="Debit Card"/>
    <x v="0"/>
    <n v="4676.4000000000005"/>
  </r>
  <r>
    <s v="ORD01639"/>
    <d v="2026-06-27T00:00:00"/>
    <s v="C1655"/>
    <s v="Mechanical Keyboard"/>
    <x v="1"/>
    <n v="5"/>
    <n v="799"/>
    <n v="0"/>
    <s v="West"/>
    <s v="COD"/>
    <x v="1"/>
    <n v="4995"/>
  </r>
  <r>
    <s v="ORD01640"/>
    <d v="2026-06-02T00:00:00"/>
    <s v="C1675"/>
    <s v="Power Bank"/>
    <x v="4"/>
    <n v="4"/>
    <n v="999"/>
    <n v="0.15"/>
    <s v="East"/>
    <s v="UPI"/>
    <x v="0"/>
    <n v="3995"/>
  </r>
  <r>
    <s v="ORD01641"/>
    <d v="2026-08-15T00:00:00"/>
    <s v="C1111"/>
    <s v="Monitor"/>
    <x v="1"/>
    <n v="1"/>
    <n v="999"/>
    <n v="0.05"/>
    <s v="Central"/>
    <s v="Credit Card"/>
    <x v="0"/>
    <n v="3396.6"/>
  </r>
  <r>
    <s v="ORD01642"/>
    <d v="2026-04-18T00:00:00"/>
    <s v="C1547"/>
    <s v="Mechanical Keyboard"/>
    <x v="0"/>
    <n v="5"/>
    <n v="1499"/>
    <n v="0"/>
    <s v="West"/>
    <s v="Debit Card"/>
    <x v="0"/>
    <n v="949.05"/>
  </r>
  <r>
    <s v="ORD01643"/>
    <d v="2026-03-25T00:00:00"/>
    <s v="C1031"/>
    <s v="Headphones"/>
    <x v="2"/>
    <n v="5"/>
    <n v="1999"/>
    <n v="0.05"/>
    <s v="South"/>
    <s v="Debit Card"/>
    <x v="2"/>
    <n v="7495"/>
  </r>
  <r>
    <s v="ORD01644"/>
    <d v="2026-09-17T00:00:00"/>
    <s v="C1510"/>
    <s v="Monitor"/>
    <x v="0"/>
    <n v="1"/>
    <n v="999"/>
    <n v="0.15"/>
    <s v="South"/>
    <s v="UPI"/>
    <x v="0"/>
    <n v="9495.25"/>
  </r>
  <r>
    <s v="ORD01645"/>
    <d v="2026-07-26T00:00:00"/>
    <s v="C1318"/>
    <s v="Bluetooth Speaker"/>
    <x v="2"/>
    <n v="5"/>
    <n v="1499"/>
    <n v="0"/>
    <s v="Central"/>
    <s v="Debit Card"/>
    <x v="2"/>
    <n v="849.15"/>
  </r>
  <r>
    <s v="ORD01646"/>
    <d v="2026-01-09T00:00:00"/>
    <s v="C1287"/>
    <s v="Mechanical Keyboard"/>
    <x v="1"/>
    <n v="4"/>
    <n v="2499"/>
    <n v="0"/>
    <s v="West"/>
    <s v="Credit Card"/>
    <x v="0"/>
    <n v="7495"/>
  </r>
  <r>
    <s v="ORD01647"/>
    <d v="2026-05-25T00:00:00"/>
    <s v="C1496"/>
    <s v="Keyboard"/>
    <x v="1"/>
    <n v="1"/>
    <n v="799"/>
    <n v="0"/>
    <s v="Central"/>
    <s v="Credit Card"/>
    <x v="0"/>
    <n v="9996"/>
  </r>
  <r>
    <s v="ORD01648"/>
    <d v="2026-03-03T00:00:00"/>
    <s v="C1677"/>
    <s v="Mechanical Keyboard"/>
    <x v="0"/>
    <n v="2"/>
    <n v="799"/>
    <n v="0"/>
    <s v="West"/>
    <s v="Credit Card"/>
    <x v="0"/>
    <n v="799"/>
  </r>
  <r>
    <s v="ORD01649"/>
    <d v="2026-08-30T00:00:00"/>
    <s v="C1675"/>
    <s v="Bluetooth Speaker"/>
    <x v="2"/>
    <n v="3"/>
    <n v="2499"/>
    <n v="0"/>
    <s v="South"/>
    <s v="Debit Card"/>
    <x v="2"/>
    <n v="1598"/>
  </r>
  <r>
    <s v="ORD01650"/>
    <d v="2026-03-22T00:00:00"/>
    <s v="C1647"/>
    <s v="Webcam"/>
    <x v="3"/>
    <n v="3"/>
    <n v="999"/>
    <n v="0"/>
    <s v="East"/>
    <s v="UPI"/>
    <x v="0"/>
    <n v="7497"/>
  </r>
  <r>
    <s v="ORD01651"/>
    <d v="2026-06-27T00:00:00"/>
    <s v="C1228"/>
    <s v="Monitor"/>
    <x v="3"/>
    <n v="4"/>
    <n v="4999"/>
    <n v="0.05"/>
    <s v="East"/>
    <s v="UPI"/>
    <x v="0"/>
    <n v="2997"/>
  </r>
  <r>
    <s v="ORD01652"/>
    <d v="2026-03-15T00:00:00"/>
    <s v="C1469"/>
    <s v="USB-C Hub"/>
    <x v="0"/>
    <n v="4"/>
    <n v="999"/>
    <n v="0"/>
    <s v="Central"/>
    <s v="COD"/>
    <x v="2"/>
    <n v="18996.2"/>
  </r>
  <r>
    <s v="ORD01653"/>
    <d v="2026-07-17T00:00:00"/>
    <s v="C1104"/>
    <s v="Bluetooth Speaker"/>
    <x v="1"/>
    <n v="5"/>
    <n v="499"/>
    <n v="0"/>
    <s v="South"/>
    <s v="Net Banking"/>
    <x v="0"/>
    <n v="3996"/>
  </r>
  <r>
    <s v="ORD01654"/>
    <d v="2026-06-30T00:00:00"/>
    <s v="C1656"/>
    <s v="Monitor"/>
    <x v="3"/>
    <n v="4"/>
    <n v="1299"/>
    <n v="0.15"/>
    <s v="South"/>
    <s v="Credit Card"/>
    <x v="0"/>
    <n v="2495"/>
  </r>
  <r>
    <s v="ORD01655"/>
    <d v="2026-07-01T00:00:00"/>
    <s v="C1727"/>
    <s v="Wireless Mouse"/>
    <x v="4"/>
    <n v="4"/>
    <n v="599"/>
    <n v="0.05"/>
    <s v="East"/>
    <s v="UPI"/>
    <x v="0"/>
    <n v="4416.5999999999995"/>
  </r>
  <r>
    <s v="ORD01656"/>
    <d v="2026-04-30T00:00:00"/>
    <s v="C1007"/>
    <s v="Mechanical Keyboard"/>
    <x v="4"/>
    <n v="5"/>
    <n v="999"/>
    <n v="0"/>
    <s v="South"/>
    <s v="Net Banking"/>
    <x v="0"/>
    <n v="2276.1999999999998"/>
  </r>
  <r>
    <s v="ORD01657"/>
    <d v="2026-02-27T00:00:00"/>
    <s v="C1522"/>
    <s v="Headphones"/>
    <x v="0"/>
    <n v="3"/>
    <n v="7999"/>
    <n v="0.05"/>
    <s v="East"/>
    <s v="Debit Card"/>
    <x v="0"/>
    <n v="4995"/>
  </r>
  <r>
    <s v="ORD01658"/>
    <d v="2026-07-18T00:00:00"/>
    <s v="C1727"/>
    <s v="Monitor"/>
    <x v="4"/>
    <n v="2"/>
    <n v="999"/>
    <n v="0"/>
    <s v="East"/>
    <s v="UPI"/>
    <x v="0"/>
    <n v="22797.149999999998"/>
  </r>
  <r>
    <s v="ORD01659"/>
    <d v="2026-05-11T00:00:00"/>
    <s v="C1166"/>
    <s v="Wireless Mouse"/>
    <x v="1"/>
    <n v="4"/>
    <n v="1299"/>
    <n v="0.1"/>
    <s v="North"/>
    <s v="Net Banking"/>
    <x v="0"/>
    <n v="1998"/>
  </r>
  <r>
    <s v="ORD01660"/>
    <d v="2026-04-23T00:00:00"/>
    <s v="C1692"/>
    <s v="Monitor"/>
    <x v="3"/>
    <n v="1"/>
    <n v="1999"/>
    <n v="0.15"/>
    <s v="North"/>
    <s v="UPI"/>
    <x v="0"/>
    <n v="4676.4000000000005"/>
  </r>
  <r>
    <s v="ORD01661"/>
    <d v="2026-08-12T00:00:00"/>
    <s v="C1059"/>
    <s v="USB-C Hub"/>
    <x v="3"/>
    <n v="1"/>
    <n v="599"/>
    <n v="0.1"/>
    <s v="East"/>
    <s v="Net Banking"/>
    <x v="2"/>
    <n v="1699.1499999999999"/>
  </r>
  <r>
    <s v="ORD01662"/>
    <d v="2026-01-31T00:00:00"/>
    <s v="C1097"/>
    <s v="Headphones"/>
    <x v="2"/>
    <n v="2"/>
    <n v="1499"/>
    <n v="0.1"/>
    <s v="Central"/>
    <s v="Credit Card"/>
    <x v="2"/>
    <n v="539.1"/>
  </r>
  <r>
    <s v="ORD01663"/>
    <d v="2026-02-14T00:00:00"/>
    <s v="C1690"/>
    <s v="Mechanical Keyboard"/>
    <x v="1"/>
    <n v="4"/>
    <n v="499"/>
    <n v="0"/>
    <s v="South"/>
    <s v="Credit Card"/>
    <x v="0"/>
    <n v="2698.2000000000003"/>
  </r>
  <r>
    <s v="ORD01664"/>
    <d v="2026-04-11T00:00:00"/>
    <s v="C1215"/>
    <s v="Monitor"/>
    <x v="4"/>
    <n v="5"/>
    <n v="999"/>
    <n v="0.1"/>
    <s v="East"/>
    <s v="UPI"/>
    <x v="2"/>
    <n v="1996"/>
  </r>
  <r>
    <s v="ORD01665"/>
    <d v="2026-09-25T00:00:00"/>
    <s v="C1399"/>
    <s v="Headphones"/>
    <x v="1"/>
    <n v="2"/>
    <n v="1499"/>
    <n v="0"/>
    <s v="South"/>
    <s v="Net Banking"/>
    <x v="0"/>
    <n v="4495.5"/>
  </r>
  <r>
    <s v="ORD01666"/>
    <d v="2026-04-11T00:00:00"/>
    <s v="C1251"/>
    <s v="Monitor"/>
    <x v="4"/>
    <n v="5"/>
    <n v="1499"/>
    <n v="0.15"/>
    <s v="East"/>
    <s v="COD"/>
    <x v="0"/>
    <n v="2998"/>
  </r>
  <r>
    <s v="ORD01667"/>
    <d v="2026-06-26T00:00:00"/>
    <s v="C1713"/>
    <s v="Mechanical Keyboard"/>
    <x v="0"/>
    <n v="2"/>
    <n v="1999"/>
    <n v="0.15"/>
    <s v="Central"/>
    <s v="Debit Card"/>
    <x v="1"/>
    <n v="6370.75"/>
  </r>
  <r>
    <s v="ORD01668"/>
    <d v="2026-09-25T00:00:00"/>
    <s v="C1204"/>
    <s v="Power Bank"/>
    <x v="3"/>
    <n v="2"/>
    <n v="599"/>
    <n v="0"/>
    <s v="Central"/>
    <s v="Net Banking"/>
    <x v="1"/>
    <n v="3398.2999999999997"/>
  </r>
  <r>
    <s v="ORD01669"/>
    <d v="2026-06-09T00:00:00"/>
    <s v="C1648"/>
    <s v="Webcam"/>
    <x v="0"/>
    <n v="3"/>
    <n v="999"/>
    <n v="0"/>
    <s v="East"/>
    <s v="Net Banking"/>
    <x v="2"/>
    <n v="1198"/>
  </r>
  <r>
    <s v="ORD01670"/>
    <d v="2026-09-20T00:00:00"/>
    <s v="C1597"/>
    <s v="Bluetooth Speaker"/>
    <x v="0"/>
    <n v="4"/>
    <n v="2499"/>
    <n v="0"/>
    <s v="South"/>
    <s v="Net Banking"/>
    <x v="2"/>
    <n v="2997"/>
  </r>
  <r>
    <s v="ORD01671"/>
    <d v="2026-01-20T00:00:00"/>
    <s v="C1587"/>
    <s v="Mechanical Keyboard"/>
    <x v="0"/>
    <n v="5"/>
    <n v="799"/>
    <n v="0.1"/>
    <s v="East"/>
    <s v="COD"/>
    <x v="0"/>
    <n v="9996"/>
  </r>
  <r>
    <s v="ORD01672"/>
    <d v="2026-09-15T00:00:00"/>
    <s v="C1276"/>
    <s v="Webcam"/>
    <x v="3"/>
    <n v="1"/>
    <n v="1499"/>
    <n v="0"/>
    <s v="West"/>
    <s v="Credit Card"/>
    <x v="2"/>
    <n v="3595.5"/>
  </r>
  <r>
    <s v="ORD01673"/>
    <d v="2026-02-20T00:00:00"/>
    <s v="C1531"/>
    <s v="Laptop Stand"/>
    <x v="1"/>
    <n v="4"/>
    <n v="499"/>
    <n v="0.15"/>
    <s v="Central"/>
    <s v="UPI"/>
    <x v="2"/>
    <n v="1499"/>
  </r>
  <r>
    <s v="ORD01674"/>
    <d v="2026-08-08T00:00:00"/>
    <s v="C1108"/>
    <s v="Power Bank"/>
    <x v="0"/>
    <n v="5"/>
    <n v="1999"/>
    <n v="0"/>
    <s v="West"/>
    <s v="Net Banking"/>
    <x v="2"/>
    <n v="1696.6"/>
  </r>
  <r>
    <s v="ORD01675"/>
    <d v="2026-04-22T00:00:00"/>
    <s v="C1632"/>
    <s v="Laptop Stand"/>
    <x v="3"/>
    <n v="3"/>
    <n v="499"/>
    <n v="0"/>
    <s v="North"/>
    <s v="UPI"/>
    <x v="0"/>
    <n v="9995"/>
  </r>
  <r>
    <s v="ORD01676"/>
    <d v="2026-01-01T00:00:00"/>
    <s v="C1783"/>
    <s v="Wireless Mouse"/>
    <x v="0"/>
    <n v="3"/>
    <n v="599"/>
    <n v="0"/>
    <s v="West"/>
    <s v="COD"/>
    <x v="1"/>
    <n v="1497"/>
  </r>
  <r>
    <s v="ORD01677"/>
    <d v="2026-05-11T00:00:00"/>
    <s v="C1471"/>
    <s v="Bluetooth Speaker"/>
    <x v="1"/>
    <n v="3"/>
    <n v="1299"/>
    <n v="0.05"/>
    <s v="West"/>
    <s v="Credit Card"/>
    <x v="0"/>
    <n v="1797"/>
  </r>
  <r>
    <s v="ORD01678"/>
    <d v="2026-07-15T00:00:00"/>
    <s v="C1453"/>
    <s v="Monitor"/>
    <x v="2"/>
    <n v="3"/>
    <n v="599"/>
    <n v="0"/>
    <s v="North"/>
    <s v="COD"/>
    <x v="0"/>
    <n v="3702.1499999999996"/>
  </r>
  <r>
    <s v="ORD01679"/>
    <d v="2026-08-21T00:00:00"/>
    <s v="C1021"/>
    <s v="Keyboard"/>
    <x v="2"/>
    <n v="2"/>
    <n v="499"/>
    <n v="0"/>
    <s v="North"/>
    <s v="Net Banking"/>
    <x v="0"/>
    <n v="1797"/>
  </r>
  <r>
    <s v="ORD01680"/>
    <d v="2026-07-24T00:00:00"/>
    <s v="C1301"/>
    <s v="Headphones"/>
    <x v="1"/>
    <n v="4"/>
    <n v="599"/>
    <n v="0.15"/>
    <s v="West"/>
    <s v="UPI"/>
    <x v="0"/>
    <n v="998"/>
  </r>
  <r>
    <s v="ORD01681"/>
    <d v="2026-08-22T00:00:00"/>
    <s v="C1499"/>
    <s v="Headphones"/>
    <x v="4"/>
    <n v="4"/>
    <n v="599"/>
    <n v="0.05"/>
    <s v="West"/>
    <s v="COD"/>
    <x v="2"/>
    <n v="2036.6"/>
  </r>
  <r>
    <s v="ORD01682"/>
    <d v="2026-09-04T00:00:00"/>
    <s v="C1206"/>
    <s v="Wireless Mouse"/>
    <x v="4"/>
    <n v="5"/>
    <n v="7999"/>
    <n v="0.1"/>
    <s v="East"/>
    <s v="Credit Card"/>
    <x v="2"/>
    <n v="2276.1999999999998"/>
  </r>
  <r>
    <s v="ORD01683"/>
    <d v="2026-04-20T00:00:00"/>
    <s v="C1745"/>
    <s v="USB-C Hub"/>
    <x v="2"/>
    <n v="2"/>
    <n v="4999"/>
    <n v="0"/>
    <s v="Central"/>
    <s v="COD"/>
    <x v="0"/>
    <n v="35995.5"/>
  </r>
  <r>
    <s v="ORD01684"/>
    <d v="2026-02-17T00:00:00"/>
    <s v="C1407"/>
    <s v="Headphones"/>
    <x v="2"/>
    <n v="4"/>
    <n v="499"/>
    <n v="0.05"/>
    <s v="East"/>
    <s v="Debit Card"/>
    <x v="0"/>
    <n v="9998"/>
  </r>
  <r>
    <s v="ORD01685"/>
    <d v="2026-03-09T00:00:00"/>
    <s v="C1773"/>
    <s v="Power Bank"/>
    <x v="2"/>
    <n v="4"/>
    <n v="2499"/>
    <n v="0.1"/>
    <s v="Central"/>
    <s v="COD"/>
    <x v="0"/>
    <n v="1896.1999999999998"/>
  </r>
  <r>
    <s v="ORD01686"/>
    <d v="2026-05-08T00:00:00"/>
    <s v="C1653"/>
    <s v="Wireless Mouse"/>
    <x v="1"/>
    <n v="1"/>
    <n v="999"/>
    <n v="0.1"/>
    <s v="West"/>
    <s v="Credit Card"/>
    <x v="1"/>
    <n v="8996.4"/>
  </r>
  <r>
    <s v="ORD01687"/>
    <d v="2026-05-14T00:00:00"/>
    <s v="C1300"/>
    <s v="Laptop Stand"/>
    <x v="3"/>
    <n v="5"/>
    <n v="999"/>
    <n v="0.05"/>
    <s v="East"/>
    <s v="UPI"/>
    <x v="1"/>
    <n v="899.1"/>
  </r>
  <r>
    <s v="ORD01688"/>
    <d v="2026-07-19T00:00:00"/>
    <s v="C1153"/>
    <s v="Wireless Mouse"/>
    <x v="1"/>
    <n v="2"/>
    <n v="4999"/>
    <n v="0.1"/>
    <s v="North"/>
    <s v="UPI"/>
    <x v="1"/>
    <n v="4745.25"/>
  </r>
  <r>
    <s v="ORD01689"/>
    <d v="2026-04-30T00:00:00"/>
    <s v="C1576"/>
    <s v="Monitor"/>
    <x v="2"/>
    <n v="2"/>
    <n v="1499"/>
    <n v="0.15"/>
    <s v="Central"/>
    <s v="Credit Card"/>
    <x v="2"/>
    <n v="8998.2000000000007"/>
  </r>
  <r>
    <s v="ORD01690"/>
    <d v="2026-05-03T00:00:00"/>
    <s v="C1317"/>
    <s v="Headphones"/>
    <x v="4"/>
    <n v="4"/>
    <n v="599"/>
    <n v="0.05"/>
    <s v="Central"/>
    <s v="Debit Card"/>
    <x v="0"/>
    <n v="2548.2999999999997"/>
  </r>
  <r>
    <s v="ORD01691"/>
    <d v="2026-07-22T00:00:00"/>
    <s v="C1348"/>
    <s v="Webcam"/>
    <x v="3"/>
    <n v="4"/>
    <n v="1299"/>
    <n v="0"/>
    <s v="East"/>
    <s v="Net Banking"/>
    <x v="0"/>
    <n v="2276.1999999999998"/>
  </r>
  <r>
    <s v="ORD01692"/>
    <d v="2026-04-25T00:00:00"/>
    <s v="C1644"/>
    <s v="Power Bank"/>
    <x v="2"/>
    <n v="3"/>
    <n v="4999"/>
    <n v="0"/>
    <s v="South"/>
    <s v="Net Banking"/>
    <x v="0"/>
    <n v="5196"/>
  </r>
  <r>
    <s v="ORD01693"/>
    <d v="2026-07-20T00:00:00"/>
    <s v="C1036"/>
    <s v="Headphones"/>
    <x v="2"/>
    <n v="2"/>
    <n v="7999"/>
    <n v="0.05"/>
    <s v="Central"/>
    <s v="Debit Card"/>
    <x v="2"/>
    <n v="14997"/>
  </r>
  <r>
    <s v="ORD01694"/>
    <d v="2026-01-27T00:00:00"/>
    <s v="C1070"/>
    <s v="USB-C Hub"/>
    <x v="4"/>
    <n v="4"/>
    <n v="1299"/>
    <n v="0.15"/>
    <s v="East"/>
    <s v="Net Banking"/>
    <x v="0"/>
    <n v="15198.099999999999"/>
  </r>
  <r>
    <s v="ORD01695"/>
    <d v="2026-03-29T00:00:00"/>
    <s v="C1237"/>
    <s v="Power Bank"/>
    <x v="3"/>
    <n v="4"/>
    <n v="4999"/>
    <n v="0.1"/>
    <s v="Central"/>
    <s v="UPI"/>
    <x v="0"/>
    <n v="4416.5999999999995"/>
  </r>
  <r>
    <s v="ORD01696"/>
    <d v="2026-02-20T00:00:00"/>
    <s v="C1601"/>
    <s v="Power Bank"/>
    <x v="4"/>
    <n v="4"/>
    <n v="799"/>
    <n v="0"/>
    <s v="South"/>
    <s v="Net Banking"/>
    <x v="0"/>
    <n v="17996.400000000001"/>
  </r>
  <r>
    <s v="ORD01697"/>
    <d v="2026-03-28T00:00:00"/>
    <s v="C1261"/>
    <s v="Laptop Stand"/>
    <x v="2"/>
    <n v="2"/>
    <n v="499"/>
    <n v="0.15"/>
    <s v="East"/>
    <s v="UPI"/>
    <x v="0"/>
    <n v="3196"/>
  </r>
  <r>
    <s v="ORD01698"/>
    <d v="2026-03-11T00:00:00"/>
    <s v="C1245"/>
    <s v="Keyboard"/>
    <x v="2"/>
    <n v="4"/>
    <n v="1299"/>
    <n v="0.1"/>
    <s v="Central"/>
    <s v="COD"/>
    <x v="2"/>
    <n v="848.3"/>
  </r>
  <r>
    <s v="ORD01699"/>
    <d v="2026-05-28T00:00:00"/>
    <s v="C1029"/>
    <s v="Wireless Mouse"/>
    <x v="3"/>
    <n v="3"/>
    <n v="2499"/>
    <n v="0.15"/>
    <s v="West"/>
    <s v="Debit Card"/>
    <x v="1"/>
    <n v="4676.4000000000005"/>
  </r>
  <r>
    <s v="ORD01700"/>
    <d v="2026-08-09T00:00:00"/>
    <s v="C1606"/>
    <s v="Headphones"/>
    <x v="0"/>
    <n v="1"/>
    <n v="1499"/>
    <n v="0"/>
    <s v="Central"/>
    <s v="Debit Card"/>
    <x v="2"/>
    <n v="6372.45"/>
  </r>
  <r>
    <s v="ORD01701"/>
    <d v="2026-03-01T00:00:00"/>
    <s v="C1134"/>
    <s v="USB-C Hub"/>
    <x v="2"/>
    <n v="2"/>
    <n v="1999"/>
    <n v="0"/>
    <s v="East"/>
    <s v="COD"/>
    <x v="0"/>
    <n v="1499"/>
  </r>
  <r>
    <s v="ORD01702"/>
    <d v="2026-02-03T00:00:00"/>
    <s v="C1577"/>
    <s v="Power Bank"/>
    <x v="4"/>
    <n v="1"/>
    <n v="1999"/>
    <n v="0.15"/>
    <s v="North"/>
    <s v="Net Banking"/>
    <x v="0"/>
    <n v="3998"/>
  </r>
  <r>
    <s v="ORD01703"/>
    <d v="2026-08-28T00:00:00"/>
    <s v="C1675"/>
    <s v="Power Bank"/>
    <x v="4"/>
    <n v="3"/>
    <n v="599"/>
    <n v="0.1"/>
    <s v="South"/>
    <s v="COD"/>
    <x v="2"/>
    <n v="1699.1499999999999"/>
  </r>
  <r>
    <s v="ORD01704"/>
    <d v="2026-09-19T00:00:00"/>
    <s v="C1234"/>
    <s v="Headphones"/>
    <x v="1"/>
    <n v="2"/>
    <n v="499"/>
    <n v="0.05"/>
    <s v="South"/>
    <s v="Net Banking"/>
    <x v="0"/>
    <n v="1617.3"/>
  </r>
  <r>
    <s v="ORD01705"/>
    <d v="2026-08-01T00:00:00"/>
    <s v="C1799"/>
    <s v="Keyboard"/>
    <x v="1"/>
    <n v="3"/>
    <n v="799"/>
    <n v="0.05"/>
    <s v="South"/>
    <s v="COD"/>
    <x v="2"/>
    <n v="948.09999999999991"/>
  </r>
  <r>
    <s v="ORD01706"/>
    <d v="2026-07-15T00:00:00"/>
    <s v="C1237"/>
    <s v="Monitor"/>
    <x v="1"/>
    <n v="1"/>
    <n v="1499"/>
    <n v="0"/>
    <s v="East"/>
    <s v="UPI"/>
    <x v="1"/>
    <n v="2277.15"/>
  </r>
  <r>
    <s v="ORD01707"/>
    <d v="2026-08-31T00:00:00"/>
    <s v="C1248"/>
    <s v="Headphones"/>
    <x v="3"/>
    <n v="4"/>
    <n v="599"/>
    <n v="0.15"/>
    <s v="West"/>
    <s v="COD"/>
    <x v="0"/>
    <n v="1499"/>
  </r>
  <r>
    <s v="ORD01708"/>
    <d v="2026-05-03T00:00:00"/>
    <s v="C1517"/>
    <s v="Bluetooth Speaker"/>
    <x v="4"/>
    <n v="1"/>
    <n v="999"/>
    <n v="0"/>
    <s v="Central"/>
    <s v="Debit Card"/>
    <x v="2"/>
    <n v="2036.6"/>
  </r>
  <r>
    <s v="ORD01709"/>
    <d v="2026-04-23T00:00:00"/>
    <s v="C1586"/>
    <s v="Keyboard"/>
    <x v="0"/>
    <n v="3"/>
    <n v="1999"/>
    <n v="0"/>
    <s v="North"/>
    <s v="UPI"/>
    <x v="0"/>
    <n v="999"/>
  </r>
  <r>
    <s v="ORD01710"/>
    <d v="2026-06-30T00:00:00"/>
    <s v="C1432"/>
    <s v="Wireless Mouse"/>
    <x v="3"/>
    <n v="3"/>
    <n v="1299"/>
    <n v="0.1"/>
    <s v="North"/>
    <s v="Net Banking"/>
    <x v="0"/>
    <n v="5997"/>
  </r>
  <r>
    <s v="ORD01711"/>
    <d v="2026-07-29T00:00:00"/>
    <s v="C1793"/>
    <s v="Wireless Mouse"/>
    <x v="4"/>
    <n v="1"/>
    <n v="1499"/>
    <n v="0.1"/>
    <s v="East"/>
    <s v="Net Banking"/>
    <x v="0"/>
    <n v="3507.3"/>
  </r>
  <r>
    <s v="ORD01712"/>
    <d v="2026-08-16T00:00:00"/>
    <s v="C1618"/>
    <s v="Mechanical Keyboard"/>
    <x v="3"/>
    <n v="4"/>
    <n v="1299"/>
    <n v="0.1"/>
    <s v="North"/>
    <s v="Debit Card"/>
    <x v="2"/>
    <n v="1349.1000000000001"/>
  </r>
  <r>
    <s v="ORD01713"/>
    <d v="2026-07-22T00:00:00"/>
    <s v="C1396"/>
    <s v="Headphones"/>
    <x v="1"/>
    <n v="1"/>
    <n v="1499"/>
    <n v="0"/>
    <s v="Central"/>
    <s v="Net Banking"/>
    <x v="0"/>
    <n v="4676.4000000000005"/>
  </r>
  <r>
    <s v="ORD01714"/>
    <d v="2026-07-04T00:00:00"/>
    <s v="C1361"/>
    <s v="Laptop Stand"/>
    <x v="0"/>
    <n v="2"/>
    <n v="4999"/>
    <n v="0.05"/>
    <s v="Central"/>
    <s v="UPI"/>
    <x v="0"/>
    <n v="1499"/>
  </r>
  <r>
    <s v="ORD01715"/>
    <d v="2026-01-07T00:00:00"/>
    <s v="C1397"/>
    <s v="Webcam"/>
    <x v="1"/>
    <n v="4"/>
    <n v="1999"/>
    <n v="0.05"/>
    <s v="Central"/>
    <s v="UPI"/>
    <x v="0"/>
    <n v="9498.1"/>
  </r>
  <r>
    <s v="ORD01716"/>
    <d v="2026-01-24T00:00:00"/>
    <s v="C1702"/>
    <s v="Wireless Mouse"/>
    <x v="1"/>
    <n v="2"/>
    <n v="1999"/>
    <n v="0.15"/>
    <s v="West"/>
    <s v="COD"/>
    <x v="2"/>
    <n v="7596.2"/>
  </r>
  <r>
    <s v="ORD01717"/>
    <d v="2026-04-21T00:00:00"/>
    <s v="C1484"/>
    <s v="Monitor"/>
    <x v="1"/>
    <n v="5"/>
    <n v="499"/>
    <n v="0.15"/>
    <s v="North"/>
    <s v="Credit Card"/>
    <x v="1"/>
    <n v="3398.2999999999997"/>
  </r>
  <r>
    <s v="ORD01718"/>
    <d v="2026-07-24T00:00:00"/>
    <s v="C1781"/>
    <s v="Monitor"/>
    <x v="2"/>
    <n v="1"/>
    <n v="1299"/>
    <n v="0.15"/>
    <s v="Central"/>
    <s v="Credit Card"/>
    <x v="0"/>
    <n v="2120.75"/>
  </r>
  <r>
    <s v="ORD01719"/>
    <d v="2026-01-22T00:00:00"/>
    <s v="C1037"/>
    <s v="Power Bank"/>
    <x v="3"/>
    <n v="1"/>
    <n v="7999"/>
    <n v="0.05"/>
    <s v="West"/>
    <s v="COD"/>
    <x v="1"/>
    <n v="1104.1499999999999"/>
  </r>
  <r>
    <s v="ORD01720"/>
    <d v="2026-05-27T00:00:00"/>
    <s v="C1168"/>
    <s v="Bluetooth Speaker"/>
    <x v="3"/>
    <n v="2"/>
    <n v="999"/>
    <n v="0"/>
    <s v="Central"/>
    <s v="Credit Card"/>
    <x v="0"/>
    <n v="7599.0499999999993"/>
  </r>
  <r>
    <s v="ORD01721"/>
    <d v="2026-01-01T00:00:00"/>
    <s v="C1382"/>
    <s v="Power Bank"/>
    <x v="1"/>
    <n v="4"/>
    <n v="599"/>
    <n v="0"/>
    <s v="Central"/>
    <s v="Debit Card"/>
    <x v="1"/>
    <n v="1998"/>
  </r>
  <r>
    <s v="ORD01722"/>
    <d v="2026-07-02T00:00:00"/>
    <s v="C1004"/>
    <s v="Headphones"/>
    <x v="3"/>
    <n v="5"/>
    <n v="599"/>
    <n v="0.15"/>
    <s v="Central"/>
    <s v="Debit Card"/>
    <x v="2"/>
    <n v="2396"/>
  </r>
  <r>
    <s v="ORD01723"/>
    <d v="2026-09-24T00:00:00"/>
    <s v="C1162"/>
    <s v="Bluetooth Speaker"/>
    <x v="4"/>
    <n v="1"/>
    <n v="1999"/>
    <n v="0.15"/>
    <s v="East"/>
    <s v="UPI"/>
    <x v="2"/>
    <n v="2545.75"/>
  </r>
  <r>
    <s v="ORD01724"/>
    <d v="2026-03-24T00:00:00"/>
    <s v="C1602"/>
    <s v="Wireless Mouse"/>
    <x v="0"/>
    <n v="1"/>
    <n v="799"/>
    <n v="0"/>
    <s v="East"/>
    <s v="Credit Card"/>
    <x v="0"/>
    <n v="1699.1499999999999"/>
  </r>
  <r>
    <s v="ORD01725"/>
    <d v="2026-03-18T00:00:00"/>
    <s v="C1400"/>
    <s v="Laptop Stand"/>
    <x v="4"/>
    <n v="5"/>
    <n v="999"/>
    <n v="0.15"/>
    <s v="North"/>
    <s v="Credit Card"/>
    <x v="0"/>
    <n v="799"/>
  </r>
  <r>
    <s v="ORD01726"/>
    <d v="2026-09-12T00:00:00"/>
    <s v="C1708"/>
    <s v="USB-C Hub"/>
    <x v="2"/>
    <n v="4"/>
    <n v="1499"/>
    <n v="0"/>
    <s v="North"/>
    <s v="UPI"/>
    <x v="0"/>
    <n v="4245.75"/>
  </r>
  <r>
    <s v="ORD01727"/>
    <d v="2026-02-20T00:00:00"/>
    <s v="C1533"/>
    <s v="Wireless Mouse"/>
    <x v="4"/>
    <n v="1"/>
    <n v="7999"/>
    <n v="0"/>
    <s v="South"/>
    <s v="COD"/>
    <x v="0"/>
    <n v="5996"/>
  </r>
  <r>
    <s v="ORD01728"/>
    <d v="2026-09-24T00:00:00"/>
    <s v="C1049"/>
    <s v="Wireless Mouse"/>
    <x v="4"/>
    <n v="5"/>
    <n v="799"/>
    <n v="0.1"/>
    <s v="East"/>
    <s v="Net Banking"/>
    <x v="0"/>
    <n v="7999"/>
  </r>
  <r>
    <s v="ORD01729"/>
    <d v="2026-01-23T00:00:00"/>
    <s v="C1593"/>
    <s v="Power Bank"/>
    <x v="0"/>
    <n v="3"/>
    <n v="2499"/>
    <n v="0"/>
    <s v="East"/>
    <s v="Debit Card"/>
    <x v="2"/>
    <n v="3595.5"/>
  </r>
  <r>
    <s v="ORD01730"/>
    <d v="2026-01-29T00:00:00"/>
    <s v="C1706"/>
    <s v="Power Bank"/>
    <x v="4"/>
    <n v="3"/>
    <n v="1999"/>
    <n v="0.1"/>
    <s v="West"/>
    <s v="Credit Card"/>
    <x v="0"/>
    <n v="7497"/>
  </r>
  <r>
    <s v="ORD01731"/>
    <d v="2026-04-16T00:00:00"/>
    <s v="C1193"/>
    <s v="Keyboard"/>
    <x v="3"/>
    <n v="3"/>
    <n v="7999"/>
    <n v="0"/>
    <s v="Central"/>
    <s v="Debit Card"/>
    <x v="0"/>
    <n v="5397.3"/>
  </r>
  <r>
    <s v="ORD01732"/>
    <d v="2026-02-16T00:00:00"/>
    <s v="C1719"/>
    <s v="Monitor"/>
    <x v="3"/>
    <n v="3"/>
    <n v="499"/>
    <n v="0"/>
    <s v="Central"/>
    <s v="Net Banking"/>
    <x v="0"/>
    <n v="23997"/>
  </r>
  <r>
    <s v="ORD01733"/>
    <d v="2026-02-14T00:00:00"/>
    <s v="C1352"/>
    <s v="Power Bank"/>
    <x v="0"/>
    <n v="4"/>
    <n v="1999"/>
    <n v="0"/>
    <s v="North"/>
    <s v="UPI"/>
    <x v="0"/>
    <n v="1497"/>
  </r>
  <r>
    <s v="ORD01734"/>
    <d v="2026-06-23T00:00:00"/>
    <s v="C1069"/>
    <s v="Wireless Mouse"/>
    <x v="0"/>
    <n v="1"/>
    <n v="499"/>
    <n v="0"/>
    <s v="East"/>
    <s v="Net Banking"/>
    <x v="2"/>
    <n v="7996"/>
  </r>
  <r>
    <s v="ORD01735"/>
    <d v="2026-07-28T00:00:00"/>
    <s v="C1403"/>
    <s v="Headphones"/>
    <x v="4"/>
    <n v="4"/>
    <n v="7999"/>
    <n v="0.15"/>
    <s v="West"/>
    <s v="Credit Card"/>
    <x v="0"/>
    <n v="499"/>
  </r>
  <r>
    <s v="ORD01736"/>
    <d v="2026-04-03T00:00:00"/>
    <s v="C1406"/>
    <s v="Power Bank"/>
    <x v="3"/>
    <n v="3"/>
    <n v="4999"/>
    <n v="0"/>
    <s v="South"/>
    <s v="Credit Card"/>
    <x v="0"/>
    <n v="27196.6"/>
  </r>
  <r>
    <s v="ORD01737"/>
    <d v="2026-06-09T00:00:00"/>
    <s v="C1707"/>
    <s v="Bluetooth Speaker"/>
    <x v="2"/>
    <n v="1"/>
    <n v="1499"/>
    <n v="0"/>
    <s v="West"/>
    <s v="COD"/>
    <x v="2"/>
    <n v="14997"/>
  </r>
  <r>
    <s v="ORD01738"/>
    <d v="2026-03-13T00:00:00"/>
    <s v="C1495"/>
    <s v="USB-C Hub"/>
    <x v="0"/>
    <n v="2"/>
    <n v="2499"/>
    <n v="0.05"/>
    <s v="West"/>
    <s v="Credit Card"/>
    <x v="1"/>
    <n v="1499"/>
  </r>
  <r>
    <s v="ORD01739"/>
    <d v="2026-06-03T00:00:00"/>
    <s v="C1641"/>
    <s v="Mechanical Keyboard"/>
    <x v="1"/>
    <n v="3"/>
    <n v="1299"/>
    <n v="0.05"/>
    <s v="North"/>
    <s v="UPI"/>
    <x v="0"/>
    <n v="4748.0999999999995"/>
  </r>
  <r>
    <s v="ORD01740"/>
    <d v="2026-07-25T00:00:00"/>
    <s v="C1597"/>
    <s v="Headphones"/>
    <x v="0"/>
    <n v="2"/>
    <n v="499"/>
    <n v="0"/>
    <s v="East"/>
    <s v="Debit Card"/>
    <x v="0"/>
    <n v="3702.1499999999996"/>
  </r>
  <r>
    <s v="ORD01741"/>
    <d v="2026-09-12T00:00:00"/>
    <s v="C1653"/>
    <s v="Keyboard"/>
    <x v="1"/>
    <n v="4"/>
    <n v="999"/>
    <n v="0.15"/>
    <s v="West"/>
    <s v="UPI"/>
    <x v="0"/>
    <n v="998"/>
  </r>
  <r>
    <s v="ORD01742"/>
    <d v="2026-04-30T00:00:00"/>
    <s v="C1041"/>
    <s v="Mechanical Keyboard"/>
    <x v="4"/>
    <n v="5"/>
    <n v="1999"/>
    <n v="0"/>
    <s v="South"/>
    <s v="UPI"/>
    <x v="0"/>
    <n v="3396.6"/>
  </r>
  <r>
    <s v="ORD01743"/>
    <d v="2026-09-17T00:00:00"/>
    <s v="C1728"/>
    <s v="USB-C Hub"/>
    <x v="4"/>
    <n v="5"/>
    <n v="1999"/>
    <n v="0.05"/>
    <s v="South"/>
    <s v="Debit Card"/>
    <x v="0"/>
    <n v="9995"/>
  </r>
  <r>
    <s v="ORD01744"/>
    <d v="2026-08-08T00:00:00"/>
    <s v="C1643"/>
    <s v="USB-C Hub"/>
    <x v="0"/>
    <n v="3"/>
    <n v="1299"/>
    <n v="0.15"/>
    <s v="North"/>
    <s v="Net Banking"/>
    <x v="0"/>
    <n v="9495.25"/>
  </r>
  <r>
    <s v="ORD01745"/>
    <d v="2026-01-16T00:00:00"/>
    <s v="C1439"/>
    <s v="Keyboard"/>
    <x v="2"/>
    <n v="2"/>
    <n v="4999"/>
    <n v="0"/>
    <s v="Central"/>
    <s v="Debit Card"/>
    <x v="0"/>
    <n v="3312.45"/>
  </r>
  <r>
    <s v="ORD01746"/>
    <d v="2026-08-03T00:00:00"/>
    <s v="C1060"/>
    <s v="Laptop Stand"/>
    <x v="1"/>
    <n v="1"/>
    <n v="4999"/>
    <n v="0.1"/>
    <s v="South"/>
    <s v="Debit Card"/>
    <x v="0"/>
    <n v="9998"/>
  </r>
  <r>
    <s v="ORD01747"/>
    <d v="2026-03-24T00:00:00"/>
    <s v="C1112"/>
    <s v="Monitor"/>
    <x v="4"/>
    <n v="5"/>
    <n v="1499"/>
    <n v="0"/>
    <s v="West"/>
    <s v="Credit Card"/>
    <x v="0"/>
    <n v="4499.1000000000004"/>
  </r>
  <r>
    <s v="ORD01748"/>
    <d v="2026-08-20T00:00:00"/>
    <s v="C1325"/>
    <s v="Power Bank"/>
    <x v="0"/>
    <n v="4"/>
    <n v="1499"/>
    <n v="0"/>
    <s v="Central"/>
    <s v="Debit Card"/>
    <x v="0"/>
    <n v="7495"/>
  </r>
  <r>
    <s v="ORD01749"/>
    <d v="2026-02-23T00:00:00"/>
    <s v="C1311"/>
    <s v="Headphones"/>
    <x v="3"/>
    <n v="5"/>
    <n v="1299"/>
    <n v="0.15"/>
    <s v="North"/>
    <s v="Debit Card"/>
    <x v="0"/>
    <n v="5996"/>
  </r>
  <r>
    <s v="ORD01750"/>
    <d v="2026-02-16T00:00:00"/>
    <s v="C1578"/>
    <s v="Headphones"/>
    <x v="1"/>
    <n v="5"/>
    <n v="1299"/>
    <n v="0"/>
    <s v="East"/>
    <s v="UPI"/>
    <x v="0"/>
    <n v="5520.75"/>
  </r>
  <r>
    <s v="ORD01751"/>
    <d v="2026-05-27T00:00:00"/>
    <s v="C1762"/>
    <s v="Mechanical Keyboard"/>
    <x v="3"/>
    <n v="3"/>
    <n v="1299"/>
    <n v="0.15"/>
    <s v="East"/>
    <s v="UPI"/>
    <x v="2"/>
    <n v="6495"/>
  </r>
  <r>
    <s v="ORD01752"/>
    <d v="2026-02-25T00:00:00"/>
    <s v="C1141"/>
    <s v="Keyboard"/>
    <x v="2"/>
    <n v="5"/>
    <n v="1499"/>
    <n v="0"/>
    <s v="West"/>
    <s v="UPI"/>
    <x v="0"/>
    <n v="3312.45"/>
  </r>
  <r>
    <s v="ORD01753"/>
    <d v="2026-09-08T00:00:00"/>
    <s v="C1133"/>
    <s v="Laptop Stand"/>
    <x v="4"/>
    <n v="2"/>
    <n v="1299"/>
    <n v="0.15"/>
    <s v="Central"/>
    <s v="COD"/>
    <x v="2"/>
    <n v="7495"/>
  </r>
  <r>
    <s v="ORD01754"/>
    <d v="2026-07-02T00:00:00"/>
    <s v="C1265"/>
    <s v="Headphones"/>
    <x v="0"/>
    <n v="3"/>
    <n v="1499"/>
    <n v="0.05"/>
    <s v="South"/>
    <s v="Net Banking"/>
    <x v="2"/>
    <n v="2208.2999999999997"/>
  </r>
  <r>
    <s v="ORD01755"/>
    <d v="2026-02-21T00:00:00"/>
    <s v="C1011"/>
    <s v="Webcam"/>
    <x v="0"/>
    <n v="5"/>
    <n v="799"/>
    <n v="0.05"/>
    <s v="South"/>
    <s v="COD"/>
    <x v="0"/>
    <n v="4272.1499999999996"/>
  </r>
  <r>
    <s v="ORD01756"/>
    <d v="2026-09-24T00:00:00"/>
    <s v="C1036"/>
    <s v="Monitor"/>
    <x v="2"/>
    <n v="1"/>
    <n v="799"/>
    <n v="0"/>
    <s v="North"/>
    <s v="UPI"/>
    <x v="2"/>
    <n v="3795.25"/>
  </r>
  <r>
    <s v="ORD01757"/>
    <d v="2026-05-08T00:00:00"/>
    <s v="C1532"/>
    <s v="Wireless Mouse"/>
    <x v="1"/>
    <n v="3"/>
    <n v="1499"/>
    <n v="0"/>
    <s v="North"/>
    <s v="Debit Card"/>
    <x v="0"/>
    <n v="799"/>
  </r>
  <r>
    <s v="ORD01758"/>
    <d v="2026-01-08T00:00:00"/>
    <s v="C1089"/>
    <s v="Keyboard"/>
    <x v="1"/>
    <n v="1"/>
    <n v="7999"/>
    <n v="0.15"/>
    <s v="Central"/>
    <s v="UPI"/>
    <x v="0"/>
    <n v="4497"/>
  </r>
  <r>
    <s v="ORD01759"/>
    <d v="2026-07-28T00:00:00"/>
    <s v="C1800"/>
    <s v="Webcam"/>
    <x v="3"/>
    <n v="5"/>
    <n v="1299"/>
    <n v="0.15"/>
    <s v="North"/>
    <s v="Credit Card"/>
    <x v="2"/>
    <n v="6799.15"/>
  </r>
  <r>
    <s v="ORD01760"/>
    <d v="2026-04-25T00:00:00"/>
    <s v="C1165"/>
    <s v="Laptop Stand"/>
    <x v="0"/>
    <n v="3"/>
    <n v="7999"/>
    <n v="0.15"/>
    <s v="North"/>
    <s v="Net Banking"/>
    <x v="1"/>
    <n v="5520.75"/>
  </r>
  <r>
    <s v="ORD01761"/>
    <d v="2026-05-17T00:00:00"/>
    <s v="C1213"/>
    <s v="Power Bank"/>
    <x v="1"/>
    <n v="3"/>
    <n v="4999"/>
    <n v="0.05"/>
    <s v="Central"/>
    <s v="COD"/>
    <x v="2"/>
    <n v="20397.45"/>
  </r>
  <r>
    <s v="ORD01762"/>
    <d v="2026-03-29T00:00:00"/>
    <s v="C1523"/>
    <s v="Keyboard"/>
    <x v="1"/>
    <n v="4"/>
    <n v="799"/>
    <n v="0"/>
    <s v="Central"/>
    <s v="UPI"/>
    <x v="0"/>
    <n v="14247.15"/>
  </r>
  <r>
    <s v="ORD01763"/>
    <d v="2026-05-22T00:00:00"/>
    <s v="C1215"/>
    <s v="Headphones"/>
    <x v="3"/>
    <n v="2"/>
    <n v="1499"/>
    <n v="0"/>
    <s v="East"/>
    <s v="Debit Card"/>
    <x v="1"/>
    <n v="3196"/>
  </r>
  <r>
    <s v="ORD01764"/>
    <d v="2026-06-05T00:00:00"/>
    <s v="C1096"/>
    <s v="Bluetooth Speaker"/>
    <x v="1"/>
    <n v="1"/>
    <n v="499"/>
    <n v="0.1"/>
    <s v="Central"/>
    <s v="Net Banking"/>
    <x v="0"/>
    <n v="2998"/>
  </r>
  <r>
    <s v="ORD01765"/>
    <d v="2026-01-14T00:00:00"/>
    <s v="C1661"/>
    <s v="Wireless Mouse"/>
    <x v="0"/>
    <n v="2"/>
    <n v="1999"/>
    <n v="0.15"/>
    <s v="North"/>
    <s v="COD"/>
    <x v="0"/>
    <n v="449.1"/>
  </r>
  <r>
    <s v="ORD01766"/>
    <d v="2026-07-05T00:00:00"/>
    <s v="C1236"/>
    <s v="Bluetooth Speaker"/>
    <x v="3"/>
    <n v="3"/>
    <n v="599"/>
    <n v="0"/>
    <s v="Central"/>
    <s v="UPI"/>
    <x v="0"/>
    <n v="3398.2999999999997"/>
  </r>
  <r>
    <s v="ORD01767"/>
    <d v="2026-09-05T00:00:00"/>
    <s v="C1675"/>
    <s v="Mechanical Keyboard"/>
    <x v="0"/>
    <n v="3"/>
    <n v="2499"/>
    <n v="0"/>
    <s v="North"/>
    <s v="Debit Card"/>
    <x v="0"/>
    <n v="1797"/>
  </r>
  <r>
    <s v="ORD01768"/>
    <d v="2026-03-11T00:00:00"/>
    <s v="C1047"/>
    <s v="Mechanical Keyboard"/>
    <x v="1"/>
    <n v="1"/>
    <n v="1499"/>
    <n v="0"/>
    <s v="South"/>
    <s v="Credit Card"/>
    <x v="2"/>
    <n v="7497"/>
  </r>
  <r>
    <s v="ORD01769"/>
    <d v="2026-01-17T00:00:00"/>
    <s v="C1180"/>
    <s v="Webcam"/>
    <x v="1"/>
    <n v="5"/>
    <n v="1999"/>
    <n v="0.15"/>
    <s v="South"/>
    <s v="UPI"/>
    <x v="2"/>
    <n v="1499"/>
  </r>
  <r>
    <s v="ORD01770"/>
    <d v="2026-03-21T00:00:00"/>
    <s v="C1789"/>
    <s v="Webcam"/>
    <x v="3"/>
    <n v="2"/>
    <n v="7999"/>
    <n v="0.1"/>
    <s v="North"/>
    <s v="Debit Card"/>
    <x v="2"/>
    <n v="8495.75"/>
  </r>
  <r>
    <s v="ORD01771"/>
    <d v="2026-03-13T00:00:00"/>
    <s v="C1484"/>
    <s v="Bluetooth Speaker"/>
    <x v="0"/>
    <n v="5"/>
    <n v="499"/>
    <n v="0"/>
    <s v="West"/>
    <s v="UPI"/>
    <x v="0"/>
    <n v="14398.2"/>
  </r>
  <r>
    <s v="ORD01772"/>
    <d v="2026-07-12T00:00:00"/>
    <s v="C1663"/>
    <s v="Headphones"/>
    <x v="4"/>
    <n v="3"/>
    <n v="1999"/>
    <n v="0.05"/>
    <s v="West"/>
    <s v="Net Banking"/>
    <x v="1"/>
    <n v="2495"/>
  </r>
  <r>
    <s v="ORD01773"/>
    <d v="2026-03-05T00:00:00"/>
    <s v="C1439"/>
    <s v="Headphones"/>
    <x v="3"/>
    <n v="3"/>
    <n v="4999"/>
    <n v="0.15"/>
    <s v="East"/>
    <s v="Credit Card"/>
    <x v="0"/>
    <n v="5697.15"/>
  </r>
  <r>
    <s v="ORD01774"/>
    <d v="2026-09-10T00:00:00"/>
    <s v="C1665"/>
    <s v="Bluetooth Speaker"/>
    <x v="0"/>
    <n v="3"/>
    <n v="599"/>
    <n v="0.15"/>
    <s v="North"/>
    <s v="Net Banking"/>
    <x v="0"/>
    <n v="12747.449999999999"/>
  </r>
  <r>
    <s v="ORD01775"/>
    <d v="2026-01-16T00:00:00"/>
    <s v="C1159"/>
    <s v="Monitor"/>
    <x v="3"/>
    <n v="2"/>
    <n v="4999"/>
    <n v="0"/>
    <s v="North"/>
    <s v="Credit Card"/>
    <x v="2"/>
    <n v="1527.45"/>
  </r>
  <r>
    <s v="ORD01776"/>
    <d v="2026-04-21T00:00:00"/>
    <s v="C1230"/>
    <s v="Mechanical Keyboard"/>
    <x v="4"/>
    <n v="4"/>
    <n v="999"/>
    <n v="0"/>
    <s v="Central"/>
    <s v="UPI"/>
    <x v="0"/>
    <n v="9998"/>
  </r>
  <r>
    <s v="ORD01777"/>
    <d v="2026-01-25T00:00:00"/>
    <s v="C1539"/>
    <s v="Wireless Mouse"/>
    <x v="2"/>
    <n v="2"/>
    <n v="599"/>
    <n v="0.1"/>
    <s v="East"/>
    <s v="COD"/>
    <x v="0"/>
    <n v="3996"/>
  </r>
  <r>
    <s v="ORD01778"/>
    <d v="2026-06-21T00:00:00"/>
    <s v="C1152"/>
    <s v="USB-C Hub"/>
    <x v="3"/>
    <n v="2"/>
    <n v="4999"/>
    <n v="0.15"/>
    <s v="East"/>
    <s v="COD"/>
    <x v="1"/>
    <n v="1078.2"/>
  </r>
  <r>
    <s v="ORD01779"/>
    <d v="2026-06-21T00:00:00"/>
    <s v="C1590"/>
    <s v="Keyboard"/>
    <x v="3"/>
    <n v="5"/>
    <n v="799"/>
    <n v="0"/>
    <s v="South"/>
    <s v="Debit Card"/>
    <x v="0"/>
    <n v="8498.2999999999993"/>
  </r>
  <r>
    <s v="ORD01780"/>
    <d v="2026-06-05T00:00:00"/>
    <s v="C1012"/>
    <s v="Monitor"/>
    <x v="3"/>
    <n v="2"/>
    <n v="999"/>
    <n v="0.05"/>
    <s v="East"/>
    <s v="Debit Card"/>
    <x v="1"/>
    <n v="3995"/>
  </r>
  <r>
    <s v="ORD01781"/>
    <d v="2026-09-23T00:00:00"/>
    <s v="C1116"/>
    <s v="USB-C Hub"/>
    <x v="4"/>
    <n v="4"/>
    <n v="4999"/>
    <n v="0"/>
    <s v="West"/>
    <s v="Debit Card"/>
    <x v="0"/>
    <n v="1898.1"/>
  </r>
  <r>
    <s v="ORD01782"/>
    <d v="2026-02-06T00:00:00"/>
    <s v="C1788"/>
    <s v="Mechanical Keyboard"/>
    <x v="2"/>
    <n v="4"/>
    <n v="2499"/>
    <n v="0.1"/>
    <s v="Central"/>
    <s v="COD"/>
    <x v="0"/>
    <n v="19996"/>
  </r>
  <r>
    <s v="ORD01783"/>
    <d v="2026-06-20T00:00:00"/>
    <s v="C1616"/>
    <s v="Bluetooth Speaker"/>
    <x v="3"/>
    <n v="2"/>
    <n v="1999"/>
    <n v="0.1"/>
    <s v="West"/>
    <s v="COD"/>
    <x v="0"/>
    <n v="8996.4"/>
  </r>
  <r>
    <s v="ORD01784"/>
    <d v="2026-01-13T00:00:00"/>
    <s v="C1650"/>
    <s v="Wireless Mouse"/>
    <x v="2"/>
    <n v="2"/>
    <n v="2499"/>
    <n v="0"/>
    <s v="East"/>
    <s v="Net Banking"/>
    <x v="0"/>
    <n v="3598.2000000000003"/>
  </r>
  <r>
    <s v="ORD01785"/>
    <d v="2026-06-06T00:00:00"/>
    <s v="C1226"/>
    <s v="Bluetooth Speaker"/>
    <x v="0"/>
    <n v="5"/>
    <n v="499"/>
    <n v="0"/>
    <s v="South"/>
    <s v="Credit Card"/>
    <x v="0"/>
    <n v="4998"/>
  </r>
  <r>
    <s v="ORD01786"/>
    <d v="2026-09-14T00:00:00"/>
    <s v="C1709"/>
    <s v="Bluetooth Speaker"/>
    <x v="4"/>
    <n v="3"/>
    <n v="2499"/>
    <n v="0"/>
    <s v="West"/>
    <s v="Debit Card"/>
    <x v="0"/>
    <n v="2495"/>
  </r>
  <r>
    <s v="ORD01787"/>
    <d v="2026-05-19T00:00:00"/>
    <s v="C1583"/>
    <s v="Bluetooth Speaker"/>
    <x v="4"/>
    <n v="5"/>
    <n v="499"/>
    <n v="0.05"/>
    <s v="East"/>
    <s v="Credit Card"/>
    <x v="0"/>
    <n v="7497"/>
  </r>
  <r>
    <s v="ORD01788"/>
    <d v="2026-05-03T00:00:00"/>
    <s v="C1492"/>
    <s v="USB-C Hub"/>
    <x v="0"/>
    <n v="3"/>
    <n v="799"/>
    <n v="0.15"/>
    <s v="South"/>
    <s v="Net Banking"/>
    <x v="2"/>
    <n v="2370.25"/>
  </r>
  <r>
    <s v="ORD01789"/>
    <d v="2026-06-22T00:00:00"/>
    <s v="C1262"/>
    <s v="Mechanical Keyboard"/>
    <x v="0"/>
    <n v="4"/>
    <n v="1499"/>
    <n v="0.05"/>
    <s v="North"/>
    <s v="Net Banking"/>
    <x v="0"/>
    <n v="2037.45"/>
  </r>
  <r>
    <s v="ORD01790"/>
    <d v="2026-09-09T00:00:00"/>
    <s v="C1513"/>
    <s v="Laptop Stand"/>
    <x v="3"/>
    <n v="5"/>
    <n v="1499"/>
    <n v="0"/>
    <s v="South"/>
    <s v="Debit Card"/>
    <x v="1"/>
    <n v="5696.2"/>
  </r>
  <r>
    <s v="ORD01791"/>
    <d v="2026-08-07T00:00:00"/>
    <s v="C1039"/>
    <s v="Headphones"/>
    <x v="1"/>
    <n v="2"/>
    <n v="1999"/>
    <n v="0"/>
    <s v="East"/>
    <s v="COD"/>
    <x v="0"/>
    <n v="7495"/>
  </r>
  <r>
    <s v="ORD01792"/>
    <d v="2026-06-20T00:00:00"/>
    <s v="C1766"/>
    <s v="USB-C Hub"/>
    <x v="0"/>
    <n v="2"/>
    <n v="599"/>
    <n v="0"/>
    <s v="West"/>
    <s v="Net Banking"/>
    <x v="0"/>
    <n v="3998"/>
  </r>
  <r>
    <s v="ORD01793"/>
    <d v="2026-03-06T00:00:00"/>
    <s v="C1198"/>
    <s v="Laptop Stand"/>
    <x v="4"/>
    <n v="5"/>
    <n v="1299"/>
    <n v="0.1"/>
    <s v="West"/>
    <s v="Debit Card"/>
    <x v="1"/>
    <n v="1198"/>
  </r>
  <r>
    <s v="ORD01794"/>
    <d v="2026-06-09T00:00:00"/>
    <s v="C1200"/>
    <s v="Keyboard"/>
    <x v="4"/>
    <n v="5"/>
    <n v="2499"/>
    <n v="0"/>
    <s v="Central"/>
    <s v="Net Banking"/>
    <x v="1"/>
    <n v="5845.5"/>
  </r>
  <r>
    <s v="ORD01795"/>
    <d v="2026-02-03T00:00:00"/>
    <s v="C1334"/>
    <s v="Webcam"/>
    <x v="2"/>
    <n v="5"/>
    <n v="1299"/>
    <n v="0.15"/>
    <s v="South"/>
    <s v="Debit Card"/>
    <x v="0"/>
    <n v="12495"/>
  </r>
  <r>
    <s v="ORD01796"/>
    <d v="2026-04-25T00:00:00"/>
    <s v="C1260"/>
    <s v="Mechanical Keyboard"/>
    <x v="3"/>
    <n v="2"/>
    <n v="2499"/>
    <n v="0"/>
    <s v="North"/>
    <s v="Credit Card"/>
    <x v="0"/>
    <n v="5520.75"/>
  </r>
  <r>
    <s v="ORD01797"/>
    <d v="2026-02-21T00:00:00"/>
    <s v="C1763"/>
    <s v="Laptop Stand"/>
    <x v="0"/>
    <n v="5"/>
    <n v="1299"/>
    <n v="0.15"/>
    <s v="North"/>
    <s v="UPI"/>
    <x v="0"/>
    <n v="4998"/>
  </r>
  <r>
    <s v="ORD01798"/>
    <d v="2026-04-26T00:00:00"/>
    <s v="C1756"/>
    <s v="Laptop Stand"/>
    <x v="0"/>
    <n v="5"/>
    <n v="2499"/>
    <n v="0.15"/>
    <s v="North"/>
    <s v="COD"/>
    <x v="0"/>
    <n v="5520.75"/>
  </r>
  <r>
    <s v="ORD01799"/>
    <d v="2026-05-29T00:00:00"/>
    <s v="C1634"/>
    <s v="Keyboard"/>
    <x v="3"/>
    <n v="2"/>
    <n v="999"/>
    <n v="0.05"/>
    <s v="South"/>
    <s v="Debit Card"/>
    <x v="0"/>
    <n v="10620.75"/>
  </r>
  <r>
    <s v="ORD01800"/>
    <d v="2026-04-10T00:00:00"/>
    <s v="C1443"/>
    <s v="Bluetooth Speaker"/>
    <x v="3"/>
    <n v="1"/>
    <n v="599"/>
    <n v="0.15"/>
    <s v="West"/>
    <s v="UPI"/>
    <x v="2"/>
    <n v="1898.1"/>
  </r>
  <r>
    <s v="ORD01801"/>
    <d v="2026-07-03T00:00:00"/>
    <s v="C1719"/>
    <s v="Laptop Stand"/>
    <x v="4"/>
    <n v="5"/>
    <n v="1299"/>
    <n v="0.1"/>
    <s v="East"/>
    <s v="Debit Card"/>
    <x v="0"/>
    <n v="509.15"/>
  </r>
  <r>
    <s v="ORD01802"/>
    <d v="2026-04-08T00:00:00"/>
    <s v="C1500"/>
    <s v="Monitor"/>
    <x v="4"/>
    <n v="2"/>
    <n v="999"/>
    <n v="0.1"/>
    <s v="South"/>
    <s v="Debit Card"/>
    <x v="0"/>
    <n v="5845.5"/>
  </r>
  <r>
    <s v="ORD01803"/>
    <d v="2026-02-07T00:00:00"/>
    <s v="C1500"/>
    <s v="Headphones"/>
    <x v="4"/>
    <n v="1"/>
    <n v="4999"/>
    <n v="0.15"/>
    <s v="Central"/>
    <s v="Net Banking"/>
    <x v="0"/>
    <n v="1798.2"/>
  </r>
  <r>
    <s v="ORD01804"/>
    <d v="2026-05-12T00:00:00"/>
    <s v="C1086"/>
    <s v="Keyboard"/>
    <x v="3"/>
    <n v="5"/>
    <n v="799"/>
    <n v="0.05"/>
    <s v="South"/>
    <s v="Debit Card"/>
    <x v="0"/>
    <n v="4249.1499999999996"/>
  </r>
  <r>
    <s v="ORD01805"/>
    <d v="2026-09-11T00:00:00"/>
    <s v="C1602"/>
    <s v="Headphones"/>
    <x v="3"/>
    <n v="5"/>
    <n v="999"/>
    <n v="0.15"/>
    <s v="North"/>
    <s v="Debit Card"/>
    <x v="2"/>
    <n v="3795.25"/>
  </r>
  <r>
    <s v="ORD01806"/>
    <d v="2026-09-07T00:00:00"/>
    <s v="C1022"/>
    <s v="Mechanical Keyboard"/>
    <x v="0"/>
    <n v="5"/>
    <n v="1299"/>
    <n v="0.1"/>
    <s v="North"/>
    <s v="Net Banking"/>
    <x v="0"/>
    <n v="4245.75"/>
  </r>
  <r>
    <s v="ORD01807"/>
    <d v="2026-04-18T00:00:00"/>
    <s v="C1666"/>
    <s v="Headphones"/>
    <x v="1"/>
    <n v="5"/>
    <n v="4999"/>
    <n v="0.1"/>
    <s v="East"/>
    <s v="COD"/>
    <x v="0"/>
    <n v="5845.5"/>
  </r>
  <r>
    <s v="ORD01808"/>
    <d v="2026-05-31T00:00:00"/>
    <s v="C1425"/>
    <s v="Mechanical Keyboard"/>
    <x v="0"/>
    <n v="2"/>
    <n v="2499"/>
    <n v="0"/>
    <s v="North"/>
    <s v="COD"/>
    <x v="2"/>
    <n v="22495.5"/>
  </r>
  <r>
    <s v="ORD01809"/>
    <d v="2026-01-28T00:00:00"/>
    <s v="C1471"/>
    <s v="Mechanical Keyboard"/>
    <x v="2"/>
    <n v="3"/>
    <n v="1999"/>
    <n v="0.05"/>
    <s v="South"/>
    <s v="Credit Card"/>
    <x v="0"/>
    <n v="4998"/>
  </r>
  <r>
    <s v="ORD01810"/>
    <d v="2026-09-25T00:00:00"/>
    <s v="C1105"/>
    <s v="USB-C Hub"/>
    <x v="1"/>
    <n v="2"/>
    <n v="4999"/>
    <n v="0.15"/>
    <s v="East"/>
    <s v="Net Banking"/>
    <x v="2"/>
    <n v="5697.15"/>
  </r>
  <r>
    <s v="ORD01811"/>
    <d v="2026-09-19T00:00:00"/>
    <s v="C1581"/>
    <s v="USB-C Hub"/>
    <x v="3"/>
    <n v="2"/>
    <n v="799"/>
    <n v="0.15"/>
    <s v="Central"/>
    <s v="UPI"/>
    <x v="0"/>
    <n v="8498.2999999999993"/>
  </r>
  <r>
    <s v="ORD01812"/>
    <d v="2026-06-14T00:00:00"/>
    <s v="C1556"/>
    <s v="Wireless Mouse"/>
    <x v="0"/>
    <n v="2"/>
    <n v="1299"/>
    <n v="0"/>
    <s v="South"/>
    <s v="Debit Card"/>
    <x v="1"/>
    <n v="1358.3"/>
  </r>
  <r>
    <s v="ORD01813"/>
    <d v="2026-04-10T00:00:00"/>
    <s v="C1202"/>
    <s v="USB-C Hub"/>
    <x v="3"/>
    <n v="3"/>
    <n v="999"/>
    <n v="0.05"/>
    <s v="Central"/>
    <s v="Credit Card"/>
    <x v="1"/>
    <n v="2598"/>
  </r>
  <r>
    <s v="ORD01814"/>
    <d v="2026-07-27T00:00:00"/>
    <s v="C1633"/>
    <s v="Power Bank"/>
    <x v="2"/>
    <n v="4"/>
    <n v="599"/>
    <n v="0.15"/>
    <s v="Central"/>
    <s v="UPI"/>
    <x v="2"/>
    <n v="2847.15"/>
  </r>
  <r>
    <s v="ORD01815"/>
    <d v="2026-09-05T00:00:00"/>
    <s v="C1112"/>
    <s v="Power Bank"/>
    <x v="4"/>
    <n v="2"/>
    <n v="799"/>
    <n v="0.05"/>
    <s v="South"/>
    <s v="Credit Card"/>
    <x v="0"/>
    <n v="2036.6"/>
  </r>
  <r>
    <s v="ORD01816"/>
    <d v="2026-09-04T00:00:00"/>
    <s v="C1428"/>
    <s v="Power Bank"/>
    <x v="4"/>
    <n v="5"/>
    <n v="1299"/>
    <n v="0.1"/>
    <s v="West"/>
    <s v="COD"/>
    <x v="2"/>
    <n v="1518.1"/>
  </r>
  <r>
    <s v="ORD01817"/>
    <d v="2026-03-20T00:00:00"/>
    <s v="C1014"/>
    <s v="USB-C Hub"/>
    <x v="1"/>
    <n v="1"/>
    <n v="2499"/>
    <n v="0"/>
    <s v="West"/>
    <s v="Credit Card"/>
    <x v="0"/>
    <n v="5845.5"/>
  </r>
  <r>
    <s v="ORD01818"/>
    <d v="2026-07-23T00:00:00"/>
    <s v="C1762"/>
    <s v="Webcam"/>
    <x v="0"/>
    <n v="3"/>
    <n v="1999"/>
    <n v="0.05"/>
    <s v="West"/>
    <s v="Debit Card"/>
    <x v="2"/>
    <n v="2499"/>
  </r>
  <r>
    <s v="ORD01819"/>
    <d v="2026-08-11T00:00:00"/>
    <s v="C1731"/>
    <s v="Headphones"/>
    <x v="4"/>
    <n v="1"/>
    <n v="1299"/>
    <n v="0"/>
    <s v="South"/>
    <s v="Credit Card"/>
    <x v="0"/>
    <n v="5697.15"/>
  </r>
  <r>
    <s v="ORD01820"/>
    <d v="2026-05-01T00:00:00"/>
    <s v="C1108"/>
    <s v="Laptop Stand"/>
    <x v="3"/>
    <n v="3"/>
    <n v="2499"/>
    <n v="0.15"/>
    <s v="North"/>
    <s v="Debit Card"/>
    <x v="0"/>
    <n v="1299"/>
  </r>
  <r>
    <s v="ORD01821"/>
    <d v="2026-08-21T00:00:00"/>
    <s v="C1497"/>
    <s v="Keyboard"/>
    <x v="0"/>
    <n v="2"/>
    <n v="4999"/>
    <n v="0"/>
    <s v="Central"/>
    <s v="Net Banking"/>
    <x v="1"/>
    <n v="6372.45"/>
  </r>
  <r>
    <s v="ORD01822"/>
    <d v="2026-01-17T00:00:00"/>
    <s v="C1725"/>
    <s v="Bluetooth Speaker"/>
    <x v="1"/>
    <n v="4"/>
    <n v="999"/>
    <n v="0.1"/>
    <s v="Central"/>
    <s v="UPI"/>
    <x v="0"/>
    <n v="9998"/>
  </r>
  <r>
    <s v="ORD01823"/>
    <d v="2026-05-28T00:00:00"/>
    <s v="C1608"/>
    <s v="Wireless Mouse"/>
    <x v="4"/>
    <n v="4"/>
    <n v="1499"/>
    <n v="0.1"/>
    <s v="Central"/>
    <s v="COD"/>
    <x v="0"/>
    <n v="3596.4"/>
  </r>
  <r>
    <s v="ORD01824"/>
    <d v="2026-07-20T00:00:00"/>
    <s v="C1251"/>
    <s v="Wireless Mouse"/>
    <x v="1"/>
    <n v="1"/>
    <n v="599"/>
    <n v="0.05"/>
    <s v="West"/>
    <s v="COD"/>
    <x v="0"/>
    <n v="5396.4000000000005"/>
  </r>
  <r>
    <s v="ORD01825"/>
    <d v="2026-09-29T00:00:00"/>
    <s v="C1185"/>
    <s v="USB-C Hub"/>
    <x v="2"/>
    <n v="2"/>
    <n v="999"/>
    <n v="0.15"/>
    <s v="West"/>
    <s v="Debit Card"/>
    <x v="0"/>
    <n v="569.04999999999995"/>
  </r>
  <r>
    <s v="ORD01826"/>
    <d v="2026-01-09T00:00:00"/>
    <s v="C1045"/>
    <s v="Keyboard"/>
    <x v="0"/>
    <n v="2"/>
    <n v="599"/>
    <n v="0.15"/>
    <s v="East"/>
    <s v="UPI"/>
    <x v="1"/>
    <n v="1698.3"/>
  </r>
  <r>
    <s v="ORD01827"/>
    <d v="2026-06-16T00:00:00"/>
    <s v="C1222"/>
    <s v="Laptop Stand"/>
    <x v="4"/>
    <n v="1"/>
    <n v="4999"/>
    <n v="0.15"/>
    <s v="North"/>
    <s v="Net Banking"/>
    <x v="0"/>
    <n v="1018.3"/>
  </r>
  <r>
    <s v="ORD01828"/>
    <d v="2026-09-12T00:00:00"/>
    <s v="C1174"/>
    <s v="USB-C Hub"/>
    <x v="0"/>
    <n v="4"/>
    <n v="1999"/>
    <n v="0"/>
    <s v="Central"/>
    <s v="COD"/>
    <x v="2"/>
    <n v="4249.1499999999996"/>
  </r>
  <r>
    <s v="ORD01829"/>
    <d v="2026-04-18T00:00:00"/>
    <s v="C1055"/>
    <s v="Laptop Stand"/>
    <x v="1"/>
    <n v="1"/>
    <n v="1999"/>
    <n v="0.15"/>
    <s v="South"/>
    <s v="Debit Card"/>
    <x v="2"/>
    <n v="7996"/>
  </r>
  <r>
    <s v="ORD01830"/>
    <d v="2026-07-29T00:00:00"/>
    <s v="C1773"/>
    <s v="Bluetooth Speaker"/>
    <x v="3"/>
    <n v="3"/>
    <n v="799"/>
    <n v="0.05"/>
    <s v="Central"/>
    <s v="Debit Card"/>
    <x v="0"/>
    <n v="1699.1499999999999"/>
  </r>
  <r>
    <s v="ORD01831"/>
    <d v="2026-09-17T00:00:00"/>
    <s v="C1471"/>
    <s v="Webcam"/>
    <x v="3"/>
    <n v="4"/>
    <n v="1999"/>
    <n v="0"/>
    <s v="North"/>
    <s v="Debit Card"/>
    <x v="1"/>
    <n v="2277.15"/>
  </r>
  <r>
    <s v="ORD01832"/>
    <d v="2026-07-16T00:00:00"/>
    <s v="C1258"/>
    <s v="USB-C Hub"/>
    <x v="0"/>
    <n v="2"/>
    <n v="2499"/>
    <n v="0"/>
    <s v="North"/>
    <s v="Net Banking"/>
    <x v="0"/>
    <n v="7996"/>
  </r>
  <r>
    <s v="ORD01833"/>
    <d v="2026-02-19T00:00:00"/>
    <s v="C1158"/>
    <s v="Bluetooth Speaker"/>
    <x v="3"/>
    <n v="1"/>
    <n v="599"/>
    <n v="0.15"/>
    <s v="Central"/>
    <s v="Debit Card"/>
    <x v="2"/>
    <n v="4998"/>
  </r>
  <r>
    <s v="ORD01834"/>
    <d v="2026-09-18T00:00:00"/>
    <s v="C1516"/>
    <s v="Mechanical Keyboard"/>
    <x v="1"/>
    <n v="5"/>
    <n v="4999"/>
    <n v="0.15"/>
    <s v="Central"/>
    <s v="COD"/>
    <x v="1"/>
    <n v="509.15"/>
  </r>
  <r>
    <s v="ORD01835"/>
    <d v="2026-08-18T00:00:00"/>
    <s v="C1693"/>
    <s v="Headphones"/>
    <x v="0"/>
    <n v="4"/>
    <n v="1499"/>
    <n v="0"/>
    <s v="South"/>
    <s v="Credit Card"/>
    <x v="0"/>
    <n v="21245.75"/>
  </r>
  <r>
    <s v="ORD01836"/>
    <d v="2026-05-09T00:00:00"/>
    <s v="C1706"/>
    <s v="Keyboard"/>
    <x v="1"/>
    <n v="4"/>
    <n v="2499"/>
    <n v="0.15"/>
    <s v="South"/>
    <s v="Credit Card"/>
    <x v="0"/>
    <n v="5996"/>
  </r>
  <r>
    <s v="ORD01837"/>
    <d v="2026-05-21T00:00:00"/>
    <s v="C1573"/>
    <s v="USB-C Hub"/>
    <x v="1"/>
    <n v="2"/>
    <n v="4999"/>
    <n v="0.15"/>
    <s v="East"/>
    <s v="Debit Card"/>
    <x v="1"/>
    <n v="8496.6"/>
  </r>
  <r>
    <s v="ORD01838"/>
    <d v="2026-06-07T00:00:00"/>
    <s v="C1268"/>
    <s v="Mechanical Keyboard"/>
    <x v="0"/>
    <n v="3"/>
    <n v="2499"/>
    <n v="0.1"/>
    <s v="Central"/>
    <s v="Net Banking"/>
    <x v="0"/>
    <n v="8498.2999999999993"/>
  </r>
  <r>
    <s v="ORD01839"/>
    <d v="2026-04-25T00:00:00"/>
    <s v="C1474"/>
    <s v="Keyboard"/>
    <x v="0"/>
    <n v="2"/>
    <n v="1999"/>
    <n v="0.1"/>
    <s v="East"/>
    <s v="Credit Card"/>
    <x v="0"/>
    <n v="6747.3"/>
  </r>
  <r>
    <s v="ORD01840"/>
    <d v="2026-05-17T00:00:00"/>
    <s v="C1523"/>
    <s v="Bluetooth Speaker"/>
    <x v="3"/>
    <n v="3"/>
    <n v="499"/>
    <n v="0.05"/>
    <s v="North"/>
    <s v="UPI"/>
    <x v="1"/>
    <n v="3598.2000000000003"/>
  </r>
  <r>
    <s v="ORD01841"/>
    <d v="2026-03-03T00:00:00"/>
    <s v="C1603"/>
    <s v="Keyboard"/>
    <x v="1"/>
    <n v="2"/>
    <n v="4999"/>
    <n v="0.05"/>
    <s v="Central"/>
    <s v="COD"/>
    <x v="0"/>
    <n v="1422.1499999999999"/>
  </r>
  <r>
    <s v="ORD01842"/>
    <d v="2026-03-19T00:00:00"/>
    <s v="C1501"/>
    <s v="Laptop Stand"/>
    <x v="0"/>
    <n v="1"/>
    <n v="999"/>
    <n v="0.1"/>
    <s v="North"/>
    <s v="Net Banking"/>
    <x v="0"/>
    <n v="9498.1"/>
  </r>
  <r>
    <s v="ORD01843"/>
    <d v="2026-09-15T00:00:00"/>
    <s v="C1143"/>
    <s v="Keyboard"/>
    <x v="3"/>
    <n v="2"/>
    <n v="2499"/>
    <n v="0.1"/>
    <s v="West"/>
    <s v="COD"/>
    <x v="0"/>
    <n v="899.1"/>
  </r>
  <r>
    <s v="ORD01844"/>
    <d v="2026-09-22T00:00:00"/>
    <s v="C1752"/>
    <s v="Webcam"/>
    <x v="2"/>
    <n v="3"/>
    <n v="799"/>
    <n v="0"/>
    <s v="West"/>
    <s v="UPI"/>
    <x v="0"/>
    <n v="4498.2"/>
  </r>
  <r>
    <s v="ORD01845"/>
    <d v="2026-03-29T00:00:00"/>
    <s v="C1335"/>
    <s v="USB-C Hub"/>
    <x v="4"/>
    <n v="2"/>
    <n v="7999"/>
    <n v="0.15"/>
    <s v="East"/>
    <s v="Credit Card"/>
    <x v="2"/>
    <n v="2397"/>
  </r>
  <r>
    <s v="ORD01846"/>
    <d v="2026-04-23T00:00:00"/>
    <s v="C1385"/>
    <s v="Monitor"/>
    <x v="3"/>
    <n v="3"/>
    <n v="2499"/>
    <n v="0"/>
    <s v="East"/>
    <s v="Credit Card"/>
    <x v="0"/>
    <n v="13598.3"/>
  </r>
  <r>
    <s v="ORD01847"/>
    <d v="2026-05-24T00:00:00"/>
    <s v="C1625"/>
    <s v="Headphones"/>
    <x v="3"/>
    <n v="2"/>
    <n v="499"/>
    <n v="0.05"/>
    <s v="East"/>
    <s v="Net Banking"/>
    <x v="0"/>
    <n v="7497"/>
  </r>
  <r>
    <s v="ORD01848"/>
    <d v="2026-01-02T00:00:00"/>
    <s v="C1622"/>
    <s v="Keyboard"/>
    <x v="0"/>
    <n v="2"/>
    <n v="4999"/>
    <n v="0"/>
    <s v="North"/>
    <s v="COD"/>
    <x v="0"/>
    <n v="948.09999999999991"/>
  </r>
  <r>
    <s v="ORD01849"/>
    <d v="2026-06-02T00:00:00"/>
    <s v="C1326"/>
    <s v="Bluetooth Speaker"/>
    <x v="4"/>
    <n v="2"/>
    <n v="499"/>
    <n v="0"/>
    <s v="North"/>
    <s v="Credit Card"/>
    <x v="0"/>
    <n v="9998"/>
  </r>
  <r>
    <s v="ORD01850"/>
    <d v="2026-02-01T00:00:00"/>
    <s v="C1070"/>
    <s v="Mechanical Keyboard"/>
    <x v="2"/>
    <n v="1"/>
    <n v="4999"/>
    <n v="0.05"/>
    <s v="Central"/>
    <s v="Credit Card"/>
    <x v="1"/>
    <n v="998"/>
  </r>
  <r>
    <s v="ORD01851"/>
    <d v="2026-02-11T00:00:00"/>
    <s v="C1532"/>
    <s v="Bluetooth Speaker"/>
    <x v="0"/>
    <n v="1"/>
    <n v="499"/>
    <n v="0"/>
    <s v="North"/>
    <s v="Debit Card"/>
    <x v="1"/>
    <n v="4749.05"/>
  </r>
  <r>
    <s v="ORD01852"/>
    <d v="2026-07-08T00:00:00"/>
    <s v="C1231"/>
    <s v="Power Bank"/>
    <x v="0"/>
    <n v="2"/>
    <n v="7999"/>
    <n v="0.15"/>
    <s v="West"/>
    <s v="COD"/>
    <x v="2"/>
    <n v="499"/>
  </r>
  <r>
    <s v="ORD01853"/>
    <d v="2026-03-24T00:00:00"/>
    <s v="C1545"/>
    <s v="Headphones"/>
    <x v="1"/>
    <n v="3"/>
    <n v="1299"/>
    <n v="0.1"/>
    <s v="West"/>
    <s v="Debit Card"/>
    <x v="1"/>
    <n v="13598.3"/>
  </r>
  <r>
    <s v="ORD01854"/>
    <d v="2026-01-03T00:00:00"/>
    <s v="C1507"/>
    <s v="Power Bank"/>
    <x v="3"/>
    <n v="5"/>
    <n v="599"/>
    <n v="0.1"/>
    <s v="North"/>
    <s v="Credit Card"/>
    <x v="0"/>
    <n v="3507.3"/>
  </r>
  <r>
    <s v="ORD01855"/>
    <d v="2026-05-20T00:00:00"/>
    <s v="C1015"/>
    <s v="Webcam"/>
    <x v="4"/>
    <n v="5"/>
    <n v="799"/>
    <n v="0"/>
    <s v="East"/>
    <s v="Debit Card"/>
    <x v="0"/>
    <n v="2695.5"/>
  </r>
  <r>
    <s v="ORD01856"/>
    <d v="2026-04-13T00:00:00"/>
    <s v="C1644"/>
    <s v="Wireless Mouse"/>
    <x v="4"/>
    <n v="5"/>
    <n v="1499"/>
    <n v="0.1"/>
    <s v="East"/>
    <s v="Debit Card"/>
    <x v="2"/>
    <n v="3995"/>
  </r>
  <r>
    <s v="ORD01857"/>
    <d v="2026-06-14T00:00:00"/>
    <s v="C1098"/>
    <s v="Monitor"/>
    <x v="0"/>
    <n v="5"/>
    <n v="7999"/>
    <n v="0.1"/>
    <s v="East"/>
    <s v="Net Banking"/>
    <x v="0"/>
    <n v="6745.5"/>
  </r>
  <r>
    <s v="ORD01858"/>
    <d v="2026-07-08T00:00:00"/>
    <s v="C1469"/>
    <s v="Wireless Mouse"/>
    <x v="4"/>
    <n v="2"/>
    <n v="499"/>
    <n v="0.1"/>
    <s v="North"/>
    <s v="UPI"/>
    <x v="0"/>
    <n v="35995.5"/>
  </r>
  <r>
    <s v="ORD01859"/>
    <d v="2026-06-25T00:00:00"/>
    <s v="C1623"/>
    <s v="Headphones"/>
    <x v="3"/>
    <n v="5"/>
    <n v="599"/>
    <n v="0"/>
    <s v="East"/>
    <s v="COD"/>
    <x v="0"/>
    <n v="898.2"/>
  </r>
  <r>
    <s v="ORD01860"/>
    <d v="2026-04-13T00:00:00"/>
    <s v="C1359"/>
    <s v="Power Bank"/>
    <x v="0"/>
    <n v="4"/>
    <n v="599"/>
    <n v="0.1"/>
    <s v="Central"/>
    <s v="Debit Card"/>
    <x v="1"/>
    <n v="2995"/>
  </r>
  <r>
    <s v="ORD01861"/>
    <d v="2026-02-18T00:00:00"/>
    <s v="C1301"/>
    <s v="Keyboard"/>
    <x v="4"/>
    <n v="4"/>
    <n v="7999"/>
    <n v="0.05"/>
    <s v="South"/>
    <s v="UPI"/>
    <x v="0"/>
    <n v="2156.4"/>
  </r>
  <r>
    <s v="ORD01862"/>
    <d v="2026-01-04T00:00:00"/>
    <s v="C1420"/>
    <s v="Mechanical Keyboard"/>
    <x v="2"/>
    <n v="5"/>
    <n v="7999"/>
    <n v="0.05"/>
    <s v="North"/>
    <s v="COD"/>
    <x v="0"/>
    <n v="30396.199999999997"/>
  </r>
  <r>
    <s v="ORD01863"/>
    <d v="2026-06-24T00:00:00"/>
    <s v="C1200"/>
    <s v="Mechanical Keyboard"/>
    <x v="1"/>
    <n v="4"/>
    <n v="799"/>
    <n v="0.1"/>
    <s v="South"/>
    <s v="Net Banking"/>
    <x v="0"/>
    <n v="37995.25"/>
  </r>
  <r>
    <s v="ORD01864"/>
    <d v="2026-09-20T00:00:00"/>
    <s v="C1092"/>
    <s v="Webcam"/>
    <x v="0"/>
    <n v="4"/>
    <n v="799"/>
    <n v="0.1"/>
    <s v="Central"/>
    <s v="Debit Card"/>
    <x v="2"/>
    <n v="2876.4"/>
  </r>
  <r>
    <s v="ORD01865"/>
    <d v="2026-08-01T00:00:00"/>
    <s v="C1752"/>
    <s v="Laptop Stand"/>
    <x v="3"/>
    <n v="5"/>
    <n v="4999"/>
    <n v="0.15"/>
    <s v="West"/>
    <s v="Debit Card"/>
    <x v="2"/>
    <n v="2876.4"/>
  </r>
  <r>
    <s v="ORD01866"/>
    <d v="2026-04-30T00:00:00"/>
    <s v="C1070"/>
    <s v="Keyboard"/>
    <x v="0"/>
    <n v="5"/>
    <n v="999"/>
    <n v="0.15"/>
    <s v="South"/>
    <s v="Net Banking"/>
    <x v="0"/>
    <n v="21245.75"/>
  </r>
  <r>
    <s v="ORD01867"/>
    <d v="2026-09-18T00:00:00"/>
    <s v="C1593"/>
    <s v="Laptop Stand"/>
    <x v="4"/>
    <n v="3"/>
    <n v="2499"/>
    <n v="0"/>
    <s v="East"/>
    <s v="COD"/>
    <x v="0"/>
    <n v="4245.75"/>
  </r>
  <r>
    <s v="ORD01868"/>
    <d v="2026-04-16T00:00:00"/>
    <s v="C1390"/>
    <s v="Laptop Stand"/>
    <x v="2"/>
    <n v="4"/>
    <n v="599"/>
    <n v="0.05"/>
    <s v="West"/>
    <s v="COD"/>
    <x v="0"/>
    <n v="7497"/>
  </r>
  <r>
    <s v="ORD01869"/>
    <d v="2026-09-27T00:00:00"/>
    <s v="C1552"/>
    <s v="Laptop Stand"/>
    <x v="4"/>
    <n v="4"/>
    <n v="599"/>
    <n v="0.1"/>
    <s v="East"/>
    <s v="UPI"/>
    <x v="0"/>
    <n v="2276.1999999999998"/>
  </r>
  <r>
    <s v="ORD01870"/>
    <d v="2026-08-19T00:00:00"/>
    <s v="C1422"/>
    <s v="Headphones"/>
    <x v="2"/>
    <n v="2"/>
    <n v="999"/>
    <n v="0.1"/>
    <s v="South"/>
    <s v="Debit Card"/>
    <x v="2"/>
    <n v="2156.4"/>
  </r>
  <r>
    <s v="ORD01871"/>
    <d v="2026-06-16T00:00:00"/>
    <s v="C1743"/>
    <s v="Power Bank"/>
    <x v="0"/>
    <n v="5"/>
    <n v="599"/>
    <n v="0.05"/>
    <s v="West"/>
    <s v="COD"/>
    <x v="2"/>
    <n v="1798.2"/>
  </r>
  <r>
    <s v="ORD01872"/>
    <d v="2026-03-18T00:00:00"/>
    <s v="C1164"/>
    <s v="Webcam"/>
    <x v="0"/>
    <n v="5"/>
    <n v="799"/>
    <n v="0.05"/>
    <s v="Central"/>
    <s v="Credit Card"/>
    <x v="0"/>
    <n v="2845.25"/>
  </r>
  <r>
    <s v="ORD01873"/>
    <d v="2026-06-19T00:00:00"/>
    <s v="C1779"/>
    <s v="Bluetooth Speaker"/>
    <x v="2"/>
    <n v="5"/>
    <n v="1999"/>
    <n v="0.15"/>
    <s v="North"/>
    <s v="UPI"/>
    <x v="0"/>
    <n v="3795.25"/>
  </r>
  <r>
    <s v="ORD01874"/>
    <d v="2026-02-21T00:00:00"/>
    <s v="C1191"/>
    <s v="Power Bank"/>
    <x v="2"/>
    <n v="5"/>
    <n v="799"/>
    <n v="0.15"/>
    <s v="South"/>
    <s v="Net Banking"/>
    <x v="0"/>
    <n v="8495.75"/>
  </r>
  <r>
    <s v="ORD01875"/>
    <d v="2026-08-31T00:00:00"/>
    <s v="C1341"/>
    <s v="USB-C Hub"/>
    <x v="3"/>
    <n v="1"/>
    <n v="4999"/>
    <n v="0.1"/>
    <s v="West"/>
    <s v="Debit Card"/>
    <x v="0"/>
    <n v="3395.75"/>
  </r>
  <r>
    <s v="ORD01876"/>
    <d v="2026-04-03T00:00:00"/>
    <s v="C1765"/>
    <s v="Webcam"/>
    <x v="0"/>
    <n v="5"/>
    <n v="7999"/>
    <n v="0"/>
    <s v="South"/>
    <s v="Credit Card"/>
    <x v="1"/>
    <n v="4499.1000000000004"/>
  </r>
  <r>
    <s v="ORD01877"/>
    <d v="2026-06-12T00:00:00"/>
    <s v="C1672"/>
    <s v="Keyboard"/>
    <x v="4"/>
    <n v="5"/>
    <n v="1299"/>
    <n v="0.05"/>
    <s v="Central"/>
    <s v="UPI"/>
    <x v="0"/>
    <n v="39995"/>
  </r>
  <r>
    <s v="ORD01878"/>
    <d v="2026-06-18T00:00:00"/>
    <s v="C1404"/>
    <s v="Webcam"/>
    <x v="3"/>
    <n v="4"/>
    <n v="7999"/>
    <n v="0"/>
    <s v="North"/>
    <s v="Debit Card"/>
    <x v="0"/>
    <n v="6170.25"/>
  </r>
  <r>
    <s v="ORD01879"/>
    <d v="2026-07-12T00:00:00"/>
    <s v="C1651"/>
    <s v="Monitor"/>
    <x v="2"/>
    <n v="4"/>
    <n v="4999"/>
    <n v="0.1"/>
    <s v="South"/>
    <s v="Debit Card"/>
    <x v="1"/>
    <n v="31996"/>
  </r>
  <r>
    <s v="ORD01880"/>
    <d v="2026-06-15T00:00:00"/>
    <s v="C1783"/>
    <s v="Webcam"/>
    <x v="0"/>
    <n v="5"/>
    <n v="799"/>
    <n v="0.05"/>
    <s v="East"/>
    <s v="Credit Card"/>
    <x v="0"/>
    <n v="17996.400000000001"/>
  </r>
  <r>
    <s v="ORD01881"/>
    <d v="2026-05-11T00:00:00"/>
    <s v="C1432"/>
    <s v="Headphones"/>
    <x v="2"/>
    <n v="4"/>
    <n v="1999"/>
    <n v="0.05"/>
    <s v="South"/>
    <s v="UPI"/>
    <x v="0"/>
    <n v="3795.25"/>
  </r>
  <r>
    <s v="ORD01882"/>
    <d v="2026-03-25T00:00:00"/>
    <s v="C1204"/>
    <s v="Keyboard"/>
    <x v="1"/>
    <n v="3"/>
    <n v="1299"/>
    <n v="0.1"/>
    <s v="North"/>
    <s v="Net Banking"/>
    <x v="0"/>
    <n v="7596.2"/>
  </r>
  <r>
    <s v="ORD01883"/>
    <d v="2026-09-06T00:00:00"/>
    <s v="C1004"/>
    <s v="Headphones"/>
    <x v="1"/>
    <n v="5"/>
    <n v="599"/>
    <n v="0.1"/>
    <s v="South"/>
    <s v="Net Banking"/>
    <x v="0"/>
    <n v="3507.3"/>
  </r>
  <r>
    <s v="ORD01884"/>
    <d v="2026-09-22T00:00:00"/>
    <s v="C1387"/>
    <s v="USB-C Hub"/>
    <x v="2"/>
    <n v="2"/>
    <n v="799"/>
    <n v="0.05"/>
    <s v="East"/>
    <s v="COD"/>
    <x v="2"/>
    <n v="2695.5"/>
  </r>
  <r>
    <s v="ORD01885"/>
    <d v="2026-05-27T00:00:00"/>
    <s v="C1746"/>
    <s v="Keyboard"/>
    <x v="3"/>
    <n v="2"/>
    <n v="2499"/>
    <n v="0"/>
    <s v="East"/>
    <s v="COD"/>
    <x v="0"/>
    <n v="1518.1"/>
  </r>
  <r>
    <s v="ORD01886"/>
    <d v="2026-03-21T00:00:00"/>
    <s v="C1332"/>
    <s v="Bluetooth Speaker"/>
    <x v="1"/>
    <n v="4"/>
    <n v="799"/>
    <n v="0"/>
    <s v="East"/>
    <s v="COD"/>
    <x v="2"/>
    <n v="4998"/>
  </r>
  <r>
    <s v="ORD01887"/>
    <d v="2026-08-04T00:00:00"/>
    <s v="C1765"/>
    <s v="Power Bank"/>
    <x v="4"/>
    <n v="1"/>
    <n v="599"/>
    <n v="0.1"/>
    <s v="North"/>
    <s v="UPI"/>
    <x v="2"/>
    <n v="3196"/>
  </r>
  <r>
    <s v="ORD01888"/>
    <d v="2026-06-10T00:00:00"/>
    <s v="C1067"/>
    <s v="Bluetooth Speaker"/>
    <x v="4"/>
    <n v="4"/>
    <n v="7999"/>
    <n v="0.1"/>
    <s v="Central"/>
    <s v="Debit Card"/>
    <x v="0"/>
    <n v="539.1"/>
  </r>
  <r>
    <s v="ORD01889"/>
    <d v="2026-04-07T00:00:00"/>
    <s v="C1349"/>
    <s v="Power Bank"/>
    <x v="0"/>
    <n v="2"/>
    <n v="1299"/>
    <n v="0"/>
    <s v="South"/>
    <s v="UPI"/>
    <x v="1"/>
    <n v="28796.400000000001"/>
  </r>
  <r>
    <s v="ORD01890"/>
    <d v="2026-03-11T00:00:00"/>
    <s v="C1489"/>
    <s v="Headphones"/>
    <x v="0"/>
    <n v="4"/>
    <n v="599"/>
    <n v="0"/>
    <s v="Central"/>
    <s v="Debit Card"/>
    <x v="1"/>
    <n v="2598"/>
  </r>
  <r>
    <s v="ORD01891"/>
    <d v="2026-09-27T00:00:00"/>
    <s v="C1631"/>
    <s v="Webcam"/>
    <x v="0"/>
    <n v="2"/>
    <n v="4999"/>
    <n v="0"/>
    <s v="Central"/>
    <s v="UPI"/>
    <x v="0"/>
    <n v="2396"/>
  </r>
  <r>
    <s v="ORD01892"/>
    <d v="2026-02-08T00:00:00"/>
    <s v="C1702"/>
    <s v="USB-C Hub"/>
    <x v="2"/>
    <n v="2"/>
    <n v="499"/>
    <n v="0.05"/>
    <s v="West"/>
    <s v="Net Banking"/>
    <x v="2"/>
    <n v="9998"/>
  </r>
  <r>
    <s v="ORD01893"/>
    <d v="2026-08-04T00:00:00"/>
    <s v="C1481"/>
    <s v="Keyboard"/>
    <x v="3"/>
    <n v="4"/>
    <n v="2499"/>
    <n v="0"/>
    <s v="West"/>
    <s v="Credit Card"/>
    <x v="0"/>
    <n v="948.09999999999991"/>
  </r>
  <r>
    <s v="ORD01894"/>
    <d v="2026-08-20T00:00:00"/>
    <s v="C1290"/>
    <s v="Headphones"/>
    <x v="2"/>
    <n v="1"/>
    <n v="1499"/>
    <n v="0.1"/>
    <s v="East"/>
    <s v="COD"/>
    <x v="0"/>
    <n v="9996"/>
  </r>
  <r>
    <s v="ORD01895"/>
    <d v="2026-01-14T00:00:00"/>
    <s v="C1664"/>
    <s v="Webcam"/>
    <x v="1"/>
    <n v="2"/>
    <n v="1299"/>
    <n v="0.05"/>
    <s v="South"/>
    <s v="Net Banking"/>
    <x v="0"/>
    <n v="1349.1000000000001"/>
  </r>
  <r>
    <s v="ORD01896"/>
    <d v="2026-06-26T00:00:00"/>
    <s v="C1715"/>
    <s v="Headphones"/>
    <x v="1"/>
    <n v="3"/>
    <n v="2499"/>
    <n v="0"/>
    <s v="South"/>
    <s v="Credit Card"/>
    <x v="1"/>
    <n v="2468.1"/>
  </r>
  <r>
    <s v="ORD01897"/>
    <d v="2026-06-02T00:00:00"/>
    <s v="C1250"/>
    <s v="Mechanical Keyboard"/>
    <x v="2"/>
    <n v="5"/>
    <n v="7999"/>
    <n v="0.1"/>
    <s v="South"/>
    <s v="Credit Card"/>
    <x v="0"/>
    <n v="7497"/>
  </r>
  <r>
    <s v="ORD01898"/>
    <d v="2026-06-17T00:00:00"/>
    <s v="C1485"/>
    <s v="Headphones"/>
    <x v="2"/>
    <n v="1"/>
    <n v="7999"/>
    <n v="0.1"/>
    <s v="North"/>
    <s v="Debit Card"/>
    <x v="0"/>
    <n v="35995.5"/>
  </r>
  <r>
    <s v="ORD01899"/>
    <d v="2026-06-22T00:00:00"/>
    <s v="C1409"/>
    <s v="Headphones"/>
    <x v="0"/>
    <n v="3"/>
    <n v="1999"/>
    <n v="0"/>
    <s v="South"/>
    <s v="Credit Card"/>
    <x v="0"/>
    <n v="7199.1"/>
  </r>
  <r>
    <s v="ORD01900"/>
    <d v="2026-06-28T00:00:00"/>
    <s v="C1149"/>
    <s v="Monitor"/>
    <x v="4"/>
    <n v="2"/>
    <n v="4999"/>
    <n v="0"/>
    <s v="Central"/>
    <s v="Debit Card"/>
    <x v="0"/>
    <n v="5997"/>
  </r>
  <r>
    <s v="ORD01901"/>
    <d v="2026-03-13T00:00:00"/>
    <s v="C1009"/>
    <s v="USB-C Hub"/>
    <x v="3"/>
    <n v="1"/>
    <n v="7999"/>
    <n v="0.05"/>
    <s v="Central"/>
    <s v="Debit Card"/>
    <x v="2"/>
    <n v="9998"/>
  </r>
  <r>
    <s v="ORD01902"/>
    <d v="2026-07-12T00:00:00"/>
    <s v="C1275"/>
    <s v="Keyboard"/>
    <x v="1"/>
    <n v="3"/>
    <n v="1299"/>
    <n v="0.15"/>
    <s v="North"/>
    <s v="Credit Card"/>
    <x v="0"/>
    <n v="7599.0499999999993"/>
  </r>
  <r>
    <s v="ORD01903"/>
    <d v="2026-06-16T00:00:00"/>
    <s v="C1728"/>
    <s v="Wireless Mouse"/>
    <x v="1"/>
    <n v="3"/>
    <n v="7999"/>
    <n v="0.1"/>
    <s v="West"/>
    <s v="Net Banking"/>
    <x v="2"/>
    <n v="3312.45"/>
  </r>
  <r>
    <s v="ORD01904"/>
    <d v="2026-07-10T00:00:00"/>
    <s v="C1335"/>
    <s v="Monitor"/>
    <x v="1"/>
    <n v="3"/>
    <n v="999"/>
    <n v="0.15"/>
    <s v="West"/>
    <s v="COD"/>
    <x v="0"/>
    <n v="21597.3"/>
  </r>
  <r>
    <s v="ORD01905"/>
    <d v="2026-02-04T00:00:00"/>
    <s v="C1771"/>
    <s v="Webcam"/>
    <x v="3"/>
    <n v="2"/>
    <n v="1999"/>
    <n v="0.15"/>
    <s v="North"/>
    <s v="Net Banking"/>
    <x v="2"/>
    <n v="2547.4499999999998"/>
  </r>
  <r>
    <s v="ORD01906"/>
    <d v="2026-03-26T00:00:00"/>
    <s v="C1419"/>
    <s v="Bluetooth Speaker"/>
    <x v="0"/>
    <n v="1"/>
    <n v="599"/>
    <n v="0.1"/>
    <s v="West"/>
    <s v="Credit Card"/>
    <x v="2"/>
    <n v="3398.2999999999997"/>
  </r>
  <r>
    <s v="ORD01907"/>
    <d v="2026-07-01T00:00:00"/>
    <s v="C1534"/>
    <s v="Keyboard"/>
    <x v="3"/>
    <n v="3"/>
    <n v="999"/>
    <n v="0.1"/>
    <s v="South"/>
    <s v="UPI"/>
    <x v="0"/>
    <n v="539.1"/>
  </r>
  <r>
    <s v="ORD01908"/>
    <d v="2026-08-31T00:00:00"/>
    <s v="C1694"/>
    <s v="Mechanical Keyboard"/>
    <x v="4"/>
    <n v="2"/>
    <n v="599"/>
    <n v="0.15"/>
    <s v="Central"/>
    <s v="Debit Card"/>
    <x v="1"/>
    <n v="2697.3"/>
  </r>
  <r>
    <s v="ORD01909"/>
    <d v="2026-09-21T00:00:00"/>
    <s v="C1762"/>
    <s v="Laptop Stand"/>
    <x v="1"/>
    <n v="4"/>
    <n v="599"/>
    <n v="0"/>
    <s v="North"/>
    <s v="Debit Card"/>
    <x v="0"/>
    <n v="1018.3"/>
  </r>
  <r>
    <s v="ORD01910"/>
    <d v="2026-02-02T00:00:00"/>
    <s v="C1754"/>
    <s v="Laptop Stand"/>
    <x v="3"/>
    <n v="2"/>
    <n v="4999"/>
    <n v="0.05"/>
    <s v="North"/>
    <s v="UPI"/>
    <x v="0"/>
    <n v="2396"/>
  </r>
  <r>
    <s v="ORD01911"/>
    <d v="2026-01-03T00:00:00"/>
    <s v="C1236"/>
    <s v="Mechanical Keyboard"/>
    <x v="1"/>
    <n v="5"/>
    <n v="1999"/>
    <n v="0.1"/>
    <s v="North"/>
    <s v="Net Banking"/>
    <x v="1"/>
    <n v="9498.1"/>
  </r>
  <r>
    <s v="ORD01912"/>
    <d v="2026-03-15T00:00:00"/>
    <s v="C1427"/>
    <s v="Webcam"/>
    <x v="1"/>
    <n v="3"/>
    <n v="599"/>
    <n v="0.1"/>
    <s v="South"/>
    <s v="UPI"/>
    <x v="2"/>
    <n v="8995.5"/>
  </r>
  <r>
    <s v="ORD01913"/>
    <d v="2026-02-01T00:00:00"/>
    <s v="C1287"/>
    <s v="Laptop Stand"/>
    <x v="1"/>
    <n v="1"/>
    <n v="1499"/>
    <n v="0"/>
    <s v="West"/>
    <s v="Debit Card"/>
    <x v="1"/>
    <n v="1617.3"/>
  </r>
  <r>
    <s v="ORD01914"/>
    <d v="2026-03-07T00:00:00"/>
    <s v="C1225"/>
    <s v="Bluetooth Speaker"/>
    <x v="4"/>
    <n v="2"/>
    <n v="2499"/>
    <n v="0.1"/>
    <s v="East"/>
    <s v="COD"/>
    <x v="0"/>
    <n v="1499"/>
  </r>
  <r>
    <s v="ORD01915"/>
    <d v="2026-06-02T00:00:00"/>
    <s v="C1608"/>
    <s v="Power Bank"/>
    <x v="4"/>
    <n v="2"/>
    <n v="7999"/>
    <n v="0.05"/>
    <s v="East"/>
    <s v="UPI"/>
    <x v="1"/>
    <n v="4498.2"/>
  </r>
  <r>
    <s v="ORD01916"/>
    <d v="2026-06-14T00:00:00"/>
    <s v="C1248"/>
    <s v="Monitor"/>
    <x v="4"/>
    <n v="3"/>
    <n v="499"/>
    <n v="0"/>
    <s v="South"/>
    <s v="Credit Card"/>
    <x v="1"/>
    <n v="15198.099999999999"/>
  </r>
  <r>
    <s v="ORD01917"/>
    <d v="2026-09-27T00:00:00"/>
    <s v="C1229"/>
    <s v="Bluetooth Speaker"/>
    <x v="2"/>
    <n v="4"/>
    <n v="1299"/>
    <n v="0"/>
    <s v="North"/>
    <s v="Debit Card"/>
    <x v="1"/>
    <n v="1497"/>
  </r>
  <r>
    <s v="ORD01918"/>
    <d v="2026-03-04T00:00:00"/>
    <s v="C1062"/>
    <s v="Laptop Stand"/>
    <x v="4"/>
    <n v="2"/>
    <n v="4999"/>
    <n v="0.05"/>
    <s v="East"/>
    <s v="Net Banking"/>
    <x v="0"/>
    <n v="5196"/>
  </r>
  <r>
    <s v="ORD01919"/>
    <d v="2026-05-29T00:00:00"/>
    <s v="C1755"/>
    <s v="Wireless Mouse"/>
    <x v="4"/>
    <n v="1"/>
    <n v="499"/>
    <n v="0.1"/>
    <s v="South"/>
    <s v="Debit Card"/>
    <x v="1"/>
    <n v="9498.1"/>
  </r>
  <r>
    <s v="ORD01920"/>
    <d v="2026-04-11T00:00:00"/>
    <s v="C1201"/>
    <s v="Monitor"/>
    <x v="0"/>
    <n v="1"/>
    <n v="4999"/>
    <n v="0.05"/>
    <s v="West"/>
    <s v="Debit Card"/>
    <x v="0"/>
    <n v="449.1"/>
  </r>
  <r>
    <s v="ORD01921"/>
    <d v="2026-07-29T00:00:00"/>
    <s v="C1471"/>
    <s v="Headphones"/>
    <x v="2"/>
    <n v="5"/>
    <n v="499"/>
    <n v="0.15"/>
    <s v="Central"/>
    <s v="COD"/>
    <x v="1"/>
    <n v="4749.05"/>
  </r>
  <r>
    <s v="ORD01922"/>
    <d v="2026-06-01T00:00:00"/>
    <s v="C1474"/>
    <s v="Bluetooth Speaker"/>
    <x v="2"/>
    <n v="3"/>
    <n v="2499"/>
    <n v="0"/>
    <s v="North"/>
    <s v="Debit Card"/>
    <x v="0"/>
    <n v="2120.75"/>
  </r>
  <r>
    <s v="ORD01923"/>
    <d v="2026-07-21T00:00:00"/>
    <s v="C1728"/>
    <s v="Wireless Mouse"/>
    <x v="3"/>
    <n v="4"/>
    <n v="799"/>
    <n v="0"/>
    <s v="Central"/>
    <s v="Credit Card"/>
    <x v="2"/>
    <n v="7497"/>
  </r>
  <r>
    <s v="ORD01924"/>
    <d v="2026-02-09T00:00:00"/>
    <s v="C1307"/>
    <s v="Laptop Stand"/>
    <x v="1"/>
    <n v="4"/>
    <n v="999"/>
    <n v="0"/>
    <s v="East"/>
    <s v="UPI"/>
    <x v="0"/>
    <n v="3196"/>
  </r>
  <r>
    <s v="ORD01925"/>
    <d v="2026-08-25T00:00:00"/>
    <s v="C1350"/>
    <s v="Wireless Mouse"/>
    <x v="3"/>
    <n v="2"/>
    <n v="2499"/>
    <n v="0.05"/>
    <s v="Central"/>
    <s v="COD"/>
    <x v="2"/>
    <n v="3996"/>
  </r>
  <r>
    <s v="ORD01926"/>
    <d v="2026-04-29T00:00:00"/>
    <s v="C1501"/>
    <s v="Monitor"/>
    <x v="0"/>
    <n v="3"/>
    <n v="599"/>
    <n v="0.15"/>
    <s v="North"/>
    <s v="Debit Card"/>
    <x v="1"/>
    <n v="4748.0999999999995"/>
  </r>
  <r>
    <s v="ORD01927"/>
    <d v="2026-04-21T00:00:00"/>
    <s v="C1723"/>
    <s v="Bluetooth Speaker"/>
    <x v="4"/>
    <n v="2"/>
    <n v="1999"/>
    <n v="0.1"/>
    <s v="Central"/>
    <s v="UPI"/>
    <x v="2"/>
    <n v="1527.45"/>
  </r>
  <r>
    <s v="ORD01928"/>
    <d v="2026-03-02T00:00:00"/>
    <s v="C1231"/>
    <s v="Webcam"/>
    <x v="3"/>
    <n v="4"/>
    <n v="7999"/>
    <n v="0"/>
    <s v="North"/>
    <s v="UPI"/>
    <x v="0"/>
    <n v="3598.2000000000003"/>
  </r>
  <r>
    <s v="ORD01929"/>
    <d v="2026-02-02T00:00:00"/>
    <s v="C1282"/>
    <s v="Keyboard"/>
    <x v="4"/>
    <n v="1"/>
    <n v="7999"/>
    <n v="0.1"/>
    <s v="East"/>
    <s v="COD"/>
    <x v="0"/>
    <n v="31996"/>
  </r>
  <r>
    <s v="ORD01930"/>
    <d v="2026-08-12T00:00:00"/>
    <s v="C1553"/>
    <s v="Keyboard"/>
    <x v="0"/>
    <n v="4"/>
    <n v="999"/>
    <n v="0.15"/>
    <s v="West"/>
    <s v="Credit Card"/>
    <x v="0"/>
    <n v="7199.1"/>
  </r>
  <r>
    <s v="ORD01931"/>
    <d v="2026-07-18T00:00:00"/>
    <s v="C1105"/>
    <s v="Monitor"/>
    <x v="4"/>
    <n v="2"/>
    <n v="2499"/>
    <n v="0.15"/>
    <s v="West"/>
    <s v="Debit Card"/>
    <x v="0"/>
    <n v="3396.6"/>
  </r>
  <r>
    <s v="ORD01932"/>
    <d v="2026-03-25T00:00:00"/>
    <s v="C1464"/>
    <s v="USB-C Hub"/>
    <x v="3"/>
    <n v="5"/>
    <n v="499"/>
    <n v="0"/>
    <s v="East"/>
    <s v="Credit Card"/>
    <x v="2"/>
    <n v="4248.3"/>
  </r>
  <r>
    <s v="ORD01933"/>
    <d v="2026-07-05T00:00:00"/>
    <s v="C1206"/>
    <s v="Wireless Mouse"/>
    <x v="2"/>
    <n v="5"/>
    <n v="1499"/>
    <n v="0.1"/>
    <s v="North"/>
    <s v="COD"/>
    <x v="2"/>
    <n v="2495"/>
  </r>
  <r>
    <s v="ORD01934"/>
    <d v="2026-01-14T00:00:00"/>
    <s v="C1792"/>
    <s v="Mechanical Keyboard"/>
    <x v="1"/>
    <n v="2"/>
    <n v="999"/>
    <n v="0.1"/>
    <s v="North"/>
    <s v="Net Banking"/>
    <x v="0"/>
    <n v="6745.5"/>
  </r>
  <r>
    <s v="ORD01935"/>
    <d v="2026-01-29T00:00:00"/>
    <s v="C1355"/>
    <s v="Wireless Mouse"/>
    <x v="0"/>
    <n v="5"/>
    <n v="2499"/>
    <n v="0.05"/>
    <s v="South"/>
    <s v="Net Banking"/>
    <x v="0"/>
    <n v="1798.2"/>
  </r>
  <r>
    <s v="ORD01936"/>
    <d v="2026-04-20T00:00:00"/>
    <s v="C1402"/>
    <s v="Bluetooth Speaker"/>
    <x v="4"/>
    <n v="3"/>
    <n v="4999"/>
    <n v="0"/>
    <s v="North"/>
    <s v="Net Banking"/>
    <x v="1"/>
    <n v="11870.25"/>
  </r>
  <r>
    <s v="ORD01937"/>
    <d v="2026-07-10T00:00:00"/>
    <s v="C1338"/>
    <s v="Bluetooth Speaker"/>
    <x v="1"/>
    <n v="4"/>
    <n v="1999"/>
    <n v="0.15"/>
    <s v="North"/>
    <s v="Net Banking"/>
    <x v="0"/>
    <n v="14997"/>
  </r>
  <r>
    <s v="ORD01938"/>
    <d v="2026-06-24T00:00:00"/>
    <s v="C1105"/>
    <s v="Headphones"/>
    <x v="3"/>
    <n v="5"/>
    <n v="999"/>
    <n v="0.1"/>
    <s v="East"/>
    <s v="UPI"/>
    <x v="0"/>
    <n v="6796.5999999999995"/>
  </r>
  <r>
    <s v="ORD01939"/>
    <d v="2026-02-05T00:00:00"/>
    <s v="C1392"/>
    <s v="Power Bank"/>
    <x v="2"/>
    <n v="2"/>
    <n v="1499"/>
    <n v="0.15"/>
    <s v="East"/>
    <s v="Debit Card"/>
    <x v="1"/>
    <n v="4495.5"/>
  </r>
  <r>
    <s v="ORD01940"/>
    <d v="2026-04-14T00:00:00"/>
    <s v="C1761"/>
    <s v="Bluetooth Speaker"/>
    <x v="1"/>
    <n v="5"/>
    <n v="499"/>
    <n v="0.1"/>
    <s v="North"/>
    <s v="Net Banking"/>
    <x v="0"/>
    <n v="2548.2999999999997"/>
  </r>
  <r>
    <s v="ORD01941"/>
    <d v="2026-05-29T00:00:00"/>
    <s v="C1090"/>
    <s v="Webcam"/>
    <x v="4"/>
    <n v="1"/>
    <n v="799"/>
    <n v="0"/>
    <s v="Central"/>
    <s v="Credit Card"/>
    <x v="1"/>
    <n v="2245.5"/>
  </r>
  <r>
    <s v="ORD01942"/>
    <d v="2026-01-25T00:00:00"/>
    <s v="C1618"/>
    <s v="Webcam"/>
    <x v="1"/>
    <n v="5"/>
    <n v="499"/>
    <n v="0"/>
    <s v="Central"/>
    <s v="Debit Card"/>
    <x v="0"/>
    <n v="799"/>
  </r>
  <r>
    <s v="ORD01943"/>
    <d v="2026-08-06T00:00:00"/>
    <s v="C1354"/>
    <s v="Headphones"/>
    <x v="1"/>
    <n v="4"/>
    <n v="2499"/>
    <n v="0.1"/>
    <s v="West"/>
    <s v="UPI"/>
    <x v="2"/>
    <n v="2495"/>
  </r>
  <r>
    <s v="ORD01944"/>
    <d v="2026-07-31T00:00:00"/>
    <s v="C1102"/>
    <s v="Wireless Mouse"/>
    <x v="4"/>
    <n v="4"/>
    <n v="799"/>
    <n v="0"/>
    <s v="Central"/>
    <s v="Credit Card"/>
    <x v="2"/>
    <n v="8996.4"/>
  </r>
  <r>
    <s v="ORD01945"/>
    <d v="2026-02-26T00:00:00"/>
    <s v="C1653"/>
    <s v="Mechanical Keyboard"/>
    <x v="4"/>
    <n v="1"/>
    <n v="999"/>
    <n v="0.1"/>
    <s v="East"/>
    <s v="UPI"/>
    <x v="0"/>
    <n v="3196"/>
  </r>
  <r>
    <s v="ORD01946"/>
    <d v="2026-03-18T00:00:00"/>
    <s v="C1649"/>
    <s v="Headphones"/>
    <x v="3"/>
    <n v="2"/>
    <n v="999"/>
    <n v="0.05"/>
    <s v="West"/>
    <s v="UPI"/>
    <x v="1"/>
    <n v="899.1"/>
  </r>
  <r>
    <s v="ORD01947"/>
    <d v="2026-02-08T00:00:00"/>
    <s v="C1329"/>
    <s v="Monitor"/>
    <x v="0"/>
    <n v="5"/>
    <n v="799"/>
    <n v="0.1"/>
    <s v="Central"/>
    <s v="Debit Card"/>
    <x v="2"/>
    <n v="1898.1"/>
  </r>
  <r>
    <s v="ORD01948"/>
    <d v="2026-07-11T00:00:00"/>
    <s v="C1304"/>
    <s v="Wireless Mouse"/>
    <x v="2"/>
    <n v="5"/>
    <n v="7999"/>
    <n v="0"/>
    <s v="West"/>
    <s v="Debit Card"/>
    <x v="0"/>
    <n v="3595.5"/>
  </r>
  <r>
    <s v="ORD01949"/>
    <d v="2026-07-03T00:00:00"/>
    <s v="C1406"/>
    <s v="USB-C Hub"/>
    <x v="1"/>
    <n v="3"/>
    <n v="999"/>
    <n v="0"/>
    <s v="East"/>
    <s v="Debit Card"/>
    <x v="1"/>
    <n v="39995"/>
  </r>
  <r>
    <s v="ORD01950"/>
    <d v="2026-09-12T00:00:00"/>
    <s v="C1709"/>
    <s v="Headphones"/>
    <x v="1"/>
    <n v="2"/>
    <n v="799"/>
    <n v="0.15"/>
    <s v="South"/>
    <s v="COD"/>
    <x v="1"/>
    <n v="2997"/>
  </r>
  <r>
    <s v="ORD01951"/>
    <d v="2026-08-08T00:00:00"/>
    <s v="C1156"/>
    <s v="Power Bank"/>
    <x v="2"/>
    <n v="4"/>
    <n v="4999"/>
    <n v="0.15"/>
    <s v="North"/>
    <s v="COD"/>
    <x v="1"/>
    <n v="1358.3"/>
  </r>
  <r>
    <s v="ORD01952"/>
    <d v="2026-05-19T00:00:00"/>
    <s v="C1396"/>
    <s v="Power Bank"/>
    <x v="1"/>
    <n v="5"/>
    <n v="1499"/>
    <n v="0"/>
    <s v="North"/>
    <s v="Credit Card"/>
    <x v="2"/>
    <n v="16996.599999999999"/>
  </r>
  <r>
    <s v="ORD01953"/>
    <d v="2026-05-28T00:00:00"/>
    <s v="C1661"/>
    <s v="USB-C Hub"/>
    <x v="2"/>
    <n v="3"/>
    <n v="1299"/>
    <n v="0"/>
    <s v="East"/>
    <s v="Debit Card"/>
    <x v="0"/>
    <n v="7495"/>
  </r>
  <r>
    <s v="ORD01954"/>
    <d v="2026-08-27T00:00:00"/>
    <s v="C1594"/>
    <s v="Keyboard"/>
    <x v="2"/>
    <n v="4"/>
    <n v="4999"/>
    <n v="0.1"/>
    <s v="North"/>
    <s v="Credit Card"/>
    <x v="0"/>
    <n v="3897"/>
  </r>
  <r>
    <s v="ORD01955"/>
    <d v="2026-06-03T00:00:00"/>
    <s v="C1311"/>
    <s v="Power Bank"/>
    <x v="1"/>
    <n v="1"/>
    <n v="1299"/>
    <n v="0"/>
    <s v="East"/>
    <s v="Credit Card"/>
    <x v="0"/>
    <n v="17996.400000000001"/>
  </r>
  <r>
    <s v="ORD01956"/>
    <d v="2026-02-07T00:00:00"/>
    <s v="C1287"/>
    <s v="Laptop Stand"/>
    <x v="1"/>
    <n v="5"/>
    <n v="1499"/>
    <n v="0.15"/>
    <s v="North"/>
    <s v="Credit Card"/>
    <x v="2"/>
    <n v="1299"/>
  </r>
  <r>
    <s v="ORD01957"/>
    <d v="2026-03-24T00:00:00"/>
    <s v="C1050"/>
    <s v="Keyboard"/>
    <x v="0"/>
    <n v="3"/>
    <n v="599"/>
    <n v="0"/>
    <s v="Central"/>
    <s v="Debit Card"/>
    <x v="2"/>
    <n v="6370.75"/>
  </r>
  <r>
    <s v="ORD01958"/>
    <d v="2026-09-09T00:00:00"/>
    <s v="C1663"/>
    <s v="Wireless Mouse"/>
    <x v="2"/>
    <n v="1"/>
    <n v="1299"/>
    <n v="0"/>
    <s v="North"/>
    <s v="Credit Card"/>
    <x v="0"/>
    <n v="1797"/>
  </r>
  <r>
    <s v="ORD01959"/>
    <d v="2026-05-23T00:00:00"/>
    <s v="C1503"/>
    <s v="Bluetooth Speaker"/>
    <x v="2"/>
    <n v="4"/>
    <n v="1499"/>
    <n v="0"/>
    <s v="Central"/>
    <s v="UPI"/>
    <x v="1"/>
    <n v="1299"/>
  </r>
  <r>
    <s v="ORD01960"/>
    <d v="2026-09-18T00:00:00"/>
    <s v="C1144"/>
    <s v="Keyboard"/>
    <x v="4"/>
    <n v="1"/>
    <n v="599"/>
    <n v="0.05"/>
    <s v="West"/>
    <s v="COD"/>
    <x v="2"/>
    <n v="5996"/>
  </r>
  <r>
    <s v="ORD01961"/>
    <d v="2026-02-28T00:00:00"/>
    <s v="C1047"/>
    <s v="Wireless Mouse"/>
    <x v="3"/>
    <n v="5"/>
    <n v="4999"/>
    <n v="0.05"/>
    <s v="West"/>
    <s v="UPI"/>
    <x v="1"/>
    <n v="569.04999999999995"/>
  </r>
  <r>
    <s v="ORD01962"/>
    <d v="2026-08-11T00:00:00"/>
    <s v="C1691"/>
    <s v="Power Bank"/>
    <x v="1"/>
    <n v="4"/>
    <n v="799"/>
    <n v="0.05"/>
    <s v="Central"/>
    <s v="Credit Card"/>
    <x v="1"/>
    <n v="23745.25"/>
  </r>
  <r>
    <s v="ORD01963"/>
    <d v="2026-05-14T00:00:00"/>
    <s v="C1524"/>
    <s v="Keyboard"/>
    <x v="2"/>
    <n v="5"/>
    <n v="2499"/>
    <n v="0.05"/>
    <s v="East"/>
    <s v="Debit Card"/>
    <x v="1"/>
    <n v="3036.2"/>
  </r>
  <r>
    <s v="ORD01964"/>
    <d v="2026-07-23T00:00:00"/>
    <s v="C1560"/>
    <s v="Keyboard"/>
    <x v="0"/>
    <n v="5"/>
    <n v="999"/>
    <n v="0"/>
    <s v="East"/>
    <s v="Credit Card"/>
    <x v="0"/>
    <n v="11870.25"/>
  </r>
  <r>
    <s v="ORD01965"/>
    <d v="2026-02-15T00:00:00"/>
    <s v="C1764"/>
    <s v="Power Bank"/>
    <x v="0"/>
    <n v="1"/>
    <n v="1999"/>
    <n v="0"/>
    <s v="Central"/>
    <s v="Net Banking"/>
    <x v="0"/>
    <n v="4995"/>
  </r>
  <r>
    <s v="ORD01966"/>
    <d v="2026-05-03T00:00:00"/>
    <s v="C1153"/>
    <s v="Keyboard"/>
    <x v="2"/>
    <n v="4"/>
    <n v="599"/>
    <n v="0"/>
    <s v="West"/>
    <s v="Debit Card"/>
    <x v="2"/>
    <n v="1999"/>
  </r>
  <r>
    <s v="ORD01967"/>
    <d v="2026-09-26T00:00:00"/>
    <s v="C1081"/>
    <s v="Monitor"/>
    <x v="0"/>
    <n v="4"/>
    <n v="1999"/>
    <n v="0"/>
    <s v="Central"/>
    <s v="Credit Card"/>
    <x v="0"/>
    <n v="2396"/>
  </r>
  <r>
    <s v="ORD01968"/>
    <d v="2026-01-21T00:00:00"/>
    <s v="C1080"/>
    <s v="Bluetooth Speaker"/>
    <x v="0"/>
    <n v="3"/>
    <n v="599"/>
    <n v="0"/>
    <s v="North"/>
    <s v="Net Banking"/>
    <x v="0"/>
    <n v="7996"/>
  </r>
  <r>
    <s v="ORD01969"/>
    <d v="2026-05-26T00:00:00"/>
    <s v="C1622"/>
    <s v="Power Bank"/>
    <x v="3"/>
    <n v="5"/>
    <n v="1999"/>
    <n v="0"/>
    <s v="East"/>
    <s v="COD"/>
    <x v="0"/>
    <n v="1797"/>
  </r>
  <r>
    <s v="ORD01970"/>
    <d v="2026-03-18T00:00:00"/>
    <s v="C1478"/>
    <s v="Wireless Mouse"/>
    <x v="1"/>
    <n v="3"/>
    <n v="1299"/>
    <n v="0.1"/>
    <s v="North"/>
    <s v="UPI"/>
    <x v="0"/>
    <n v="9995"/>
  </r>
  <r>
    <s v="ORD01971"/>
    <d v="2026-06-29T00:00:00"/>
    <s v="C1470"/>
    <s v="Keyboard"/>
    <x v="2"/>
    <n v="5"/>
    <n v="1999"/>
    <n v="0"/>
    <s v="Central"/>
    <s v="UPI"/>
    <x v="2"/>
    <n v="3507.3"/>
  </r>
  <r>
    <s v="ORD01972"/>
    <d v="2026-01-14T00:00:00"/>
    <s v="C1643"/>
    <s v="USB-C Hub"/>
    <x v="1"/>
    <n v="4"/>
    <n v="1299"/>
    <n v="0.15"/>
    <s v="West"/>
    <s v="COD"/>
    <x v="0"/>
    <n v="9995"/>
  </r>
  <r>
    <s v="ORD01973"/>
    <d v="2026-01-01T00:00:00"/>
    <s v="C1095"/>
    <s v="Power Bank"/>
    <x v="0"/>
    <n v="4"/>
    <n v="499"/>
    <n v="0"/>
    <s v="Central"/>
    <s v="Debit Card"/>
    <x v="2"/>
    <n v="4416.5999999999995"/>
  </r>
  <r>
    <s v="ORD01974"/>
    <d v="2026-02-28T00:00:00"/>
    <s v="C1081"/>
    <s v="Headphones"/>
    <x v="1"/>
    <n v="5"/>
    <n v="499"/>
    <n v="0.1"/>
    <s v="West"/>
    <s v="Credit Card"/>
    <x v="2"/>
    <n v="1996"/>
  </r>
  <r>
    <s v="ORD01975"/>
    <d v="2026-07-01T00:00:00"/>
    <s v="C1534"/>
    <s v="Keyboard"/>
    <x v="4"/>
    <n v="5"/>
    <n v="1999"/>
    <n v="0"/>
    <s v="North"/>
    <s v="Debit Card"/>
    <x v="2"/>
    <n v="2245.5"/>
  </r>
  <r>
    <s v="ORD01976"/>
    <d v="2026-02-11T00:00:00"/>
    <s v="C1079"/>
    <s v="USB-C Hub"/>
    <x v="2"/>
    <n v="5"/>
    <n v="1299"/>
    <n v="0.05"/>
    <s v="West"/>
    <s v="COD"/>
    <x v="0"/>
    <n v="9995"/>
  </r>
  <r>
    <s v="ORD01977"/>
    <d v="2026-04-23T00:00:00"/>
    <s v="C1411"/>
    <s v="Laptop Stand"/>
    <x v="2"/>
    <n v="1"/>
    <n v="999"/>
    <n v="0.1"/>
    <s v="North"/>
    <s v="COD"/>
    <x v="0"/>
    <n v="6170.25"/>
  </r>
  <r>
    <s v="ORD01978"/>
    <d v="2026-03-09T00:00:00"/>
    <s v="C1201"/>
    <s v="Laptop Stand"/>
    <x v="4"/>
    <n v="3"/>
    <n v="4999"/>
    <n v="0"/>
    <s v="North"/>
    <s v="Credit Card"/>
    <x v="2"/>
    <n v="899.1"/>
  </r>
  <r>
    <s v="ORD01979"/>
    <d v="2026-08-21T00:00:00"/>
    <s v="C1325"/>
    <s v="Headphones"/>
    <x v="3"/>
    <n v="1"/>
    <n v="799"/>
    <n v="0"/>
    <s v="South"/>
    <s v="Debit Card"/>
    <x v="1"/>
    <n v="14997"/>
  </r>
  <r>
    <s v="ORD01980"/>
    <d v="2026-01-23T00:00:00"/>
    <s v="C1064"/>
    <s v="Power Bank"/>
    <x v="0"/>
    <n v="5"/>
    <n v="1499"/>
    <n v="0.1"/>
    <s v="South"/>
    <s v="UPI"/>
    <x v="2"/>
    <n v="799"/>
  </r>
  <r>
    <s v="ORD01981"/>
    <d v="2026-04-21T00:00:00"/>
    <s v="C1690"/>
    <s v="USB-C Hub"/>
    <x v="3"/>
    <n v="3"/>
    <n v="4999"/>
    <n v="0"/>
    <s v="Central"/>
    <s v="Debit Card"/>
    <x v="0"/>
    <n v="6745.5"/>
  </r>
  <r>
    <s v="ORD01982"/>
    <d v="2026-06-09T00:00:00"/>
    <s v="C1163"/>
    <s v="Headphones"/>
    <x v="2"/>
    <n v="3"/>
    <n v="1999"/>
    <n v="0"/>
    <s v="South"/>
    <s v="UPI"/>
    <x v="0"/>
    <n v="14997"/>
  </r>
  <r>
    <s v="ORD01983"/>
    <d v="2026-07-20T00:00:00"/>
    <s v="C1166"/>
    <s v="Monitor"/>
    <x v="1"/>
    <n v="1"/>
    <n v="999"/>
    <n v="0"/>
    <s v="Central"/>
    <s v="COD"/>
    <x v="0"/>
    <n v="5997"/>
  </r>
  <r>
    <s v="ORD01984"/>
    <d v="2026-09-19T00:00:00"/>
    <s v="C1629"/>
    <s v="Mechanical Keyboard"/>
    <x v="4"/>
    <n v="1"/>
    <n v="1999"/>
    <n v="0.15"/>
    <s v="South"/>
    <s v="UPI"/>
    <x v="2"/>
    <n v="999"/>
  </r>
  <r>
    <s v="ORD01985"/>
    <d v="2026-04-07T00:00:00"/>
    <s v="C1640"/>
    <s v="Monitor"/>
    <x v="4"/>
    <n v="5"/>
    <n v="499"/>
    <n v="0.15"/>
    <s v="North"/>
    <s v="UPI"/>
    <x v="0"/>
    <n v="1699.1499999999999"/>
  </r>
  <r>
    <s v="ORD01986"/>
    <d v="2026-07-02T00:00:00"/>
    <s v="C1547"/>
    <s v="Wireless Mouse"/>
    <x v="2"/>
    <n v="2"/>
    <n v="999"/>
    <n v="0.1"/>
    <s v="Central"/>
    <s v="Debit Card"/>
    <x v="1"/>
    <n v="2120.75"/>
  </r>
  <r>
    <s v="ORD01987"/>
    <d v="2026-03-14T00:00:00"/>
    <s v="C1640"/>
    <s v="USB-C Hub"/>
    <x v="3"/>
    <n v="4"/>
    <n v="799"/>
    <n v="0.15"/>
    <s v="West"/>
    <s v="Credit Card"/>
    <x v="0"/>
    <n v="1798.2"/>
  </r>
  <r>
    <s v="ORD01988"/>
    <d v="2026-01-04T00:00:00"/>
    <s v="C1745"/>
    <s v="Keyboard"/>
    <x v="3"/>
    <n v="3"/>
    <n v="999"/>
    <n v="0.05"/>
    <s v="Central"/>
    <s v="Net Banking"/>
    <x v="0"/>
    <n v="2716.6"/>
  </r>
  <r>
    <s v="ORD01989"/>
    <d v="2026-03-10T00:00:00"/>
    <s v="C1593"/>
    <s v="Power Bank"/>
    <x v="0"/>
    <n v="3"/>
    <n v="4999"/>
    <n v="0.15"/>
    <s v="West"/>
    <s v="Credit Card"/>
    <x v="2"/>
    <n v="2847.15"/>
  </r>
  <r>
    <s v="ORD01990"/>
    <d v="2026-03-04T00:00:00"/>
    <s v="C1013"/>
    <s v="Webcam"/>
    <x v="0"/>
    <n v="5"/>
    <n v="4999"/>
    <n v="0.05"/>
    <s v="North"/>
    <s v="COD"/>
    <x v="0"/>
    <n v="12747.449999999999"/>
  </r>
  <r>
    <s v="ORD01991"/>
    <d v="2026-04-02T00:00:00"/>
    <s v="C1109"/>
    <s v="USB-C Hub"/>
    <x v="4"/>
    <n v="1"/>
    <n v="799"/>
    <n v="0.05"/>
    <s v="North"/>
    <s v="Net Banking"/>
    <x v="0"/>
    <n v="23745.25"/>
  </r>
  <r>
    <s v="ORD01992"/>
    <d v="2026-06-24T00:00:00"/>
    <s v="C1778"/>
    <s v="Wireless Mouse"/>
    <x v="1"/>
    <n v="5"/>
    <n v="599"/>
    <n v="0"/>
    <s v="South"/>
    <s v="UPI"/>
    <x v="0"/>
    <n v="759.05"/>
  </r>
  <r>
    <s v="ORD01993"/>
    <d v="2026-07-20T00:00:00"/>
    <s v="C1764"/>
    <s v="Mechanical Keyboard"/>
    <x v="0"/>
    <n v="4"/>
    <n v="1299"/>
    <n v="0.05"/>
    <s v="West"/>
    <s v="UPI"/>
    <x v="1"/>
    <n v="2995"/>
  </r>
  <r>
    <s v="ORD01994"/>
    <d v="2026-07-06T00:00:00"/>
    <s v="C1179"/>
    <s v="Laptop Stand"/>
    <x v="3"/>
    <n v="3"/>
    <n v="1999"/>
    <n v="0.1"/>
    <s v="Central"/>
    <s v="Net Banking"/>
    <x v="0"/>
    <n v="4936.2"/>
  </r>
  <r>
    <s v="ORD01995"/>
    <d v="2026-09-12T00:00:00"/>
    <s v="C1290"/>
    <s v="Power Bank"/>
    <x v="1"/>
    <n v="4"/>
    <n v="1999"/>
    <n v="0.15"/>
    <s v="Central"/>
    <s v="Net Banking"/>
    <x v="0"/>
    <n v="5397.3"/>
  </r>
  <r>
    <s v="ORD01996"/>
    <d v="2026-03-13T00:00:00"/>
    <s v="C1023"/>
    <s v="USB-C Hub"/>
    <x v="2"/>
    <n v="5"/>
    <n v="4999"/>
    <n v="0.1"/>
    <s v="East"/>
    <s v="Net Banking"/>
    <x v="0"/>
    <n v="6796.5999999999995"/>
  </r>
  <r>
    <s v="ORD01997"/>
    <d v="2026-02-02T00:00:00"/>
    <s v="C1158"/>
    <s v="Laptop Stand"/>
    <x v="3"/>
    <n v="4"/>
    <n v="499"/>
    <n v="0.1"/>
    <s v="West"/>
    <s v="Debit Card"/>
    <x v="1"/>
    <n v="22495.5"/>
  </r>
  <r>
    <s v="ORD01998"/>
    <d v="2026-04-15T00:00:00"/>
    <s v="C1727"/>
    <s v="Monitor"/>
    <x v="0"/>
    <n v="5"/>
    <n v="599"/>
    <n v="0"/>
    <s v="North"/>
    <s v="Net Banking"/>
    <x v="0"/>
    <n v="1796.4"/>
  </r>
  <r>
    <s v="ORD01999"/>
    <d v="2026-08-28T00:00:00"/>
    <s v="C1668"/>
    <s v="Bluetooth Speaker"/>
    <x v="1"/>
    <n v="5"/>
    <n v="499"/>
    <n v="0.15"/>
    <s v="North"/>
    <s v="Net Banking"/>
    <x v="1"/>
    <n v="2995"/>
  </r>
  <r>
    <s v="ORD02000"/>
    <d v="2026-02-13T00:00:00"/>
    <s v="C1201"/>
    <s v="Keyboard"/>
    <x v="1"/>
    <n v="4"/>
    <n v="499"/>
    <n v="0.15"/>
    <s v="Central"/>
    <s v="COD"/>
    <x v="0"/>
    <n v="2120.75"/>
  </r>
  <r>
    <s v="ORD02001"/>
    <d v="2026-07-30T00:00:00"/>
    <s v="C1025"/>
    <s v="Power Bank"/>
    <x v="1"/>
    <n v="2"/>
    <n v="599"/>
    <n v="0"/>
    <s v="West"/>
    <s v="Debit Card"/>
    <x v="0"/>
    <n v="1696.6"/>
  </r>
  <r>
    <s v="ORD02002"/>
    <d v="2026-04-30T00:00:00"/>
    <s v="C1742"/>
    <s v="Webcam"/>
    <x v="0"/>
    <n v="1"/>
    <n v="1499"/>
    <n v="0"/>
    <s v="South"/>
    <s v="UPI"/>
    <x v="2"/>
    <n v="1198"/>
  </r>
  <r>
    <s v="ORD02003"/>
    <d v="2026-02-26T00:00:00"/>
    <s v="C1652"/>
    <s v="Laptop Stand"/>
    <x v="3"/>
    <n v="5"/>
    <n v="599"/>
    <n v="0.15"/>
    <s v="Central"/>
    <s v="COD"/>
    <x v="0"/>
    <n v="1499"/>
  </r>
  <r>
    <s v="ORD02004"/>
    <d v="2026-05-29T00:00:00"/>
    <s v="C1198"/>
    <s v="Mechanical Keyboard"/>
    <x v="0"/>
    <n v="4"/>
    <n v="4999"/>
    <n v="0.05"/>
    <s v="East"/>
    <s v="Debit Card"/>
    <x v="1"/>
    <n v="2545.75"/>
  </r>
  <r>
    <s v="ORD02005"/>
    <d v="2026-07-24T00:00:00"/>
    <s v="C1156"/>
    <s v="USB-C Hub"/>
    <x v="2"/>
    <n v="5"/>
    <n v="2499"/>
    <n v="0"/>
    <s v="South"/>
    <s v="Net Banking"/>
    <x v="0"/>
    <n v="18996.2"/>
  </r>
  <r>
    <s v="ORD02006"/>
    <d v="2026-02-28T00:00:00"/>
    <s v="C1334"/>
    <s v="USB-C Hub"/>
    <x v="3"/>
    <n v="3"/>
    <n v="1499"/>
    <n v="0.15"/>
    <s v="Central"/>
    <s v="Credit Card"/>
    <x v="0"/>
    <n v="12495"/>
  </r>
  <r>
    <s v="ORD02007"/>
    <d v="2026-08-07T00:00:00"/>
    <s v="C1293"/>
    <s v="Headphones"/>
    <x v="2"/>
    <n v="5"/>
    <n v="599"/>
    <n v="0"/>
    <s v="South"/>
    <s v="Debit Card"/>
    <x v="0"/>
    <n v="3822.45"/>
  </r>
  <r>
    <s v="ORD02008"/>
    <d v="2026-05-30T00:00:00"/>
    <s v="C1581"/>
    <s v="Keyboard"/>
    <x v="3"/>
    <n v="3"/>
    <n v="799"/>
    <n v="0"/>
    <s v="South"/>
    <s v="Net Banking"/>
    <x v="2"/>
    <n v="2995"/>
  </r>
  <r>
    <s v="ORD02009"/>
    <d v="2026-08-18T00:00:00"/>
    <s v="C1475"/>
    <s v="Mechanical Keyboard"/>
    <x v="2"/>
    <n v="4"/>
    <n v="1499"/>
    <n v="0.15"/>
    <s v="West"/>
    <s v="Credit Card"/>
    <x v="0"/>
    <n v="2397"/>
  </r>
  <r>
    <s v="ORD02010"/>
    <d v="2026-06-28T00:00:00"/>
    <s v="C1282"/>
    <s v="Bluetooth Speaker"/>
    <x v="4"/>
    <n v="5"/>
    <n v="499"/>
    <n v="0"/>
    <s v="West"/>
    <s v="Credit Card"/>
    <x v="2"/>
    <n v="5096.5999999999995"/>
  </r>
  <r>
    <s v="ORD02011"/>
    <d v="2026-04-17T00:00:00"/>
    <s v="C1110"/>
    <s v="Keyboard"/>
    <x v="4"/>
    <n v="5"/>
    <n v="1499"/>
    <n v="0"/>
    <s v="East"/>
    <s v="Net Banking"/>
    <x v="1"/>
    <n v="2495"/>
  </r>
  <r>
    <s v="ORD02012"/>
    <d v="2026-02-23T00:00:00"/>
    <s v="C1002"/>
    <s v="Monitor"/>
    <x v="0"/>
    <n v="5"/>
    <n v="499"/>
    <n v="0.15"/>
    <s v="West"/>
    <s v="UPI"/>
    <x v="1"/>
    <n v="7495"/>
  </r>
  <r>
    <s v="ORD02013"/>
    <d v="2026-09-23T00:00:00"/>
    <s v="C1615"/>
    <s v="Power Bank"/>
    <x v="1"/>
    <n v="4"/>
    <n v="1499"/>
    <n v="0"/>
    <s v="East"/>
    <s v="Credit Card"/>
    <x v="0"/>
    <n v="2120.75"/>
  </r>
  <r>
    <s v="ORD02014"/>
    <d v="2026-01-25T00:00:00"/>
    <s v="C1457"/>
    <s v="Power Bank"/>
    <x v="1"/>
    <n v="5"/>
    <n v="7999"/>
    <n v="0.05"/>
    <s v="North"/>
    <s v="Net Banking"/>
    <x v="2"/>
    <n v="5996"/>
  </r>
  <r>
    <s v="ORD02015"/>
    <d v="2026-01-01T00:00:00"/>
    <s v="C1156"/>
    <s v="Keyboard"/>
    <x v="2"/>
    <n v="3"/>
    <n v="1999"/>
    <n v="0.1"/>
    <s v="North"/>
    <s v="COD"/>
    <x v="0"/>
    <n v="37995.25"/>
  </r>
  <r>
    <s v="ORD02016"/>
    <d v="2026-01-03T00:00:00"/>
    <s v="C1123"/>
    <s v="Monitor"/>
    <x v="4"/>
    <n v="2"/>
    <n v="2499"/>
    <n v="0.05"/>
    <s v="West"/>
    <s v="Net Banking"/>
    <x v="0"/>
    <n v="5397.3"/>
  </r>
  <r>
    <s v="ORD02017"/>
    <d v="2026-04-14T00:00:00"/>
    <s v="C1599"/>
    <s v="Power Bank"/>
    <x v="3"/>
    <n v="4"/>
    <n v="1299"/>
    <n v="0.15"/>
    <s v="West"/>
    <s v="Credit Card"/>
    <x v="0"/>
    <n v="4748.0999999999995"/>
  </r>
  <r>
    <s v="ORD02018"/>
    <d v="2026-07-30T00:00:00"/>
    <s v="C1757"/>
    <s v="Headphones"/>
    <x v="4"/>
    <n v="1"/>
    <n v="799"/>
    <n v="0.15"/>
    <s v="East"/>
    <s v="Net Banking"/>
    <x v="1"/>
    <n v="4416.5999999999995"/>
  </r>
  <r>
    <s v="ORD02019"/>
    <d v="2026-02-07T00:00:00"/>
    <s v="C1205"/>
    <s v="Laptop Stand"/>
    <x v="2"/>
    <n v="3"/>
    <n v="7999"/>
    <n v="0.15"/>
    <s v="South"/>
    <s v="Credit Card"/>
    <x v="0"/>
    <n v="679.15"/>
  </r>
  <r>
    <s v="ORD02020"/>
    <d v="2026-04-18T00:00:00"/>
    <s v="C1066"/>
    <s v="Keyboard"/>
    <x v="4"/>
    <n v="1"/>
    <n v="1299"/>
    <n v="0.05"/>
    <s v="South"/>
    <s v="UPI"/>
    <x v="0"/>
    <n v="20397.45"/>
  </r>
  <r>
    <s v="ORD02021"/>
    <d v="2026-07-10T00:00:00"/>
    <s v="C1720"/>
    <s v="Power Bank"/>
    <x v="4"/>
    <n v="3"/>
    <n v="2499"/>
    <n v="0"/>
    <s v="East"/>
    <s v="Net Banking"/>
    <x v="0"/>
    <n v="1234.05"/>
  </r>
  <r>
    <s v="ORD02022"/>
    <d v="2026-02-17T00:00:00"/>
    <s v="C1041"/>
    <s v="Wireless Mouse"/>
    <x v="1"/>
    <n v="2"/>
    <n v="499"/>
    <n v="0"/>
    <s v="Central"/>
    <s v="Debit Card"/>
    <x v="0"/>
    <n v="7497"/>
  </r>
  <r>
    <s v="ORD02023"/>
    <d v="2026-01-13T00:00:00"/>
    <s v="C1523"/>
    <s v="Monitor"/>
    <x v="3"/>
    <n v="1"/>
    <n v="599"/>
    <n v="0.15"/>
    <s v="Central"/>
    <s v="Debit Card"/>
    <x v="2"/>
    <n v="998"/>
  </r>
  <r>
    <s v="ORD02024"/>
    <d v="2026-05-12T00:00:00"/>
    <s v="C1235"/>
    <s v="Wireless Mouse"/>
    <x v="4"/>
    <n v="2"/>
    <n v="1299"/>
    <n v="0.1"/>
    <s v="South"/>
    <s v="Debit Card"/>
    <x v="1"/>
    <n v="509.15"/>
  </r>
  <r>
    <s v="ORD02025"/>
    <d v="2026-05-12T00:00:00"/>
    <s v="C1755"/>
    <s v="USB-C Hub"/>
    <x v="4"/>
    <n v="2"/>
    <n v="1299"/>
    <n v="0.1"/>
    <s v="North"/>
    <s v="Net Banking"/>
    <x v="2"/>
    <n v="2338.2000000000003"/>
  </r>
  <r>
    <s v="ORD02026"/>
    <d v="2026-08-01T00:00:00"/>
    <s v="C1574"/>
    <s v="Wireless Mouse"/>
    <x v="4"/>
    <n v="2"/>
    <n v="599"/>
    <n v="0"/>
    <s v="South"/>
    <s v="UPI"/>
    <x v="0"/>
    <n v="2338.2000000000003"/>
  </r>
  <r>
    <s v="ORD02027"/>
    <d v="2026-08-17T00:00:00"/>
    <s v="C1109"/>
    <s v="Headphones"/>
    <x v="1"/>
    <n v="1"/>
    <n v="999"/>
    <n v="0.1"/>
    <s v="West"/>
    <s v="COD"/>
    <x v="0"/>
    <n v="1198"/>
  </r>
  <r>
    <s v="ORD02028"/>
    <d v="2026-03-19T00:00:00"/>
    <s v="C1590"/>
    <s v="Keyboard"/>
    <x v="1"/>
    <n v="1"/>
    <n v="799"/>
    <n v="0"/>
    <s v="Central"/>
    <s v="Credit Card"/>
    <x v="2"/>
    <n v="899.1"/>
  </r>
  <r>
    <s v="ORD02029"/>
    <d v="2026-01-03T00:00:00"/>
    <s v="C1081"/>
    <s v="Mechanical Keyboard"/>
    <x v="1"/>
    <n v="4"/>
    <n v="1999"/>
    <n v="0.05"/>
    <s v="North"/>
    <s v="Debit Card"/>
    <x v="0"/>
    <n v="799"/>
  </r>
  <r>
    <s v="ORD02030"/>
    <d v="2026-03-20T00:00:00"/>
    <s v="C1427"/>
    <s v="Bluetooth Speaker"/>
    <x v="2"/>
    <n v="3"/>
    <n v="799"/>
    <n v="0.15"/>
    <s v="North"/>
    <s v="Credit Card"/>
    <x v="0"/>
    <n v="7596.2"/>
  </r>
  <r>
    <s v="ORD02031"/>
    <d v="2026-09-01T00:00:00"/>
    <s v="C1710"/>
    <s v="Webcam"/>
    <x v="2"/>
    <n v="2"/>
    <n v="1299"/>
    <n v="0.1"/>
    <s v="South"/>
    <s v="COD"/>
    <x v="0"/>
    <n v="2037.45"/>
  </r>
  <r>
    <s v="ORD02032"/>
    <d v="2026-07-19T00:00:00"/>
    <s v="C1382"/>
    <s v="Laptop Stand"/>
    <x v="0"/>
    <n v="1"/>
    <n v="1299"/>
    <n v="0.1"/>
    <s v="Central"/>
    <s v="Debit Card"/>
    <x v="0"/>
    <n v="2338.2000000000003"/>
  </r>
  <r>
    <s v="ORD02033"/>
    <d v="2026-01-03T00:00:00"/>
    <s v="C1603"/>
    <s v="Webcam"/>
    <x v="0"/>
    <n v="2"/>
    <n v="1499"/>
    <n v="0"/>
    <s v="Central"/>
    <s v="UPI"/>
    <x v="2"/>
    <n v="1169.1000000000001"/>
  </r>
  <r>
    <s v="ORD02034"/>
    <d v="2026-08-30T00:00:00"/>
    <s v="C1067"/>
    <s v="Webcam"/>
    <x v="2"/>
    <n v="4"/>
    <n v="1499"/>
    <n v="0.05"/>
    <s v="Central"/>
    <s v="UPI"/>
    <x v="0"/>
    <n v="2998"/>
  </r>
  <r>
    <s v="ORD02035"/>
    <d v="2026-04-02T00:00:00"/>
    <s v="C1398"/>
    <s v="Bluetooth Speaker"/>
    <x v="3"/>
    <n v="2"/>
    <n v="999"/>
    <n v="0.05"/>
    <s v="Central"/>
    <s v="COD"/>
    <x v="1"/>
    <n v="5696.2"/>
  </r>
  <r>
    <s v="ORD02036"/>
    <d v="2026-07-25T00:00:00"/>
    <s v="C1770"/>
    <s v="Power Bank"/>
    <x v="3"/>
    <n v="1"/>
    <n v="1299"/>
    <n v="0"/>
    <s v="North"/>
    <s v="UPI"/>
    <x v="1"/>
    <n v="1898.1"/>
  </r>
  <r>
    <s v="ORD02037"/>
    <d v="2026-04-08T00:00:00"/>
    <s v="C1690"/>
    <s v="Webcam"/>
    <x v="0"/>
    <n v="3"/>
    <n v="799"/>
    <n v="0.1"/>
    <s v="East"/>
    <s v="Credit Card"/>
    <x v="2"/>
    <n v="1299"/>
  </r>
  <r>
    <s v="ORD02038"/>
    <d v="2026-04-20T00:00:00"/>
    <s v="C1332"/>
    <s v="Laptop Stand"/>
    <x v="0"/>
    <n v="2"/>
    <n v="799"/>
    <n v="0.15"/>
    <s v="Central"/>
    <s v="Debit Card"/>
    <x v="0"/>
    <n v="2157.3000000000002"/>
  </r>
  <r>
    <s v="ORD02039"/>
    <d v="2026-04-05T00:00:00"/>
    <s v="C1379"/>
    <s v="Mechanical Keyboard"/>
    <x v="4"/>
    <n v="3"/>
    <n v="799"/>
    <n v="0.15"/>
    <s v="Central"/>
    <s v="Net Banking"/>
    <x v="2"/>
    <n v="1358.3"/>
  </r>
  <r>
    <s v="ORD02040"/>
    <d v="2026-02-07T00:00:00"/>
    <s v="C1141"/>
    <s v="Bluetooth Speaker"/>
    <x v="2"/>
    <n v="4"/>
    <n v="999"/>
    <n v="0.15"/>
    <s v="North"/>
    <s v="Debit Card"/>
    <x v="0"/>
    <n v="2037.45"/>
  </r>
  <r>
    <s v="ORD02041"/>
    <d v="2026-05-25T00:00:00"/>
    <s v="C1223"/>
    <s v="Monitor"/>
    <x v="4"/>
    <n v="1"/>
    <n v="7999"/>
    <n v="0.15"/>
    <s v="Central"/>
    <s v="Net Banking"/>
    <x v="2"/>
    <n v="3396.6"/>
  </r>
  <r>
    <s v="ORD02042"/>
    <d v="2026-01-19T00:00:00"/>
    <s v="C1595"/>
    <s v="Webcam"/>
    <x v="4"/>
    <n v="3"/>
    <n v="2499"/>
    <n v="0"/>
    <s v="West"/>
    <s v="Debit Card"/>
    <x v="0"/>
    <n v="6799.15"/>
  </r>
  <r>
    <s v="ORD02043"/>
    <d v="2026-08-09T00:00:00"/>
    <s v="C1763"/>
    <s v="Bluetooth Speaker"/>
    <x v="4"/>
    <n v="1"/>
    <n v="1499"/>
    <n v="0.15"/>
    <s v="East"/>
    <s v="UPI"/>
    <x v="1"/>
    <n v="7497"/>
  </r>
  <r>
    <s v="ORD02044"/>
    <d v="2026-06-03T00:00:00"/>
    <s v="C1179"/>
    <s v="Wireless Mouse"/>
    <x v="1"/>
    <n v="5"/>
    <n v="1999"/>
    <n v="0"/>
    <s v="South"/>
    <s v="COD"/>
    <x v="0"/>
    <n v="1274.1499999999999"/>
  </r>
  <r>
    <s v="ORD02045"/>
    <d v="2026-08-12T00:00:00"/>
    <s v="C1487"/>
    <s v="USB-C Hub"/>
    <x v="3"/>
    <n v="3"/>
    <n v="1499"/>
    <n v="0"/>
    <s v="West"/>
    <s v="Net Banking"/>
    <x v="0"/>
    <n v="9995"/>
  </r>
  <r>
    <s v="ORD02046"/>
    <d v="2026-03-04T00:00:00"/>
    <s v="C1317"/>
    <s v="Bluetooth Speaker"/>
    <x v="0"/>
    <n v="3"/>
    <n v="599"/>
    <n v="0"/>
    <s v="East"/>
    <s v="UPI"/>
    <x v="2"/>
    <n v="4497"/>
  </r>
  <r>
    <s v="ORD02047"/>
    <d v="2026-02-16T00:00:00"/>
    <s v="C1222"/>
    <s v="Bluetooth Speaker"/>
    <x v="1"/>
    <n v="1"/>
    <n v="1499"/>
    <n v="0"/>
    <s v="South"/>
    <s v="Credit Card"/>
    <x v="1"/>
    <n v="1797"/>
  </r>
  <r>
    <s v="ORD02048"/>
    <d v="2026-09-27T00:00:00"/>
    <s v="C1304"/>
    <s v="Monitor"/>
    <x v="1"/>
    <n v="4"/>
    <n v="2499"/>
    <n v="0"/>
    <s v="East"/>
    <s v="Net Banking"/>
    <x v="0"/>
    <n v="1499"/>
  </r>
  <r>
    <s v="ORD02049"/>
    <d v="2026-07-24T00:00:00"/>
    <s v="C1381"/>
    <s v="Headphones"/>
    <x v="3"/>
    <n v="1"/>
    <n v="999"/>
    <n v="0.1"/>
    <s v="North"/>
    <s v="UPI"/>
    <x v="1"/>
    <n v="9996"/>
  </r>
  <r>
    <s v="ORD02050"/>
    <d v="2026-09-12T00:00:00"/>
    <s v="C1620"/>
    <s v="Headphones"/>
    <x v="0"/>
    <n v="1"/>
    <n v="1999"/>
    <n v="0"/>
    <s v="West"/>
    <s v="UPI"/>
    <x v="0"/>
    <n v="899.1"/>
  </r>
  <r>
    <s v="ORD02051"/>
    <d v="2026-07-03T00:00:00"/>
    <s v="C1086"/>
    <s v="Laptop Stand"/>
    <x v="3"/>
    <n v="4"/>
    <n v="599"/>
    <n v="0.15"/>
    <s v="Central"/>
    <s v="Credit Card"/>
    <x v="2"/>
    <n v="1999"/>
  </r>
  <r>
    <s v="ORD02052"/>
    <d v="2026-05-01T00:00:00"/>
    <s v="C1325"/>
    <s v="Bluetooth Speaker"/>
    <x v="2"/>
    <n v="2"/>
    <n v="1499"/>
    <n v="0.1"/>
    <s v="East"/>
    <s v="Debit Card"/>
    <x v="0"/>
    <n v="2036.6"/>
  </r>
  <r>
    <s v="ORD02053"/>
    <d v="2026-09-01T00:00:00"/>
    <s v="C1597"/>
    <s v="Monitor"/>
    <x v="1"/>
    <n v="3"/>
    <n v="799"/>
    <n v="0.15"/>
    <s v="East"/>
    <s v="Net Banking"/>
    <x v="0"/>
    <n v="2698.2000000000003"/>
  </r>
  <r>
    <s v="ORD02054"/>
    <d v="2026-08-23T00:00:00"/>
    <s v="C1127"/>
    <s v="Wireless Mouse"/>
    <x v="3"/>
    <n v="3"/>
    <n v="599"/>
    <n v="0"/>
    <s v="South"/>
    <s v="Debit Card"/>
    <x v="0"/>
    <n v="2037.45"/>
  </r>
  <r>
    <s v="ORD02055"/>
    <d v="2026-03-01T00:00:00"/>
    <s v="C1014"/>
    <s v="USB-C Hub"/>
    <x v="0"/>
    <n v="4"/>
    <n v="599"/>
    <n v="0.15"/>
    <s v="South"/>
    <s v="COD"/>
    <x v="0"/>
    <n v="1797"/>
  </r>
  <r>
    <s v="ORD02056"/>
    <d v="2026-07-08T00:00:00"/>
    <s v="C1579"/>
    <s v="Mechanical Keyboard"/>
    <x v="4"/>
    <n v="4"/>
    <n v="599"/>
    <n v="0"/>
    <s v="East"/>
    <s v="COD"/>
    <x v="2"/>
    <n v="2036.6"/>
  </r>
  <r>
    <s v="ORD02057"/>
    <d v="2026-07-31T00:00:00"/>
    <s v="C1699"/>
    <s v="Wireless Mouse"/>
    <x v="0"/>
    <n v="1"/>
    <n v="999"/>
    <n v="0"/>
    <s v="West"/>
    <s v="UPI"/>
    <x v="0"/>
    <n v="2396"/>
  </r>
  <r>
    <s v="ORD02058"/>
    <d v="2026-03-05T00:00:00"/>
    <s v="C1080"/>
    <s v="Wireless Mouse"/>
    <x v="1"/>
    <n v="1"/>
    <n v="1999"/>
    <n v="0"/>
    <s v="East"/>
    <s v="UPI"/>
    <x v="0"/>
    <n v="999"/>
  </r>
  <r>
    <s v="ORD02059"/>
    <d v="2026-05-23T00:00:00"/>
    <s v="C1769"/>
    <s v="Mechanical Keyboard"/>
    <x v="4"/>
    <n v="4"/>
    <n v="499"/>
    <n v="0"/>
    <s v="North"/>
    <s v="Credit Card"/>
    <x v="0"/>
    <n v="1999"/>
  </r>
  <r>
    <s v="ORD02060"/>
    <d v="2026-02-19T00:00:00"/>
    <s v="C1325"/>
    <s v="Wireless Mouse"/>
    <x v="3"/>
    <n v="1"/>
    <n v="599"/>
    <n v="0"/>
    <s v="East"/>
    <s v="Net Banking"/>
    <x v="1"/>
    <n v="1996"/>
  </r>
  <r>
    <s v="ORD02061"/>
    <d v="2026-02-04T00:00:00"/>
    <s v="C1739"/>
    <s v="USB-C Hub"/>
    <x v="4"/>
    <n v="1"/>
    <n v="1299"/>
    <n v="0"/>
    <s v="South"/>
    <s v="UPI"/>
    <x v="0"/>
    <n v="599"/>
  </r>
  <r>
    <s v="ORD02062"/>
    <d v="2026-04-14T00:00:00"/>
    <s v="C1173"/>
    <s v="USB-C Hub"/>
    <x v="2"/>
    <n v="3"/>
    <n v="2499"/>
    <n v="0"/>
    <s v="East"/>
    <s v="Credit Card"/>
    <x v="1"/>
    <n v="1299"/>
  </r>
  <r>
    <s v="ORD02063"/>
    <d v="2026-03-07T00:00:00"/>
    <s v="C1058"/>
    <s v="Wireless Mouse"/>
    <x v="1"/>
    <n v="1"/>
    <n v="999"/>
    <n v="0.1"/>
    <s v="West"/>
    <s v="Net Banking"/>
    <x v="0"/>
    <n v="7497"/>
  </r>
  <r>
    <s v="ORD02064"/>
    <d v="2026-04-18T00:00:00"/>
    <s v="C1277"/>
    <s v="Mechanical Keyboard"/>
    <x v="0"/>
    <n v="1"/>
    <n v="999"/>
    <n v="0.05"/>
    <s v="West"/>
    <s v="Credit Card"/>
    <x v="0"/>
    <n v="899.1"/>
  </r>
  <r>
    <s v="ORD02065"/>
    <d v="2026-07-05T00:00:00"/>
    <s v="C1674"/>
    <s v="Webcam"/>
    <x v="1"/>
    <n v="1"/>
    <n v="499"/>
    <n v="0"/>
    <s v="South"/>
    <s v="Net Banking"/>
    <x v="0"/>
    <n v="949.05"/>
  </r>
  <r>
    <s v="ORD02066"/>
    <d v="2026-01-09T00:00:00"/>
    <s v="C1105"/>
    <s v="USB-C Hub"/>
    <x v="1"/>
    <n v="3"/>
    <n v="1999"/>
    <n v="0"/>
    <s v="East"/>
    <s v="Debit Card"/>
    <x v="0"/>
    <n v="499"/>
  </r>
  <r>
    <s v="ORD02067"/>
    <d v="2026-06-29T00:00:00"/>
    <s v="C1141"/>
    <s v="USB-C Hub"/>
    <x v="4"/>
    <n v="1"/>
    <n v="1499"/>
    <n v="0"/>
    <s v="East"/>
    <s v="Net Banking"/>
    <x v="0"/>
    <n v="5997"/>
  </r>
  <r>
    <s v="ORD02068"/>
    <d v="2026-08-03T00:00:00"/>
    <s v="C1761"/>
    <s v="Power Bank"/>
    <x v="0"/>
    <n v="4"/>
    <n v="499"/>
    <n v="0.15"/>
    <s v="West"/>
    <s v="Credit Card"/>
    <x v="1"/>
    <n v="1499"/>
  </r>
  <r>
    <s v="ORD02069"/>
    <d v="2026-08-23T00:00:00"/>
    <s v="C1234"/>
    <s v="USB-C Hub"/>
    <x v="2"/>
    <n v="1"/>
    <n v="1999"/>
    <n v="0.1"/>
    <s v="South"/>
    <s v="Net Banking"/>
    <x v="0"/>
    <n v="1696.6"/>
  </r>
  <r>
    <s v="ORD02070"/>
    <d v="2026-02-27T00:00:00"/>
    <s v="C1547"/>
    <s v="Webcam"/>
    <x v="1"/>
    <n v="2"/>
    <n v="1499"/>
    <n v="0.05"/>
    <s v="East"/>
    <s v="Net Banking"/>
    <x v="1"/>
    <n v="1799.1000000000001"/>
  </r>
  <r>
    <s v="ORD02071"/>
    <d v="2026-06-28T00:00:00"/>
    <s v="C1524"/>
    <s v="Keyboard"/>
    <x v="3"/>
    <n v="2"/>
    <n v="999"/>
    <n v="0"/>
    <s v="North"/>
    <s v="Debit Card"/>
    <x v="0"/>
    <n v="2848.1"/>
  </r>
  <r>
    <s v="ORD02072"/>
    <d v="2026-07-15T00:00:00"/>
    <s v="C1773"/>
    <s v="Headphones"/>
    <x v="2"/>
    <n v="4"/>
    <n v="4999"/>
    <n v="0.1"/>
    <s v="North"/>
    <s v="Net Banking"/>
    <x v="0"/>
    <n v="1998"/>
  </r>
  <r>
    <s v="ORD02073"/>
    <d v="2026-03-13T00:00:00"/>
    <s v="C1477"/>
    <s v="USB-C Hub"/>
    <x v="4"/>
    <n v="4"/>
    <n v="1999"/>
    <n v="0.1"/>
    <s v="West"/>
    <s v="Net Banking"/>
    <x v="0"/>
    <n v="17996.400000000001"/>
  </r>
  <r>
    <s v="ORD02074"/>
    <d v="2026-02-04T00:00:00"/>
    <s v="C1031"/>
    <s v="Headphones"/>
    <x v="3"/>
    <n v="1"/>
    <n v="599"/>
    <n v="0.15"/>
    <s v="South"/>
    <s v="Credit Card"/>
    <x v="0"/>
    <n v="7196.4000000000005"/>
  </r>
  <r>
    <s v="ORD02075"/>
    <d v="2026-01-24T00:00:00"/>
    <s v="C1138"/>
    <s v="Bluetooth Speaker"/>
    <x v="0"/>
    <n v="4"/>
    <n v="4999"/>
    <n v="0"/>
    <s v="North"/>
    <s v="Credit Card"/>
    <x v="2"/>
    <n v="509.15"/>
  </r>
  <r>
    <s v="ORD02076"/>
    <d v="2026-02-20T00:00:00"/>
    <s v="C1002"/>
    <s v="Keyboard"/>
    <x v="2"/>
    <n v="4"/>
    <n v="799"/>
    <n v="0.1"/>
    <s v="Central"/>
    <s v="Credit Card"/>
    <x v="0"/>
    <n v="19996"/>
  </r>
  <r>
    <s v="ORD02077"/>
    <d v="2026-08-09T00:00:00"/>
    <s v="C1320"/>
    <s v="USB-C Hub"/>
    <x v="2"/>
    <n v="3"/>
    <n v="1299"/>
    <n v="0.05"/>
    <s v="South"/>
    <s v="Credit Card"/>
    <x v="1"/>
    <n v="2876.4"/>
  </r>
  <r>
    <s v="ORD02078"/>
    <d v="2026-04-28T00:00:00"/>
    <s v="C1229"/>
    <s v="USB-C Hub"/>
    <x v="2"/>
    <n v="3"/>
    <n v="1299"/>
    <n v="0.05"/>
    <s v="East"/>
    <s v="Credit Card"/>
    <x v="0"/>
    <n v="3702.1499999999996"/>
  </r>
  <r>
    <s v="ORD02079"/>
    <d v="2026-05-27T00:00:00"/>
    <s v="C1201"/>
    <s v="Headphones"/>
    <x v="0"/>
    <n v="1"/>
    <n v="7999"/>
    <n v="0"/>
    <s v="East"/>
    <s v="UPI"/>
    <x v="2"/>
    <n v="3702.1499999999996"/>
  </r>
  <r>
    <s v="ORD02080"/>
    <d v="2026-06-05T00:00:00"/>
    <s v="C1057"/>
    <s v="Keyboard"/>
    <x v="4"/>
    <n v="1"/>
    <n v="1499"/>
    <n v="0.1"/>
    <s v="East"/>
    <s v="Credit Card"/>
    <x v="1"/>
    <n v="7999"/>
  </r>
  <r>
    <s v="ORD02081"/>
    <d v="2026-01-05T00:00:00"/>
    <s v="C1022"/>
    <s v="Keyboard"/>
    <x v="4"/>
    <n v="1"/>
    <n v="499"/>
    <n v="0.05"/>
    <s v="East"/>
    <s v="COD"/>
    <x v="2"/>
    <n v="1349.1000000000001"/>
  </r>
  <r>
    <s v="ORD02082"/>
    <d v="2026-08-14T00:00:00"/>
    <s v="C1436"/>
    <s v="Webcam"/>
    <x v="4"/>
    <n v="1"/>
    <n v="2499"/>
    <n v="0"/>
    <s v="East"/>
    <s v="Debit Card"/>
    <x v="1"/>
    <n v="474.04999999999995"/>
  </r>
  <r>
    <s v="ORD02083"/>
    <d v="2026-02-16T00:00:00"/>
    <s v="C1315"/>
    <s v="Headphones"/>
    <x v="2"/>
    <n v="5"/>
    <n v="499"/>
    <n v="0.1"/>
    <s v="East"/>
    <s v="UPI"/>
    <x v="1"/>
    <n v="2499"/>
  </r>
  <r>
    <s v="ORD02084"/>
    <d v="2026-03-01T00:00:00"/>
    <s v="C1311"/>
    <s v="Laptop Stand"/>
    <x v="4"/>
    <n v="1"/>
    <n v="7999"/>
    <n v="0.1"/>
    <s v="East"/>
    <s v="COD"/>
    <x v="2"/>
    <n v="2245.5"/>
  </r>
  <r>
    <s v="ORD02085"/>
    <d v="2026-05-31T00:00:00"/>
    <s v="C1470"/>
    <s v="Laptop Stand"/>
    <x v="3"/>
    <n v="3"/>
    <n v="999"/>
    <n v="0.1"/>
    <s v="Central"/>
    <s v="COD"/>
    <x v="1"/>
    <n v="7199.1"/>
  </r>
  <r>
    <s v="ORD02086"/>
    <d v="2026-04-09T00:00:00"/>
    <s v="C1023"/>
    <s v="Keyboard"/>
    <x v="0"/>
    <n v="3"/>
    <n v="1499"/>
    <n v="0"/>
    <s v="North"/>
    <s v="Credit Card"/>
    <x v="0"/>
    <n v="2697.3"/>
  </r>
  <r>
    <s v="ORD02087"/>
    <d v="2026-02-11T00:00:00"/>
    <s v="C1716"/>
    <s v="Power Bank"/>
    <x v="0"/>
    <n v="2"/>
    <n v="1999"/>
    <n v="0"/>
    <s v="East"/>
    <s v="Net Banking"/>
    <x v="1"/>
    <n v="4497"/>
  </r>
  <r>
    <s v="ORD02088"/>
    <d v="2026-07-31T00:00:00"/>
    <s v="C1542"/>
    <s v="Power Bank"/>
    <x v="2"/>
    <n v="1"/>
    <n v="1499"/>
    <n v="0.15"/>
    <s v="South"/>
    <s v="Debit Card"/>
    <x v="0"/>
    <n v="3998"/>
  </r>
  <r>
    <s v="ORD02089"/>
    <d v="2026-06-30T00:00:00"/>
    <s v="C1295"/>
    <s v="Headphones"/>
    <x v="4"/>
    <n v="5"/>
    <n v="1999"/>
    <n v="0.1"/>
    <s v="East"/>
    <s v="Net Banking"/>
    <x v="0"/>
    <n v="1274.1499999999999"/>
  </r>
  <r>
    <s v="ORD02090"/>
    <d v="2026-08-06T00:00:00"/>
    <s v="C1517"/>
    <s v="Wireless Mouse"/>
    <x v="1"/>
    <n v="3"/>
    <n v="499"/>
    <n v="0.05"/>
    <s v="East"/>
    <s v="UPI"/>
    <x v="1"/>
    <n v="8995.5"/>
  </r>
  <r>
    <s v="ORD02091"/>
    <d v="2026-05-06T00:00:00"/>
    <s v="C1767"/>
    <s v="Keyboard"/>
    <x v="4"/>
    <n v="4"/>
    <n v="1999"/>
    <n v="0"/>
    <s v="East"/>
    <s v="Debit Card"/>
    <x v="0"/>
    <n v="1422.1499999999999"/>
  </r>
  <r>
    <s v="ORD02092"/>
    <d v="2026-01-12T00:00:00"/>
    <s v="C1042"/>
    <s v="USB-C Hub"/>
    <x v="0"/>
    <n v="4"/>
    <n v="4999"/>
    <n v="0"/>
    <s v="West"/>
    <s v="Debit Card"/>
    <x v="2"/>
    <n v="7996"/>
  </r>
  <r>
    <s v="ORD02093"/>
    <d v="2026-02-17T00:00:00"/>
    <s v="C1241"/>
    <s v="Mechanical Keyboard"/>
    <x v="4"/>
    <n v="4"/>
    <n v="1299"/>
    <n v="0"/>
    <s v="East"/>
    <s v="Debit Card"/>
    <x v="0"/>
    <n v="19996"/>
  </r>
  <r>
    <s v="ORD02094"/>
    <d v="2026-09-14T00:00:00"/>
    <s v="C1504"/>
    <s v="Monitor"/>
    <x v="1"/>
    <n v="5"/>
    <n v="999"/>
    <n v="0.15"/>
    <s v="Central"/>
    <s v="COD"/>
    <x v="1"/>
    <n v="5196"/>
  </r>
  <r>
    <s v="ORD02095"/>
    <d v="2026-06-15T00:00:00"/>
    <s v="C1633"/>
    <s v="Wireless Mouse"/>
    <x v="4"/>
    <n v="2"/>
    <n v="7999"/>
    <n v="0.15"/>
    <s v="East"/>
    <s v="Credit Card"/>
    <x v="0"/>
    <n v="4245.75"/>
  </r>
  <r>
    <s v="ORD02096"/>
    <d v="2026-08-30T00:00:00"/>
    <s v="C1376"/>
    <s v="Webcam"/>
    <x v="1"/>
    <n v="2"/>
    <n v="499"/>
    <n v="0"/>
    <s v="East"/>
    <s v="Credit Card"/>
    <x v="0"/>
    <n v="13598.3"/>
  </r>
  <r>
    <s v="ORD02097"/>
    <d v="2026-06-26T00:00:00"/>
    <s v="C1166"/>
    <s v="Mechanical Keyboard"/>
    <x v="2"/>
    <n v="3"/>
    <n v="1299"/>
    <n v="0.1"/>
    <s v="West"/>
    <s v="Net Banking"/>
    <x v="0"/>
    <n v="998"/>
  </r>
  <r>
    <s v="ORD02098"/>
    <d v="2026-04-17T00:00:00"/>
    <s v="C1577"/>
    <s v="Bluetooth Speaker"/>
    <x v="3"/>
    <n v="5"/>
    <n v="1999"/>
    <n v="0.05"/>
    <s v="West"/>
    <s v="Debit Card"/>
    <x v="1"/>
    <n v="3507.3"/>
  </r>
  <r>
    <s v="ORD02099"/>
    <d v="2026-03-18T00:00:00"/>
    <s v="C1558"/>
    <s v="Bluetooth Speaker"/>
    <x v="4"/>
    <n v="4"/>
    <n v="7999"/>
    <n v="0.1"/>
    <s v="South"/>
    <s v="Credit Card"/>
    <x v="0"/>
    <n v="9495.25"/>
  </r>
  <r>
    <s v="ORD02100"/>
    <d v="2026-04-25T00:00:00"/>
    <s v="C1336"/>
    <s v="Mechanical Keyboard"/>
    <x v="3"/>
    <n v="4"/>
    <n v="4999"/>
    <n v="0"/>
    <s v="North"/>
    <s v="UPI"/>
    <x v="0"/>
    <n v="28796.400000000001"/>
  </r>
  <r>
    <s v="ORD02101"/>
    <d v="2026-04-06T00:00:00"/>
    <s v="C1297"/>
    <s v="Mechanical Keyboard"/>
    <x v="1"/>
    <n v="3"/>
    <n v="599"/>
    <n v="0.15"/>
    <s v="East"/>
    <s v="COD"/>
    <x v="0"/>
    <n v="19996"/>
  </r>
  <r>
    <s v="ORD02102"/>
    <d v="2026-06-06T00:00:00"/>
    <s v="C1112"/>
    <s v="USB-C Hub"/>
    <x v="3"/>
    <n v="3"/>
    <n v="2499"/>
    <n v="0.05"/>
    <s v="North"/>
    <s v="UPI"/>
    <x v="0"/>
    <n v="1527.45"/>
  </r>
  <r>
    <s v="ORD02103"/>
    <d v="2026-01-30T00:00:00"/>
    <s v="C1579"/>
    <s v="Wireless Mouse"/>
    <x v="0"/>
    <n v="2"/>
    <n v="1999"/>
    <n v="0.05"/>
    <s v="Central"/>
    <s v="UPI"/>
    <x v="0"/>
    <n v="7122.15"/>
  </r>
  <r>
    <s v="ORD02104"/>
    <d v="2026-04-29T00:00:00"/>
    <s v="C1397"/>
    <s v="Wireless Mouse"/>
    <x v="1"/>
    <n v="2"/>
    <n v="999"/>
    <n v="0"/>
    <s v="South"/>
    <s v="Credit Card"/>
    <x v="0"/>
    <n v="3798.1"/>
  </r>
  <r>
    <s v="ORD02105"/>
    <d v="2026-09-25T00:00:00"/>
    <s v="C1425"/>
    <s v="Headphones"/>
    <x v="3"/>
    <n v="5"/>
    <n v="499"/>
    <n v="0.15"/>
    <s v="West"/>
    <s v="Credit Card"/>
    <x v="1"/>
    <n v="1998"/>
  </r>
  <r>
    <s v="ORD02106"/>
    <d v="2026-09-14T00:00:00"/>
    <s v="C1256"/>
    <s v="Wireless Mouse"/>
    <x v="3"/>
    <n v="2"/>
    <n v="999"/>
    <n v="0.05"/>
    <s v="East"/>
    <s v="COD"/>
    <x v="0"/>
    <n v="2120.75"/>
  </r>
  <r>
    <s v="ORD02107"/>
    <d v="2026-04-06T00:00:00"/>
    <s v="C1204"/>
    <s v="Mechanical Keyboard"/>
    <x v="4"/>
    <n v="5"/>
    <n v="4999"/>
    <n v="0.15"/>
    <s v="South"/>
    <s v="Debit Card"/>
    <x v="0"/>
    <n v="1898.1"/>
  </r>
  <r>
    <s v="ORD02108"/>
    <d v="2026-01-15T00:00:00"/>
    <s v="C1193"/>
    <s v="Keyboard"/>
    <x v="0"/>
    <n v="4"/>
    <n v="599"/>
    <n v="0.1"/>
    <s v="South"/>
    <s v="Net Banking"/>
    <x v="2"/>
    <n v="21245.75"/>
  </r>
  <r>
    <s v="ORD02109"/>
    <d v="2026-04-05T00:00:00"/>
    <s v="C1064"/>
    <s v="Wireless Mouse"/>
    <x v="2"/>
    <n v="3"/>
    <n v="499"/>
    <n v="0"/>
    <s v="North"/>
    <s v="Debit Card"/>
    <x v="0"/>
    <n v="2156.4"/>
  </r>
  <r>
    <s v="ORD02110"/>
    <d v="2026-06-03T00:00:00"/>
    <s v="C1338"/>
    <s v="Mechanical Keyboard"/>
    <x v="1"/>
    <n v="1"/>
    <n v="2499"/>
    <n v="0.15"/>
    <s v="Central"/>
    <s v="UPI"/>
    <x v="0"/>
    <n v="1497"/>
  </r>
  <r>
    <s v="ORD02111"/>
    <d v="2026-07-24T00:00:00"/>
    <s v="C1129"/>
    <s v="USB-C Hub"/>
    <x v="2"/>
    <n v="5"/>
    <n v="599"/>
    <n v="0"/>
    <s v="South"/>
    <s v="Credit Card"/>
    <x v="2"/>
    <n v="2124.15"/>
  </r>
  <r>
    <s v="ORD02112"/>
    <d v="2026-05-05T00:00:00"/>
    <s v="C1365"/>
    <s v="Wireless Mouse"/>
    <x v="3"/>
    <n v="2"/>
    <n v="7999"/>
    <n v="0.05"/>
    <s v="West"/>
    <s v="Net Banking"/>
    <x v="1"/>
    <n v="2995"/>
  </r>
  <r>
    <s v="ORD02113"/>
    <d v="2026-04-23T00:00:00"/>
    <s v="C1490"/>
    <s v="Monitor"/>
    <x v="4"/>
    <n v="3"/>
    <n v="799"/>
    <n v="0.15"/>
    <s v="East"/>
    <s v="Net Banking"/>
    <x v="0"/>
    <n v="15198.099999999999"/>
  </r>
  <r>
    <s v="ORD02114"/>
    <d v="2026-04-11T00:00:00"/>
    <s v="C1056"/>
    <s v="Headphones"/>
    <x v="1"/>
    <n v="3"/>
    <n v="1999"/>
    <n v="0.05"/>
    <s v="East"/>
    <s v="Net Banking"/>
    <x v="0"/>
    <n v="2037.45"/>
  </r>
  <r>
    <s v="ORD02115"/>
    <d v="2026-05-09T00:00:00"/>
    <s v="C1140"/>
    <s v="USB-C Hub"/>
    <x v="4"/>
    <n v="3"/>
    <n v="599"/>
    <n v="0.05"/>
    <s v="East"/>
    <s v="COD"/>
    <x v="1"/>
    <n v="5697.15"/>
  </r>
  <r>
    <s v="ORD02116"/>
    <d v="2026-05-28T00:00:00"/>
    <s v="C1760"/>
    <s v="Headphones"/>
    <x v="3"/>
    <n v="4"/>
    <n v="799"/>
    <n v="0"/>
    <s v="East"/>
    <s v="UPI"/>
    <x v="1"/>
    <n v="1707.1499999999999"/>
  </r>
  <r>
    <s v="ORD02117"/>
    <d v="2026-04-05T00:00:00"/>
    <s v="C1633"/>
    <s v="Keyboard"/>
    <x v="3"/>
    <n v="5"/>
    <n v="2499"/>
    <n v="0"/>
    <s v="North"/>
    <s v="Debit Card"/>
    <x v="0"/>
    <n v="3196"/>
  </r>
  <r>
    <s v="ORD02118"/>
    <d v="2026-05-24T00:00:00"/>
    <s v="C1768"/>
    <s v="Mechanical Keyboard"/>
    <x v="4"/>
    <n v="3"/>
    <n v="799"/>
    <n v="0.15"/>
    <s v="East"/>
    <s v="UPI"/>
    <x v="2"/>
    <n v="12495"/>
  </r>
  <r>
    <s v="ORD02119"/>
    <d v="2026-09-29T00:00:00"/>
    <s v="C1604"/>
    <s v="Headphones"/>
    <x v="3"/>
    <n v="5"/>
    <n v="499"/>
    <n v="0"/>
    <s v="Central"/>
    <s v="Net Banking"/>
    <x v="0"/>
    <n v="2037.45"/>
  </r>
  <r>
    <s v="ORD02120"/>
    <d v="2026-03-02T00:00:00"/>
    <s v="C1206"/>
    <s v="USB-C Hub"/>
    <x v="0"/>
    <n v="2"/>
    <n v="799"/>
    <n v="0.15"/>
    <s v="South"/>
    <s v="UPI"/>
    <x v="2"/>
    <n v="2495"/>
  </r>
  <r>
    <s v="ORD02121"/>
    <d v="2026-06-18T00:00:00"/>
    <s v="C1307"/>
    <s v="Webcam"/>
    <x v="2"/>
    <n v="1"/>
    <n v="1499"/>
    <n v="0"/>
    <s v="West"/>
    <s v="Credit Card"/>
    <x v="1"/>
    <n v="1358.3"/>
  </r>
  <r>
    <s v="ORD02122"/>
    <d v="2026-09-15T00:00:00"/>
    <s v="C1656"/>
    <s v="Monitor"/>
    <x v="0"/>
    <n v="2"/>
    <n v="1299"/>
    <n v="0.1"/>
    <s v="North"/>
    <s v="Net Banking"/>
    <x v="1"/>
    <n v="1499"/>
  </r>
  <r>
    <s v="ORD02123"/>
    <d v="2026-04-13T00:00:00"/>
    <s v="C1333"/>
    <s v="Keyboard"/>
    <x v="4"/>
    <n v="3"/>
    <n v="1299"/>
    <n v="0"/>
    <s v="North"/>
    <s v="Debit Card"/>
    <x v="0"/>
    <n v="2338.2000000000003"/>
  </r>
  <r>
    <s v="ORD02124"/>
    <d v="2026-08-08T00:00:00"/>
    <s v="C1758"/>
    <s v="Headphones"/>
    <x v="0"/>
    <n v="3"/>
    <n v="999"/>
    <n v="0.1"/>
    <s v="East"/>
    <s v="COD"/>
    <x v="1"/>
    <n v="3897"/>
  </r>
  <r>
    <s v="ORD02125"/>
    <d v="2026-04-23T00:00:00"/>
    <s v="C1641"/>
    <s v="Mechanical Keyboard"/>
    <x v="2"/>
    <n v="4"/>
    <n v="1499"/>
    <n v="0.15"/>
    <s v="South"/>
    <s v="Net Banking"/>
    <x v="2"/>
    <n v="2697.3"/>
  </r>
  <r>
    <s v="ORD02126"/>
    <d v="2026-08-30T00:00:00"/>
    <s v="C1472"/>
    <s v="Laptop Stand"/>
    <x v="1"/>
    <n v="1"/>
    <n v="1499"/>
    <n v="0"/>
    <s v="Central"/>
    <s v="Debit Card"/>
    <x v="2"/>
    <n v="5096.5999999999995"/>
  </r>
  <r>
    <s v="ORD02127"/>
    <d v="2026-01-10T00:00:00"/>
    <s v="C1234"/>
    <s v="Monitor"/>
    <x v="4"/>
    <n v="1"/>
    <n v="1299"/>
    <n v="0.15"/>
    <s v="North"/>
    <s v="UPI"/>
    <x v="0"/>
    <n v="1499"/>
  </r>
  <r>
    <s v="ORD02128"/>
    <d v="2026-04-09T00:00:00"/>
    <s v="C1322"/>
    <s v="Wireless Mouse"/>
    <x v="2"/>
    <n v="4"/>
    <n v="1999"/>
    <n v="0.1"/>
    <s v="Central"/>
    <s v="Net Banking"/>
    <x v="1"/>
    <n v="1104.1499999999999"/>
  </r>
  <r>
    <s v="ORD02129"/>
    <d v="2026-01-23T00:00:00"/>
    <s v="C1786"/>
    <s v="Headphones"/>
    <x v="4"/>
    <n v="1"/>
    <n v="1299"/>
    <n v="0"/>
    <s v="Central"/>
    <s v="Debit Card"/>
    <x v="0"/>
    <n v="7196.4000000000005"/>
  </r>
  <r>
    <s v="ORD02130"/>
    <d v="2026-06-02T00:00:00"/>
    <s v="C1601"/>
    <s v="Bluetooth Speaker"/>
    <x v="1"/>
    <n v="2"/>
    <n v="7999"/>
    <n v="0.15"/>
    <s v="South"/>
    <s v="COD"/>
    <x v="0"/>
    <n v="1299"/>
  </r>
  <r>
    <s v="ORD02131"/>
    <d v="2026-09-27T00:00:00"/>
    <s v="C1508"/>
    <s v="Power Bank"/>
    <x v="2"/>
    <n v="2"/>
    <n v="7999"/>
    <n v="0"/>
    <s v="South"/>
    <s v="COD"/>
    <x v="2"/>
    <n v="13598.3"/>
  </r>
  <r>
    <s v="ORD02132"/>
    <d v="2026-03-14T00:00:00"/>
    <s v="C1031"/>
    <s v="Laptop Stand"/>
    <x v="4"/>
    <n v="1"/>
    <n v="7999"/>
    <n v="0.15"/>
    <s v="South"/>
    <s v="Net Banking"/>
    <x v="0"/>
    <n v="15998"/>
  </r>
  <r>
    <s v="ORD02133"/>
    <d v="2026-04-25T00:00:00"/>
    <s v="C1426"/>
    <s v="Mechanical Keyboard"/>
    <x v="3"/>
    <n v="1"/>
    <n v="4999"/>
    <n v="0.1"/>
    <s v="Central"/>
    <s v="UPI"/>
    <x v="0"/>
    <n v="6799.15"/>
  </r>
  <r>
    <s v="ORD02134"/>
    <d v="2026-01-19T00:00:00"/>
    <s v="C1133"/>
    <s v="Webcam"/>
    <x v="1"/>
    <n v="1"/>
    <n v="499"/>
    <n v="0"/>
    <s v="North"/>
    <s v="Debit Card"/>
    <x v="0"/>
    <n v="4499.1000000000004"/>
  </r>
  <r>
    <s v="ORD02135"/>
    <d v="2026-08-28T00:00:00"/>
    <s v="C1472"/>
    <s v="Laptop Stand"/>
    <x v="2"/>
    <n v="1"/>
    <n v="2499"/>
    <n v="0.15"/>
    <s v="West"/>
    <s v="UPI"/>
    <x v="1"/>
    <n v="499"/>
  </r>
  <r>
    <s v="ORD02136"/>
    <d v="2026-06-03T00:00:00"/>
    <s v="C1625"/>
    <s v="USB-C Hub"/>
    <x v="4"/>
    <n v="4"/>
    <n v="1499"/>
    <n v="0.15"/>
    <s v="South"/>
    <s v="UPI"/>
    <x v="0"/>
    <n v="2124.15"/>
  </r>
  <r>
    <s v="ORD02137"/>
    <d v="2026-09-15T00:00:00"/>
    <s v="C1188"/>
    <s v="Webcam"/>
    <x v="1"/>
    <n v="3"/>
    <n v="1499"/>
    <n v="0"/>
    <s v="North"/>
    <s v="UPI"/>
    <x v="0"/>
    <n v="5096.5999999999995"/>
  </r>
  <r>
    <s v="ORD02138"/>
    <d v="2026-08-29T00:00:00"/>
    <s v="C1591"/>
    <s v="Mechanical Keyboard"/>
    <x v="4"/>
    <n v="5"/>
    <n v="799"/>
    <n v="0.1"/>
    <s v="Central"/>
    <s v="UPI"/>
    <x v="0"/>
    <n v="4497"/>
  </r>
  <r>
    <s v="ORD02139"/>
    <d v="2026-06-28T00:00:00"/>
    <s v="C1720"/>
    <s v="Headphones"/>
    <x v="0"/>
    <n v="3"/>
    <n v="999"/>
    <n v="0"/>
    <s v="South"/>
    <s v="Credit Card"/>
    <x v="1"/>
    <n v="3595.5"/>
  </r>
  <r>
    <s v="ORD02140"/>
    <d v="2026-02-11T00:00:00"/>
    <s v="C1307"/>
    <s v="Power Bank"/>
    <x v="4"/>
    <n v="4"/>
    <n v="7999"/>
    <n v="0"/>
    <s v="Central"/>
    <s v="Credit Card"/>
    <x v="1"/>
    <n v="2997"/>
  </r>
  <r>
    <s v="ORD02141"/>
    <d v="2026-08-27T00:00:00"/>
    <s v="C1597"/>
    <s v="Webcam"/>
    <x v="3"/>
    <n v="5"/>
    <n v="599"/>
    <n v="0.05"/>
    <s v="Central"/>
    <s v="Credit Card"/>
    <x v="0"/>
    <n v="31996"/>
  </r>
  <r>
    <s v="ORD02142"/>
    <d v="2026-05-13T00:00:00"/>
    <s v="C1701"/>
    <s v="Headphones"/>
    <x v="2"/>
    <n v="5"/>
    <n v="799"/>
    <n v="0"/>
    <s v="West"/>
    <s v="Net Banking"/>
    <x v="1"/>
    <n v="2845.25"/>
  </r>
  <r>
    <s v="ORD02143"/>
    <d v="2026-08-04T00:00:00"/>
    <s v="C1216"/>
    <s v="Wireless Mouse"/>
    <x v="2"/>
    <n v="4"/>
    <n v="599"/>
    <n v="0"/>
    <s v="North"/>
    <s v="Credit Card"/>
    <x v="0"/>
    <n v="3995"/>
  </r>
  <r>
    <s v="ORD02144"/>
    <d v="2026-06-28T00:00:00"/>
    <s v="C1059"/>
    <s v="USB-C Hub"/>
    <x v="0"/>
    <n v="4"/>
    <n v="999"/>
    <n v="0.1"/>
    <s v="North"/>
    <s v="Credit Card"/>
    <x v="0"/>
    <n v="2396"/>
  </r>
  <r>
    <s v="ORD02145"/>
    <d v="2026-02-15T00:00:00"/>
    <s v="C1155"/>
    <s v="USB-C Hub"/>
    <x v="1"/>
    <n v="3"/>
    <n v="499"/>
    <n v="0"/>
    <s v="North"/>
    <s v="Net Banking"/>
    <x v="0"/>
    <n v="3596.4"/>
  </r>
  <r>
    <s v="ORD02146"/>
    <d v="2026-04-05T00:00:00"/>
    <s v="C1540"/>
    <s v="Headphones"/>
    <x v="0"/>
    <n v="1"/>
    <n v="4999"/>
    <n v="0"/>
    <s v="Central"/>
    <s v="Debit Card"/>
    <x v="0"/>
    <n v="1497"/>
  </r>
  <r>
    <s v="ORD02147"/>
    <d v="2026-09-04T00:00:00"/>
    <s v="C1216"/>
    <s v="Keyboard"/>
    <x v="2"/>
    <n v="5"/>
    <n v="7999"/>
    <n v="0"/>
    <s v="North"/>
    <s v="Credit Card"/>
    <x v="2"/>
    <n v="4999"/>
  </r>
  <r>
    <s v="ORD02148"/>
    <d v="2026-04-26T00:00:00"/>
    <s v="C1286"/>
    <s v="Monitor"/>
    <x v="0"/>
    <n v="1"/>
    <n v="1999"/>
    <n v="0.1"/>
    <s v="West"/>
    <s v="Net Banking"/>
    <x v="1"/>
    <n v="39995"/>
  </r>
  <r>
    <s v="ORD02149"/>
    <d v="2026-03-10T00:00:00"/>
    <s v="C1179"/>
    <s v="Headphones"/>
    <x v="3"/>
    <n v="5"/>
    <n v="999"/>
    <n v="0"/>
    <s v="East"/>
    <s v="Net Banking"/>
    <x v="0"/>
    <n v="1799.1000000000001"/>
  </r>
  <r>
    <s v="ORD02150"/>
    <d v="2026-05-26T00:00:00"/>
    <s v="C1473"/>
    <s v="Webcam"/>
    <x v="2"/>
    <n v="3"/>
    <n v="2499"/>
    <n v="0"/>
    <s v="East"/>
    <s v="Credit Card"/>
    <x v="0"/>
    <n v="4995"/>
  </r>
  <r>
    <s v="ORD02151"/>
    <d v="2026-03-17T00:00:00"/>
    <s v="C1279"/>
    <s v="Power Bank"/>
    <x v="1"/>
    <n v="4"/>
    <n v="2499"/>
    <n v="0"/>
    <s v="North"/>
    <s v="Net Banking"/>
    <x v="0"/>
    <n v="7497"/>
  </r>
  <r>
    <s v="ORD02152"/>
    <d v="2026-03-21T00:00:00"/>
    <s v="C1459"/>
    <s v="Mechanical Keyboard"/>
    <x v="0"/>
    <n v="5"/>
    <n v="1999"/>
    <n v="0"/>
    <s v="South"/>
    <s v="Credit Card"/>
    <x v="0"/>
    <n v="9996"/>
  </r>
  <r>
    <s v="ORD02153"/>
    <d v="2026-09-10T00:00:00"/>
    <s v="C1032"/>
    <s v="Mechanical Keyboard"/>
    <x v="2"/>
    <n v="5"/>
    <n v="1999"/>
    <n v="0.05"/>
    <s v="West"/>
    <s v="Net Banking"/>
    <x v="2"/>
    <n v="9995"/>
  </r>
  <r>
    <s v="ORD02154"/>
    <d v="2026-04-11T00:00:00"/>
    <s v="C1014"/>
    <s v="Bluetooth Speaker"/>
    <x v="4"/>
    <n v="2"/>
    <n v="1999"/>
    <n v="0"/>
    <s v="West"/>
    <s v="Net Banking"/>
    <x v="0"/>
    <n v="9495.25"/>
  </r>
  <r>
    <s v="ORD02155"/>
    <d v="2026-04-04T00:00:00"/>
    <s v="C1352"/>
    <s v="Power Bank"/>
    <x v="2"/>
    <n v="2"/>
    <n v="7999"/>
    <n v="0"/>
    <s v="West"/>
    <s v="Net Banking"/>
    <x v="0"/>
    <n v="3998"/>
  </r>
  <r>
    <s v="ORD02156"/>
    <d v="2026-07-21T00:00:00"/>
    <s v="C1381"/>
    <s v="Wireless Mouse"/>
    <x v="4"/>
    <n v="2"/>
    <n v="1499"/>
    <n v="0.15"/>
    <s v="West"/>
    <s v="Debit Card"/>
    <x v="2"/>
    <n v="15998"/>
  </r>
  <r>
    <s v="ORD02157"/>
    <d v="2026-03-21T00:00:00"/>
    <s v="C1394"/>
    <s v="Wireless Mouse"/>
    <x v="1"/>
    <n v="2"/>
    <n v="1499"/>
    <n v="0.15"/>
    <s v="East"/>
    <s v="Net Banking"/>
    <x v="0"/>
    <n v="2548.2999999999997"/>
  </r>
  <r>
    <s v="ORD02158"/>
    <d v="2026-01-21T00:00:00"/>
    <s v="C1079"/>
    <s v="USB-C Hub"/>
    <x v="3"/>
    <n v="3"/>
    <n v="799"/>
    <n v="0.15"/>
    <s v="East"/>
    <s v="COD"/>
    <x v="0"/>
    <n v="2548.2999999999997"/>
  </r>
  <r>
    <s v="ORD02159"/>
    <d v="2026-09-17T00:00:00"/>
    <s v="C1544"/>
    <s v="Power Bank"/>
    <x v="1"/>
    <n v="5"/>
    <n v="7999"/>
    <n v="0"/>
    <s v="Central"/>
    <s v="Credit Card"/>
    <x v="0"/>
    <n v="2037.45"/>
  </r>
  <r>
    <s v="ORD02160"/>
    <d v="2026-01-05T00:00:00"/>
    <s v="C1499"/>
    <s v="Webcam"/>
    <x v="1"/>
    <n v="3"/>
    <n v="1499"/>
    <n v="0.15"/>
    <s v="West"/>
    <s v="Net Banking"/>
    <x v="1"/>
    <n v="39995"/>
  </r>
  <r>
    <s v="ORD02161"/>
    <d v="2026-03-06T00:00:00"/>
    <s v="C1259"/>
    <s v="Webcam"/>
    <x v="0"/>
    <n v="3"/>
    <n v="999"/>
    <n v="0.15"/>
    <s v="East"/>
    <s v="Net Banking"/>
    <x v="0"/>
    <n v="3822.45"/>
  </r>
  <r>
    <s v="ORD02162"/>
    <d v="2026-09-27T00:00:00"/>
    <s v="C1706"/>
    <s v="Headphones"/>
    <x v="3"/>
    <n v="2"/>
    <n v="1999"/>
    <n v="0.15"/>
    <s v="East"/>
    <s v="Debit Card"/>
    <x v="0"/>
    <n v="2547.4499999999998"/>
  </r>
  <r>
    <s v="ORD02163"/>
    <d v="2026-02-23T00:00:00"/>
    <s v="C1281"/>
    <s v="Mechanical Keyboard"/>
    <x v="4"/>
    <n v="3"/>
    <n v="599"/>
    <n v="0"/>
    <s v="South"/>
    <s v="Credit Card"/>
    <x v="0"/>
    <n v="3398.2999999999997"/>
  </r>
  <r>
    <s v="ORD02164"/>
    <d v="2026-01-13T00:00:00"/>
    <s v="C1311"/>
    <s v="Bluetooth Speaker"/>
    <x v="2"/>
    <n v="5"/>
    <n v="1499"/>
    <n v="0.15"/>
    <s v="North"/>
    <s v="Credit Card"/>
    <x v="0"/>
    <n v="1797"/>
  </r>
  <r>
    <s v="ORD02165"/>
    <d v="2026-04-28T00:00:00"/>
    <s v="C1328"/>
    <s v="Monitor"/>
    <x v="0"/>
    <n v="1"/>
    <n v="1299"/>
    <n v="0"/>
    <s v="South"/>
    <s v="Credit Card"/>
    <x v="0"/>
    <n v="6370.75"/>
  </r>
  <r>
    <s v="ORD02166"/>
    <d v="2026-04-22T00:00:00"/>
    <s v="C1322"/>
    <s v="Webcam"/>
    <x v="3"/>
    <n v="1"/>
    <n v="799"/>
    <n v="0"/>
    <s v="South"/>
    <s v="Net Banking"/>
    <x v="0"/>
    <n v="1299"/>
  </r>
  <r>
    <s v="ORD02167"/>
    <d v="2026-01-19T00:00:00"/>
    <s v="C1480"/>
    <s v="Mechanical Keyboard"/>
    <x v="3"/>
    <n v="5"/>
    <n v="4999"/>
    <n v="0.1"/>
    <s v="West"/>
    <s v="COD"/>
    <x v="0"/>
    <n v="799"/>
  </r>
  <r>
    <s v="ORD02168"/>
    <d v="2026-05-24T00:00:00"/>
    <s v="C1214"/>
    <s v="Power Bank"/>
    <x v="2"/>
    <n v="1"/>
    <n v="499"/>
    <n v="0"/>
    <s v="North"/>
    <s v="COD"/>
    <x v="0"/>
    <n v="22495.5"/>
  </r>
  <r>
    <s v="ORD02169"/>
    <d v="2026-09-04T00:00:00"/>
    <s v="C1164"/>
    <s v="Bluetooth Speaker"/>
    <x v="4"/>
    <n v="5"/>
    <n v="799"/>
    <n v="0.1"/>
    <s v="South"/>
    <s v="UPI"/>
    <x v="0"/>
    <n v="499"/>
  </r>
  <r>
    <s v="ORD02170"/>
    <d v="2026-07-04T00:00:00"/>
    <s v="C1797"/>
    <s v="Webcam"/>
    <x v="0"/>
    <n v="4"/>
    <n v="999"/>
    <n v="0"/>
    <s v="North"/>
    <s v="Credit Card"/>
    <x v="0"/>
    <n v="3595.5"/>
  </r>
  <r>
    <s v="ORD02171"/>
    <d v="2026-01-23T00:00:00"/>
    <s v="C1664"/>
    <s v="Keyboard"/>
    <x v="0"/>
    <n v="3"/>
    <n v="1499"/>
    <n v="0"/>
    <s v="Central"/>
    <s v="Credit Card"/>
    <x v="0"/>
    <n v="3996"/>
  </r>
  <r>
    <s v="ORD02172"/>
    <d v="2026-01-02T00:00:00"/>
    <s v="C1436"/>
    <s v="Webcam"/>
    <x v="1"/>
    <n v="4"/>
    <n v="4999"/>
    <n v="0.05"/>
    <s v="South"/>
    <s v="Credit Card"/>
    <x v="0"/>
    <n v="4497"/>
  </r>
  <r>
    <s v="ORD02173"/>
    <d v="2026-05-17T00:00:00"/>
    <s v="C1176"/>
    <s v="Monitor"/>
    <x v="2"/>
    <n v="1"/>
    <n v="499"/>
    <n v="0.15"/>
    <s v="South"/>
    <s v="Net Banking"/>
    <x v="0"/>
    <n v="18996.2"/>
  </r>
  <r>
    <s v="ORD02174"/>
    <d v="2026-04-20T00:00:00"/>
    <s v="C1584"/>
    <s v="Wireless Mouse"/>
    <x v="4"/>
    <n v="1"/>
    <n v="599"/>
    <n v="0.05"/>
    <s v="East"/>
    <s v="Credit Card"/>
    <x v="2"/>
    <n v="424.15"/>
  </r>
  <r>
    <s v="ORD02175"/>
    <d v="2026-04-11T00:00:00"/>
    <s v="C1719"/>
    <s v="Monitor"/>
    <x v="1"/>
    <n v="2"/>
    <n v="4999"/>
    <n v="0"/>
    <s v="North"/>
    <s v="Net Banking"/>
    <x v="0"/>
    <n v="569.04999999999995"/>
  </r>
  <r>
    <s v="ORD02176"/>
    <d v="2026-07-25T00:00:00"/>
    <s v="C1680"/>
    <s v="Bluetooth Speaker"/>
    <x v="1"/>
    <n v="3"/>
    <n v="4999"/>
    <n v="0.15"/>
    <s v="Central"/>
    <s v="UPI"/>
    <x v="1"/>
    <n v="9998"/>
  </r>
  <r>
    <s v="ORD02177"/>
    <d v="2026-04-29T00:00:00"/>
    <s v="C1187"/>
    <s v="Laptop Stand"/>
    <x v="0"/>
    <n v="5"/>
    <n v="999"/>
    <n v="0.1"/>
    <s v="East"/>
    <s v="Credit Card"/>
    <x v="0"/>
    <n v="12747.449999999999"/>
  </r>
  <r>
    <s v="ORD02178"/>
    <d v="2026-05-09T00:00:00"/>
    <s v="C1119"/>
    <s v="Power Bank"/>
    <x v="4"/>
    <n v="1"/>
    <n v="4999"/>
    <n v="0.05"/>
    <s v="South"/>
    <s v="Credit Card"/>
    <x v="0"/>
    <n v="4495.5"/>
  </r>
  <r>
    <s v="ORD02179"/>
    <d v="2026-05-18T00:00:00"/>
    <s v="C1504"/>
    <s v="Bluetooth Speaker"/>
    <x v="2"/>
    <n v="3"/>
    <n v="4999"/>
    <n v="0.1"/>
    <s v="East"/>
    <s v="COD"/>
    <x v="0"/>
    <n v="4749.05"/>
  </r>
  <r>
    <s v="ORD02180"/>
    <d v="2026-03-15T00:00:00"/>
    <s v="C1236"/>
    <s v="Wireless Mouse"/>
    <x v="1"/>
    <n v="3"/>
    <n v="599"/>
    <n v="0.15"/>
    <s v="East"/>
    <s v="Net Banking"/>
    <x v="0"/>
    <n v="13497.300000000001"/>
  </r>
  <r>
    <s v="ORD02181"/>
    <d v="2026-05-15T00:00:00"/>
    <s v="C1674"/>
    <s v="Monitor"/>
    <x v="4"/>
    <n v="4"/>
    <n v="599"/>
    <n v="0"/>
    <s v="North"/>
    <s v="Net Banking"/>
    <x v="2"/>
    <n v="1527.45"/>
  </r>
  <r>
    <s v="ORD02182"/>
    <d v="2026-09-22T00:00:00"/>
    <s v="C1061"/>
    <s v="Mechanical Keyboard"/>
    <x v="2"/>
    <n v="2"/>
    <n v="1499"/>
    <n v="0.1"/>
    <s v="South"/>
    <s v="COD"/>
    <x v="1"/>
    <n v="2396"/>
  </r>
  <r>
    <s v="ORD02183"/>
    <d v="2026-04-10T00:00:00"/>
    <s v="C1779"/>
    <s v="Monitor"/>
    <x v="0"/>
    <n v="3"/>
    <n v="1999"/>
    <n v="0.15"/>
    <s v="Central"/>
    <s v="Net Banking"/>
    <x v="2"/>
    <n v="2698.2000000000003"/>
  </r>
  <r>
    <s v="ORD02184"/>
    <d v="2026-02-19T00:00:00"/>
    <s v="C1305"/>
    <s v="Keyboard"/>
    <x v="4"/>
    <n v="1"/>
    <n v="799"/>
    <n v="0"/>
    <s v="East"/>
    <s v="UPI"/>
    <x v="0"/>
    <n v="5097.45"/>
  </r>
  <r>
    <s v="ORD02185"/>
    <d v="2026-02-26T00:00:00"/>
    <s v="C1074"/>
    <s v="Keyboard"/>
    <x v="3"/>
    <n v="4"/>
    <n v="799"/>
    <n v="0.1"/>
    <s v="Central"/>
    <s v="Net Banking"/>
    <x v="0"/>
    <n v="799"/>
  </r>
  <r>
    <s v="ORD02186"/>
    <d v="2026-05-31T00:00:00"/>
    <s v="C1679"/>
    <s v="Power Bank"/>
    <x v="0"/>
    <n v="3"/>
    <n v="7999"/>
    <n v="0.1"/>
    <s v="South"/>
    <s v="UPI"/>
    <x v="2"/>
    <n v="2876.4"/>
  </r>
  <r>
    <s v="ORD02187"/>
    <d v="2026-09-01T00:00:00"/>
    <s v="C1385"/>
    <s v="Mechanical Keyboard"/>
    <x v="0"/>
    <n v="4"/>
    <n v="7999"/>
    <n v="0.15"/>
    <s v="West"/>
    <s v="UPI"/>
    <x v="0"/>
    <n v="21597.3"/>
  </r>
  <r>
    <s v="ORD02188"/>
    <d v="2026-02-20T00:00:00"/>
    <s v="C1584"/>
    <s v="Wireless Mouse"/>
    <x v="2"/>
    <n v="5"/>
    <n v="1299"/>
    <n v="0.1"/>
    <s v="East"/>
    <s v="Debit Card"/>
    <x v="0"/>
    <n v="27196.6"/>
  </r>
  <r>
    <s v="ORD02189"/>
    <d v="2026-02-05T00:00:00"/>
    <s v="C1163"/>
    <s v="Laptop Stand"/>
    <x v="1"/>
    <n v="3"/>
    <n v="4999"/>
    <n v="0"/>
    <s v="North"/>
    <s v="Credit Card"/>
    <x v="2"/>
    <n v="5845.5"/>
  </r>
  <r>
    <s v="ORD02190"/>
    <d v="2026-03-27T00:00:00"/>
    <s v="C1630"/>
    <s v="Mechanical Keyboard"/>
    <x v="3"/>
    <n v="2"/>
    <n v="4999"/>
    <n v="0"/>
    <s v="South"/>
    <s v="Debit Card"/>
    <x v="2"/>
    <n v="14997"/>
  </r>
  <r>
    <s v="ORD02191"/>
    <d v="2026-06-11T00:00:00"/>
    <s v="C1516"/>
    <s v="Headphones"/>
    <x v="3"/>
    <n v="1"/>
    <n v="499"/>
    <n v="0"/>
    <s v="Central"/>
    <s v="UPI"/>
    <x v="2"/>
    <n v="9998"/>
  </r>
  <r>
    <s v="ORD02192"/>
    <d v="2026-06-04T00:00:00"/>
    <s v="C1387"/>
    <s v="Laptop Stand"/>
    <x v="4"/>
    <n v="1"/>
    <n v="2499"/>
    <n v="0"/>
    <s v="North"/>
    <s v="Net Banking"/>
    <x v="0"/>
    <n v="499"/>
  </r>
  <r>
    <s v="ORD02193"/>
    <d v="2026-03-15T00:00:00"/>
    <s v="C1254"/>
    <s v="Monitor"/>
    <x v="2"/>
    <n v="4"/>
    <n v="2499"/>
    <n v="0.15"/>
    <s v="North"/>
    <s v="Credit Card"/>
    <x v="2"/>
    <n v="2499"/>
  </r>
  <r>
    <s v="ORD02194"/>
    <d v="2026-05-14T00:00:00"/>
    <s v="C1725"/>
    <s v="Monitor"/>
    <x v="4"/>
    <n v="5"/>
    <n v="999"/>
    <n v="0.05"/>
    <s v="Central"/>
    <s v="Net Banking"/>
    <x v="1"/>
    <n v="8496.6"/>
  </r>
  <r>
    <s v="ORD02195"/>
    <d v="2026-08-08T00:00:00"/>
    <s v="C1034"/>
    <s v="Laptop Stand"/>
    <x v="3"/>
    <n v="2"/>
    <n v="7999"/>
    <n v="0"/>
    <s v="East"/>
    <s v="Debit Card"/>
    <x v="0"/>
    <n v="4745.25"/>
  </r>
  <r>
    <s v="ORD02196"/>
    <d v="2026-08-17T00:00:00"/>
    <s v="C1271"/>
    <s v="Bluetooth Speaker"/>
    <x v="3"/>
    <n v="3"/>
    <n v="599"/>
    <n v="0"/>
    <s v="East"/>
    <s v="Credit Card"/>
    <x v="0"/>
    <n v="15998"/>
  </r>
  <r>
    <s v="ORD02197"/>
    <d v="2026-04-19T00:00:00"/>
    <s v="C1048"/>
    <s v="Laptop Stand"/>
    <x v="2"/>
    <n v="5"/>
    <n v="2499"/>
    <n v="0.15"/>
    <s v="East"/>
    <s v="Net Banking"/>
    <x v="1"/>
    <n v="1797"/>
  </r>
  <r>
    <s v="ORD02198"/>
    <d v="2026-08-07T00:00:00"/>
    <s v="C1330"/>
    <s v="Monitor"/>
    <x v="3"/>
    <n v="4"/>
    <n v="599"/>
    <n v="0.15"/>
    <s v="Central"/>
    <s v="Debit Card"/>
    <x v="1"/>
    <n v="10620.75"/>
  </r>
  <r>
    <s v="ORD02199"/>
    <d v="2026-06-02T00:00:00"/>
    <s v="C1432"/>
    <s v="Headphones"/>
    <x v="2"/>
    <n v="4"/>
    <n v="1499"/>
    <n v="0"/>
    <s v="East"/>
    <s v="Credit Card"/>
    <x v="0"/>
    <n v="2036.6"/>
  </r>
  <r>
    <s v="ORD02200"/>
    <d v="2026-06-16T00:00:00"/>
    <s v="C1615"/>
    <s v="Keyboard"/>
    <x v="4"/>
    <n v="2"/>
    <n v="599"/>
    <n v="0"/>
    <s v="West"/>
    <s v="Debit Card"/>
    <x v="2"/>
    <n v="5996"/>
  </r>
  <r>
    <s v="ORD02201"/>
    <d v="2026-05-12T00:00:00"/>
    <s v="C1078"/>
    <s v="Keyboard"/>
    <x v="4"/>
    <n v="1"/>
    <n v="1999"/>
    <n v="0.05"/>
    <s v="Central"/>
    <s v="Credit Card"/>
    <x v="0"/>
    <n v="1198"/>
  </r>
  <r>
    <s v="ORD02202"/>
    <d v="2026-09-13T00:00:00"/>
    <s v="C1360"/>
    <s v="USB-C Hub"/>
    <x v="2"/>
    <n v="1"/>
    <n v="2499"/>
    <n v="0"/>
    <s v="South"/>
    <s v="Credit Card"/>
    <x v="0"/>
    <n v="1899.05"/>
  </r>
  <r>
    <s v="ORD02203"/>
    <d v="2026-05-03T00:00:00"/>
    <s v="C1685"/>
    <s v="Webcam"/>
    <x v="4"/>
    <n v="4"/>
    <n v="1299"/>
    <n v="0"/>
    <s v="East"/>
    <s v="COD"/>
    <x v="0"/>
    <n v="2499"/>
  </r>
  <r>
    <s v="ORD02204"/>
    <d v="2026-02-09T00:00:00"/>
    <s v="C1220"/>
    <s v="Power Bank"/>
    <x v="4"/>
    <n v="2"/>
    <n v="4999"/>
    <n v="0.1"/>
    <s v="South"/>
    <s v="COD"/>
    <x v="0"/>
    <n v="5196"/>
  </r>
  <r>
    <s v="ORD02205"/>
    <d v="2026-09-23T00:00:00"/>
    <s v="C1095"/>
    <s v="Power Bank"/>
    <x v="4"/>
    <n v="3"/>
    <n v="7999"/>
    <n v="0.05"/>
    <s v="East"/>
    <s v="Credit Card"/>
    <x v="0"/>
    <n v="8998.2000000000007"/>
  </r>
  <r>
    <s v="ORD02206"/>
    <d v="2026-02-22T00:00:00"/>
    <s v="C1602"/>
    <s v="Mechanical Keyboard"/>
    <x v="4"/>
    <n v="1"/>
    <n v="999"/>
    <n v="0.1"/>
    <s v="North"/>
    <s v="COD"/>
    <x v="0"/>
    <n v="22797.149999999998"/>
  </r>
  <r>
    <s v="ORD02207"/>
    <d v="2026-03-04T00:00:00"/>
    <s v="C1649"/>
    <s v="Bluetooth Speaker"/>
    <x v="0"/>
    <n v="3"/>
    <n v="2499"/>
    <n v="0"/>
    <s v="North"/>
    <s v="Net Banking"/>
    <x v="1"/>
    <n v="899.1"/>
  </r>
  <r>
    <s v="ORD02208"/>
    <d v="2026-04-23T00:00:00"/>
    <s v="C1091"/>
    <s v="Laptop Stand"/>
    <x v="4"/>
    <n v="4"/>
    <n v="4999"/>
    <n v="0"/>
    <s v="West"/>
    <s v="Debit Card"/>
    <x v="0"/>
    <n v="7497"/>
  </r>
  <r>
    <s v="ORD02209"/>
    <d v="2026-09-12T00:00:00"/>
    <s v="C1706"/>
    <s v="Keyboard"/>
    <x v="2"/>
    <n v="1"/>
    <n v="4999"/>
    <n v="0.05"/>
    <s v="North"/>
    <s v="Net Banking"/>
    <x v="1"/>
    <n v="19996"/>
  </r>
  <r>
    <s v="ORD02210"/>
    <d v="2026-03-21T00:00:00"/>
    <s v="C1226"/>
    <s v="Keyboard"/>
    <x v="1"/>
    <n v="1"/>
    <n v="7999"/>
    <n v="0"/>
    <s v="West"/>
    <s v="UPI"/>
    <x v="0"/>
    <n v="4749.05"/>
  </r>
  <r>
    <s v="ORD02211"/>
    <d v="2026-04-02T00:00:00"/>
    <s v="C1327"/>
    <s v="Laptop Stand"/>
    <x v="1"/>
    <n v="1"/>
    <n v="999"/>
    <n v="0"/>
    <s v="East"/>
    <s v="UPI"/>
    <x v="0"/>
    <n v="7999"/>
  </r>
  <r>
    <s v="ORD02212"/>
    <d v="2026-09-04T00:00:00"/>
    <s v="C1226"/>
    <s v="Webcam"/>
    <x v="2"/>
    <n v="4"/>
    <n v="1999"/>
    <n v="0.05"/>
    <s v="Central"/>
    <s v="UPI"/>
    <x v="1"/>
    <n v="999"/>
  </r>
  <r>
    <s v="ORD02213"/>
    <d v="2026-06-13T00:00:00"/>
    <s v="C1650"/>
    <s v="Webcam"/>
    <x v="1"/>
    <n v="5"/>
    <n v="1299"/>
    <n v="0.1"/>
    <s v="Central"/>
    <s v="Net Banking"/>
    <x v="2"/>
    <n v="7596.2"/>
  </r>
  <r>
    <s v="ORD02214"/>
    <d v="2026-03-14T00:00:00"/>
    <s v="C1145"/>
    <s v="Headphones"/>
    <x v="0"/>
    <n v="2"/>
    <n v="1499"/>
    <n v="0"/>
    <s v="West"/>
    <s v="Net Banking"/>
    <x v="1"/>
    <n v="5845.5"/>
  </r>
  <r>
    <s v="ORD02215"/>
    <d v="2026-04-06T00:00:00"/>
    <s v="C1445"/>
    <s v="Keyboard"/>
    <x v="4"/>
    <n v="4"/>
    <n v="7999"/>
    <n v="0"/>
    <s v="North"/>
    <s v="COD"/>
    <x v="2"/>
    <n v="2998"/>
  </r>
  <r>
    <s v="ORD02216"/>
    <d v="2026-09-13T00:00:00"/>
    <s v="C1143"/>
    <s v="Monitor"/>
    <x v="0"/>
    <n v="2"/>
    <n v="1499"/>
    <n v="0"/>
    <s v="West"/>
    <s v="Debit Card"/>
    <x v="2"/>
    <n v="31996"/>
  </r>
  <r>
    <s v="ORD02217"/>
    <d v="2026-05-05T00:00:00"/>
    <s v="C1757"/>
    <s v="USB-C Hub"/>
    <x v="3"/>
    <n v="3"/>
    <n v="2499"/>
    <n v="0"/>
    <s v="West"/>
    <s v="Credit Card"/>
    <x v="0"/>
    <n v="2998"/>
  </r>
  <r>
    <s v="ORD02218"/>
    <d v="2026-06-20T00:00:00"/>
    <s v="C1041"/>
    <s v="Webcam"/>
    <x v="1"/>
    <n v="3"/>
    <n v="499"/>
    <n v="0.1"/>
    <s v="South"/>
    <s v="Credit Card"/>
    <x v="2"/>
    <n v="7497"/>
  </r>
  <r>
    <s v="ORD02219"/>
    <d v="2026-05-21T00:00:00"/>
    <s v="C1715"/>
    <s v="Mechanical Keyboard"/>
    <x v="2"/>
    <n v="4"/>
    <n v="499"/>
    <n v="0.1"/>
    <s v="North"/>
    <s v="Debit Card"/>
    <x v="0"/>
    <n v="1347.3"/>
  </r>
  <r>
    <s v="ORD02220"/>
    <d v="2026-02-03T00:00:00"/>
    <s v="C1595"/>
    <s v="Monitor"/>
    <x v="0"/>
    <n v="2"/>
    <n v="7999"/>
    <n v="0"/>
    <s v="North"/>
    <s v="UPI"/>
    <x v="0"/>
    <n v="1796.4"/>
  </r>
  <r>
    <s v="ORD02221"/>
    <d v="2026-09-18T00:00:00"/>
    <s v="C1138"/>
    <s v="Webcam"/>
    <x v="3"/>
    <n v="1"/>
    <n v="599"/>
    <n v="0.1"/>
    <s v="East"/>
    <s v="Net Banking"/>
    <x v="1"/>
    <n v="15998"/>
  </r>
  <r>
    <s v="ORD02222"/>
    <d v="2026-09-19T00:00:00"/>
    <s v="C1006"/>
    <s v="Webcam"/>
    <x v="4"/>
    <n v="2"/>
    <n v="499"/>
    <n v="0.05"/>
    <s v="Central"/>
    <s v="Credit Card"/>
    <x v="1"/>
    <n v="539.1"/>
  </r>
  <r>
    <s v="ORD02223"/>
    <d v="2026-06-24T00:00:00"/>
    <s v="C1621"/>
    <s v="Mechanical Keyboard"/>
    <x v="3"/>
    <n v="1"/>
    <n v="7999"/>
    <n v="0.15"/>
    <s v="South"/>
    <s v="Credit Card"/>
    <x v="0"/>
    <n v="948.09999999999991"/>
  </r>
  <r>
    <s v="ORD02224"/>
    <d v="2026-06-06T00:00:00"/>
    <s v="C1456"/>
    <s v="Power Bank"/>
    <x v="0"/>
    <n v="4"/>
    <n v="499"/>
    <n v="0.15"/>
    <s v="North"/>
    <s v="UPI"/>
    <x v="1"/>
    <n v="6799.15"/>
  </r>
  <r>
    <s v="ORD02225"/>
    <d v="2026-05-07T00:00:00"/>
    <s v="C1482"/>
    <s v="Power Bank"/>
    <x v="2"/>
    <n v="3"/>
    <n v="1299"/>
    <n v="0"/>
    <s v="North"/>
    <s v="UPI"/>
    <x v="0"/>
    <n v="1696.6"/>
  </r>
  <r>
    <s v="ORD02226"/>
    <d v="2026-08-22T00:00:00"/>
    <s v="C1681"/>
    <s v="Headphones"/>
    <x v="4"/>
    <n v="5"/>
    <n v="1299"/>
    <n v="0"/>
    <s v="East"/>
    <s v="Net Banking"/>
    <x v="1"/>
    <n v="3897"/>
  </r>
  <r>
    <s v="ORD02227"/>
    <d v="2026-02-09T00:00:00"/>
    <s v="C1323"/>
    <s v="Headphones"/>
    <x v="0"/>
    <n v="4"/>
    <n v="1499"/>
    <n v="0"/>
    <s v="South"/>
    <s v="Net Banking"/>
    <x v="2"/>
    <n v="6495"/>
  </r>
  <r>
    <s v="ORD02228"/>
    <d v="2026-03-10T00:00:00"/>
    <s v="C1288"/>
    <s v="Laptop Stand"/>
    <x v="3"/>
    <n v="5"/>
    <n v="799"/>
    <n v="0"/>
    <s v="West"/>
    <s v="COD"/>
    <x v="0"/>
    <n v="5996"/>
  </r>
  <r>
    <s v="ORD02229"/>
    <d v="2026-05-09T00:00:00"/>
    <s v="C1699"/>
    <s v="Bluetooth Speaker"/>
    <x v="4"/>
    <n v="3"/>
    <n v="499"/>
    <n v="0.1"/>
    <s v="Central"/>
    <s v="UPI"/>
    <x v="0"/>
    <n v="3995"/>
  </r>
  <r>
    <s v="ORD02230"/>
    <d v="2026-09-12T00:00:00"/>
    <s v="C1005"/>
    <s v="Power Bank"/>
    <x v="2"/>
    <n v="3"/>
    <n v="4999"/>
    <n v="0.15"/>
    <s v="Central"/>
    <s v="Net Banking"/>
    <x v="0"/>
    <n v="1347.3"/>
  </r>
  <r>
    <s v="ORD02231"/>
    <d v="2026-08-28T00:00:00"/>
    <s v="C1677"/>
    <s v="Wireless Mouse"/>
    <x v="3"/>
    <n v="5"/>
    <n v="7999"/>
    <n v="0"/>
    <s v="Central"/>
    <s v="Credit Card"/>
    <x v="1"/>
    <n v="12747.449999999999"/>
  </r>
  <r>
    <s v="ORD02232"/>
    <d v="2026-09-27T00:00:00"/>
    <s v="C1397"/>
    <s v="Keyboard"/>
    <x v="0"/>
    <n v="1"/>
    <n v="4999"/>
    <n v="0.15"/>
    <s v="West"/>
    <s v="Credit Card"/>
    <x v="0"/>
    <n v="39995"/>
  </r>
  <r>
    <s v="ORD02233"/>
    <d v="2026-09-02T00:00:00"/>
    <s v="C1550"/>
    <s v="Headphones"/>
    <x v="0"/>
    <n v="2"/>
    <n v="799"/>
    <n v="0"/>
    <s v="North"/>
    <s v="COD"/>
    <x v="1"/>
    <n v="4249.1499999999996"/>
  </r>
  <r>
    <s v="ORD02234"/>
    <d v="2026-02-13T00:00:00"/>
    <s v="C1467"/>
    <s v="USB-C Hub"/>
    <x v="0"/>
    <n v="4"/>
    <n v="1999"/>
    <n v="0.05"/>
    <s v="Central"/>
    <s v="COD"/>
    <x v="2"/>
    <n v="1598"/>
  </r>
  <r>
    <s v="ORD02235"/>
    <d v="2026-03-21T00:00:00"/>
    <s v="C1525"/>
    <s v="Wireless Mouse"/>
    <x v="1"/>
    <n v="3"/>
    <n v="1299"/>
    <n v="0"/>
    <s v="North"/>
    <s v="Net Banking"/>
    <x v="0"/>
    <n v="7596.2"/>
  </r>
  <r>
    <s v="ORD02236"/>
    <d v="2026-09-05T00:00:00"/>
    <s v="C1349"/>
    <s v="Bluetooth Speaker"/>
    <x v="3"/>
    <n v="1"/>
    <n v="499"/>
    <n v="0.15"/>
    <s v="East"/>
    <s v="COD"/>
    <x v="0"/>
    <n v="3897"/>
  </r>
  <r>
    <s v="ORD02237"/>
    <d v="2026-03-23T00:00:00"/>
    <s v="C1456"/>
    <s v="Wireless Mouse"/>
    <x v="2"/>
    <n v="3"/>
    <n v="999"/>
    <n v="0.15"/>
    <s v="West"/>
    <s v="Net Banking"/>
    <x v="0"/>
    <n v="424.15"/>
  </r>
  <r>
    <s v="ORD02238"/>
    <d v="2026-02-03T00:00:00"/>
    <s v="C1135"/>
    <s v="Bluetooth Speaker"/>
    <x v="1"/>
    <n v="5"/>
    <n v="1999"/>
    <n v="0"/>
    <s v="West"/>
    <s v="UPI"/>
    <x v="0"/>
    <n v="2547.4499999999998"/>
  </r>
  <r>
    <s v="ORD02239"/>
    <d v="2026-08-31T00:00:00"/>
    <s v="C1239"/>
    <s v="Wireless Mouse"/>
    <x v="1"/>
    <n v="5"/>
    <n v="599"/>
    <n v="0.15"/>
    <s v="North"/>
    <s v="Net Banking"/>
    <x v="1"/>
    <n v="9995"/>
  </r>
  <r>
    <s v="ORD02240"/>
    <d v="2026-01-05T00:00:00"/>
    <s v="C1248"/>
    <s v="Bluetooth Speaker"/>
    <x v="2"/>
    <n v="5"/>
    <n v="4999"/>
    <n v="0.1"/>
    <s v="North"/>
    <s v="Net Banking"/>
    <x v="0"/>
    <n v="2545.75"/>
  </r>
  <r>
    <s v="ORD02241"/>
    <d v="2026-02-04T00:00:00"/>
    <s v="C1428"/>
    <s v="Monitor"/>
    <x v="3"/>
    <n v="2"/>
    <n v="2499"/>
    <n v="0"/>
    <s v="West"/>
    <s v="COD"/>
    <x v="0"/>
    <n v="22495.5"/>
  </r>
  <r>
    <s v="ORD02242"/>
    <d v="2026-01-16T00:00:00"/>
    <s v="C1666"/>
    <s v="Keyboard"/>
    <x v="3"/>
    <n v="4"/>
    <n v="7999"/>
    <n v="0"/>
    <s v="Central"/>
    <s v="Debit Card"/>
    <x v="0"/>
    <n v="4998"/>
  </r>
  <r>
    <s v="ORD02243"/>
    <d v="2026-03-31T00:00:00"/>
    <s v="C1456"/>
    <s v="Power Bank"/>
    <x v="0"/>
    <n v="2"/>
    <n v="799"/>
    <n v="0.05"/>
    <s v="South"/>
    <s v="Debit Card"/>
    <x v="1"/>
    <n v="31996"/>
  </r>
  <r>
    <s v="ORD02244"/>
    <d v="2026-03-12T00:00:00"/>
    <s v="C1540"/>
    <s v="Headphones"/>
    <x v="4"/>
    <n v="3"/>
    <n v="1499"/>
    <n v="0"/>
    <s v="South"/>
    <s v="Credit Card"/>
    <x v="0"/>
    <n v="1518.1"/>
  </r>
  <r>
    <s v="ORD02245"/>
    <d v="2026-05-23T00:00:00"/>
    <s v="C1006"/>
    <s v="Mechanical Keyboard"/>
    <x v="1"/>
    <n v="3"/>
    <n v="1999"/>
    <n v="0.15"/>
    <s v="West"/>
    <s v="COD"/>
    <x v="2"/>
    <n v="4497"/>
  </r>
  <r>
    <s v="ORD02246"/>
    <d v="2026-08-25T00:00:00"/>
    <s v="C1014"/>
    <s v="Laptop Stand"/>
    <x v="4"/>
    <n v="3"/>
    <n v="4999"/>
    <n v="0"/>
    <s v="Central"/>
    <s v="Credit Card"/>
    <x v="0"/>
    <n v="5097.45"/>
  </r>
  <r>
    <s v="ORD02247"/>
    <d v="2026-07-17T00:00:00"/>
    <s v="C1752"/>
    <s v="Mechanical Keyboard"/>
    <x v="4"/>
    <n v="4"/>
    <n v="999"/>
    <n v="0.05"/>
    <s v="East"/>
    <s v="Net Banking"/>
    <x v="2"/>
    <n v="14997"/>
  </r>
  <r>
    <s v="ORD02248"/>
    <d v="2026-09-10T00:00:00"/>
    <s v="C1544"/>
    <s v="Wireless Mouse"/>
    <x v="3"/>
    <n v="1"/>
    <n v="799"/>
    <n v="0"/>
    <s v="Central"/>
    <s v="Net Banking"/>
    <x v="0"/>
    <n v="3796.2"/>
  </r>
  <r>
    <s v="ORD02249"/>
    <d v="2026-06-28T00:00:00"/>
    <s v="C1506"/>
    <s v="Laptop Stand"/>
    <x v="1"/>
    <n v="2"/>
    <n v="7999"/>
    <n v="0"/>
    <s v="West"/>
    <s v="Debit Card"/>
    <x v="2"/>
    <n v="799"/>
  </r>
  <r>
    <s v="ORD02250"/>
    <d v="2026-04-27T00:00:00"/>
    <s v="C1099"/>
    <s v="Mechanical Keyboard"/>
    <x v="0"/>
    <n v="1"/>
    <n v="1999"/>
    <n v="0"/>
    <s v="East"/>
    <s v="COD"/>
    <x v="1"/>
    <n v="15998"/>
  </r>
  <r>
    <s v="ORD02251"/>
    <d v="2026-09-08T00:00:00"/>
    <s v="C1418"/>
    <s v="Wireless Mouse"/>
    <x v="2"/>
    <n v="1"/>
    <n v="999"/>
    <n v="0"/>
    <s v="Central"/>
    <s v="Credit Card"/>
    <x v="0"/>
    <n v="1999"/>
  </r>
  <r>
    <s v="ORD02252"/>
    <d v="2026-01-09T00:00:00"/>
    <s v="C1107"/>
    <s v="Monitor"/>
    <x v="3"/>
    <n v="1"/>
    <n v="1999"/>
    <n v="0"/>
    <s v="East"/>
    <s v="Credit Card"/>
    <x v="2"/>
    <n v="999"/>
  </r>
  <r>
    <s v="ORD02253"/>
    <d v="2026-07-28T00:00:00"/>
    <s v="C1052"/>
    <s v="Laptop Stand"/>
    <x v="3"/>
    <n v="4"/>
    <n v="499"/>
    <n v="0.1"/>
    <s v="Central"/>
    <s v="Credit Card"/>
    <x v="0"/>
    <n v="1999"/>
  </r>
  <r>
    <s v="ORD02254"/>
    <d v="2026-09-18T00:00:00"/>
    <s v="C1183"/>
    <s v="Wireless Mouse"/>
    <x v="2"/>
    <n v="5"/>
    <n v="799"/>
    <n v="0"/>
    <s v="Central"/>
    <s v="Credit Card"/>
    <x v="0"/>
    <n v="1796.4"/>
  </r>
  <r>
    <s v="ORD02255"/>
    <d v="2026-05-03T00:00:00"/>
    <s v="C1014"/>
    <s v="Power Bank"/>
    <x v="1"/>
    <n v="3"/>
    <n v="1299"/>
    <n v="0.15"/>
    <s v="Central"/>
    <s v="Net Banking"/>
    <x v="1"/>
    <n v="3995"/>
  </r>
  <r>
    <s v="ORD02256"/>
    <d v="2026-08-08T00:00:00"/>
    <s v="C1548"/>
    <s v="Headphones"/>
    <x v="0"/>
    <n v="4"/>
    <n v="7999"/>
    <n v="0.05"/>
    <s v="North"/>
    <s v="Credit Card"/>
    <x v="1"/>
    <n v="3312.45"/>
  </r>
  <r>
    <s v="ORD02257"/>
    <d v="2026-04-11T00:00:00"/>
    <s v="C1510"/>
    <s v="Keyboard"/>
    <x v="4"/>
    <n v="5"/>
    <n v="7999"/>
    <n v="0.05"/>
    <s v="Central"/>
    <s v="Credit Card"/>
    <x v="0"/>
    <n v="30396.199999999997"/>
  </r>
  <r>
    <s v="ORD02258"/>
    <d v="2026-07-29T00:00:00"/>
    <s v="C1366"/>
    <s v="Monitor"/>
    <x v="0"/>
    <n v="2"/>
    <n v="499"/>
    <n v="0.05"/>
    <s v="West"/>
    <s v="Credit Card"/>
    <x v="1"/>
    <n v="37995.25"/>
  </r>
  <r>
    <s v="ORD02259"/>
    <d v="2026-05-12T00:00:00"/>
    <s v="C1519"/>
    <s v="Monitor"/>
    <x v="2"/>
    <n v="4"/>
    <n v="499"/>
    <n v="0"/>
    <s v="Central"/>
    <s v="Credit Card"/>
    <x v="0"/>
    <n v="948.09999999999991"/>
  </r>
  <r>
    <s v="ORD02260"/>
    <d v="2026-05-23T00:00:00"/>
    <s v="C1177"/>
    <s v="Webcam"/>
    <x v="2"/>
    <n v="5"/>
    <n v="2499"/>
    <n v="0.15"/>
    <s v="West"/>
    <s v="Debit Card"/>
    <x v="1"/>
    <n v="1996"/>
  </r>
  <r>
    <s v="ORD02261"/>
    <d v="2026-03-19T00:00:00"/>
    <s v="C1179"/>
    <s v="Mechanical Keyboard"/>
    <x v="1"/>
    <n v="1"/>
    <n v="599"/>
    <n v="0"/>
    <s v="Central"/>
    <s v="UPI"/>
    <x v="2"/>
    <n v="10620.75"/>
  </r>
  <r>
    <s v="ORD02262"/>
    <d v="2026-08-31T00:00:00"/>
    <s v="C1726"/>
    <s v="Laptop Stand"/>
    <x v="1"/>
    <n v="2"/>
    <n v="1499"/>
    <n v="0.05"/>
    <s v="South"/>
    <s v="Debit Card"/>
    <x v="1"/>
    <n v="599"/>
  </r>
  <r>
    <s v="ORD02263"/>
    <d v="2026-09-16T00:00:00"/>
    <s v="C1353"/>
    <s v="Keyboard"/>
    <x v="1"/>
    <n v="4"/>
    <n v="599"/>
    <n v="0.05"/>
    <s v="North"/>
    <s v="COD"/>
    <x v="0"/>
    <n v="2848.1"/>
  </r>
  <r>
    <s v="ORD02264"/>
    <d v="2026-08-21T00:00:00"/>
    <s v="C1790"/>
    <s v="Power Bank"/>
    <x v="0"/>
    <n v="1"/>
    <n v="799"/>
    <n v="0"/>
    <s v="South"/>
    <s v="Net Banking"/>
    <x v="0"/>
    <n v="2276.1999999999998"/>
  </r>
  <r>
    <s v="ORD02265"/>
    <d v="2026-05-10T00:00:00"/>
    <s v="C1446"/>
    <s v="Wireless Mouse"/>
    <x v="4"/>
    <n v="3"/>
    <n v="599"/>
    <n v="0"/>
    <s v="Central"/>
    <s v="COD"/>
    <x v="0"/>
    <n v="799"/>
  </r>
  <r>
    <s v="ORD02266"/>
    <d v="2026-05-29T00:00:00"/>
    <s v="C1062"/>
    <s v="Headphones"/>
    <x v="4"/>
    <n v="5"/>
    <n v="1999"/>
    <n v="0.15"/>
    <s v="North"/>
    <s v="Debit Card"/>
    <x v="2"/>
    <n v="1797"/>
  </r>
  <r>
    <s v="ORD02267"/>
    <d v="2026-04-10T00:00:00"/>
    <s v="C1531"/>
    <s v="Bluetooth Speaker"/>
    <x v="4"/>
    <n v="3"/>
    <n v="499"/>
    <n v="0.05"/>
    <s v="West"/>
    <s v="COD"/>
    <x v="0"/>
    <n v="8495.75"/>
  </r>
  <r>
    <s v="ORD02268"/>
    <d v="2026-07-07T00:00:00"/>
    <s v="C1559"/>
    <s v="Wireless Mouse"/>
    <x v="4"/>
    <n v="2"/>
    <n v="1999"/>
    <n v="0.15"/>
    <s v="North"/>
    <s v="UPI"/>
    <x v="0"/>
    <n v="1422.1499999999999"/>
  </r>
  <r>
    <s v="ORD02269"/>
    <d v="2026-01-13T00:00:00"/>
    <s v="C1525"/>
    <s v="Headphones"/>
    <x v="4"/>
    <n v="5"/>
    <n v="1499"/>
    <n v="0.05"/>
    <s v="North"/>
    <s v="COD"/>
    <x v="0"/>
    <n v="3398.2999999999997"/>
  </r>
  <r>
    <s v="ORD02270"/>
    <d v="2026-04-11T00:00:00"/>
    <s v="C1764"/>
    <s v="Headphones"/>
    <x v="2"/>
    <n v="4"/>
    <n v="4999"/>
    <n v="0"/>
    <s v="Central"/>
    <s v="COD"/>
    <x v="1"/>
    <n v="7120.25"/>
  </r>
  <r>
    <s v="ORD02271"/>
    <d v="2026-05-17T00:00:00"/>
    <s v="C1531"/>
    <s v="Mechanical Keyboard"/>
    <x v="3"/>
    <n v="1"/>
    <n v="599"/>
    <n v="0"/>
    <s v="North"/>
    <s v="Debit Card"/>
    <x v="0"/>
    <n v="19996"/>
  </r>
  <r>
    <s v="ORD02272"/>
    <d v="2026-04-18T00:00:00"/>
    <s v="C1693"/>
    <s v="Keyboard"/>
    <x v="0"/>
    <n v="5"/>
    <n v="1999"/>
    <n v="0"/>
    <s v="South"/>
    <s v="Credit Card"/>
    <x v="2"/>
    <n v="599"/>
  </r>
  <r>
    <s v="ORD02273"/>
    <d v="2026-07-05T00:00:00"/>
    <s v="C1370"/>
    <s v="Headphones"/>
    <x v="0"/>
    <n v="4"/>
    <n v="999"/>
    <n v="0.05"/>
    <s v="West"/>
    <s v="Net Banking"/>
    <x v="2"/>
    <n v="9995"/>
  </r>
  <r>
    <s v="ORD02274"/>
    <d v="2026-01-19T00:00:00"/>
    <s v="C1427"/>
    <s v="Wireless Mouse"/>
    <x v="2"/>
    <n v="2"/>
    <n v="4999"/>
    <n v="0"/>
    <s v="North"/>
    <s v="UPI"/>
    <x v="0"/>
    <n v="3796.2"/>
  </r>
  <r>
    <s v="ORD02275"/>
    <d v="2026-09-10T00:00:00"/>
    <s v="C1263"/>
    <s v="Mechanical Keyboard"/>
    <x v="2"/>
    <n v="3"/>
    <n v="799"/>
    <n v="0.15"/>
    <s v="West"/>
    <s v="COD"/>
    <x v="2"/>
    <n v="9998"/>
  </r>
  <r>
    <s v="ORD02276"/>
    <d v="2026-06-12T00:00:00"/>
    <s v="C1442"/>
    <s v="Keyboard"/>
    <x v="0"/>
    <n v="1"/>
    <n v="1499"/>
    <n v="0"/>
    <s v="Central"/>
    <s v="Debit Card"/>
    <x v="0"/>
    <n v="2037.45"/>
  </r>
  <r>
    <s v="ORD02277"/>
    <d v="2026-03-15T00:00:00"/>
    <s v="C1065"/>
    <s v="Laptop Stand"/>
    <x v="3"/>
    <n v="4"/>
    <n v="1999"/>
    <n v="0.1"/>
    <s v="West"/>
    <s v="Net Banking"/>
    <x v="2"/>
    <n v="1499"/>
  </r>
  <r>
    <s v="ORD02278"/>
    <d v="2026-01-05T00:00:00"/>
    <s v="C1498"/>
    <s v="Power Bank"/>
    <x v="2"/>
    <n v="4"/>
    <n v="1299"/>
    <n v="0"/>
    <s v="South"/>
    <s v="Net Banking"/>
    <x v="0"/>
    <n v="7196.4000000000005"/>
  </r>
  <r>
    <s v="ORD02279"/>
    <d v="2026-08-14T00:00:00"/>
    <s v="C1105"/>
    <s v="Laptop Stand"/>
    <x v="2"/>
    <n v="3"/>
    <n v="1999"/>
    <n v="0"/>
    <s v="West"/>
    <s v="Net Banking"/>
    <x v="0"/>
    <n v="5196"/>
  </r>
  <r>
    <s v="ORD02280"/>
    <d v="2026-09-03T00:00:00"/>
    <s v="C1672"/>
    <s v="Laptop Stand"/>
    <x v="0"/>
    <n v="3"/>
    <n v="4999"/>
    <n v="0"/>
    <s v="South"/>
    <s v="Credit Card"/>
    <x v="0"/>
    <n v="5997"/>
  </r>
  <r>
    <s v="ORD02281"/>
    <d v="2026-06-16T00:00:00"/>
    <s v="C1595"/>
    <s v="Monitor"/>
    <x v="0"/>
    <n v="5"/>
    <n v="4999"/>
    <n v="0"/>
    <s v="East"/>
    <s v="Net Banking"/>
    <x v="0"/>
    <n v="14997"/>
  </r>
  <r>
    <s v="ORD02282"/>
    <d v="2026-07-09T00:00:00"/>
    <s v="C1386"/>
    <s v="Keyboard"/>
    <x v="3"/>
    <n v="1"/>
    <n v="499"/>
    <n v="0.1"/>
    <s v="Central"/>
    <s v="UPI"/>
    <x v="2"/>
    <n v="24995"/>
  </r>
  <r>
    <s v="ORD02283"/>
    <d v="2026-01-21T00:00:00"/>
    <s v="C1641"/>
    <s v="Monitor"/>
    <x v="2"/>
    <n v="4"/>
    <n v="1999"/>
    <n v="0.1"/>
    <s v="North"/>
    <s v="Net Banking"/>
    <x v="0"/>
    <n v="449.1"/>
  </r>
  <r>
    <s v="ORD02284"/>
    <d v="2026-08-25T00:00:00"/>
    <s v="C1432"/>
    <s v="Bluetooth Speaker"/>
    <x v="0"/>
    <n v="5"/>
    <n v="7999"/>
    <n v="0"/>
    <s v="East"/>
    <s v="Net Banking"/>
    <x v="0"/>
    <n v="7196.4000000000005"/>
  </r>
  <r>
    <s v="ORD02285"/>
    <d v="2026-03-25T00:00:00"/>
    <s v="C1648"/>
    <s v="Laptop Stand"/>
    <x v="0"/>
    <n v="4"/>
    <n v="1299"/>
    <n v="0.15"/>
    <s v="Central"/>
    <s v="UPI"/>
    <x v="0"/>
    <n v="39995"/>
  </r>
  <r>
    <s v="ORD02286"/>
    <d v="2026-09-10T00:00:00"/>
    <s v="C1755"/>
    <s v="Bluetooth Speaker"/>
    <x v="2"/>
    <n v="5"/>
    <n v="599"/>
    <n v="0"/>
    <s v="South"/>
    <s v="UPI"/>
    <x v="0"/>
    <n v="4416.5999999999995"/>
  </r>
  <r>
    <s v="ORD02287"/>
    <d v="2026-02-12T00:00:00"/>
    <s v="C1126"/>
    <s v="Webcam"/>
    <x v="1"/>
    <n v="1"/>
    <n v="2499"/>
    <n v="0.05"/>
    <s v="West"/>
    <s v="Credit Card"/>
    <x v="0"/>
    <n v="2995"/>
  </r>
  <r>
    <s v="ORD02288"/>
    <d v="2026-01-10T00:00:00"/>
    <s v="C1637"/>
    <s v="Webcam"/>
    <x v="2"/>
    <n v="2"/>
    <n v="599"/>
    <n v="0.1"/>
    <s v="North"/>
    <s v="Debit Card"/>
    <x v="0"/>
    <n v="2374.0499999999997"/>
  </r>
  <r>
    <s v="ORD02289"/>
    <d v="2026-09-05T00:00:00"/>
    <s v="C1714"/>
    <s v="Mechanical Keyboard"/>
    <x v="2"/>
    <n v="4"/>
    <n v="4999"/>
    <n v="0"/>
    <s v="North"/>
    <s v="COD"/>
    <x v="2"/>
    <n v="1078.2"/>
  </r>
  <r>
    <s v="ORD02290"/>
    <d v="2026-07-17T00:00:00"/>
    <s v="C1172"/>
    <s v="Keyboard"/>
    <x v="4"/>
    <n v="1"/>
    <n v="999"/>
    <n v="0"/>
    <s v="North"/>
    <s v="COD"/>
    <x v="2"/>
    <n v="19996"/>
  </r>
  <r>
    <s v="ORD02291"/>
    <d v="2026-09-09T00:00:00"/>
    <s v="C1260"/>
    <s v="USB-C Hub"/>
    <x v="2"/>
    <n v="2"/>
    <n v="599"/>
    <n v="0"/>
    <s v="South"/>
    <s v="Debit Card"/>
    <x v="1"/>
    <n v="999"/>
  </r>
  <r>
    <s v="ORD02292"/>
    <d v="2026-05-24T00:00:00"/>
    <s v="C1236"/>
    <s v="Webcam"/>
    <x v="0"/>
    <n v="5"/>
    <n v="4999"/>
    <n v="0.15"/>
    <s v="North"/>
    <s v="Net Banking"/>
    <x v="1"/>
    <n v="1198"/>
  </r>
  <r>
    <s v="ORD02293"/>
    <d v="2026-09-17T00:00:00"/>
    <s v="C1786"/>
    <s v="Wireless Mouse"/>
    <x v="1"/>
    <n v="4"/>
    <n v="4999"/>
    <n v="0"/>
    <s v="North"/>
    <s v="Net Banking"/>
    <x v="0"/>
    <n v="21245.75"/>
  </r>
  <r>
    <s v="ORD02294"/>
    <d v="2026-05-06T00:00:00"/>
    <s v="C1758"/>
    <s v="Mechanical Keyboard"/>
    <x v="1"/>
    <n v="1"/>
    <n v="1999"/>
    <n v="0.15"/>
    <s v="Central"/>
    <s v="Credit Card"/>
    <x v="1"/>
    <n v="19996"/>
  </r>
  <r>
    <s v="ORD02295"/>
    <d v="2026-05-29T00:00:00"/>
    <s v="C1481"/>
    <s v="Wireless Mouse"/>
    <x v="4"/>
    <n v="4"/>
    <n v="1299"/>
    <n v="0.15"/>
    <s v="Central"/>
    <s v="UPI"/>
    <x v="0"/>
    <n v="1699.1499999999999"/>
  </r>
  <r>
    <s v="ORD02296"/>
    <d v="2026-03-06T00:00:00"/>
    <s v="C1649"/>
    <s v="Bluetooth Speaker"/>
    <x v="3"/>
    <n v="2"/>
    <n v="1999"/>
    <n v="0"/>
    <s v="South"/>
    <s v="UPI"/>
    <x v="1"/>
    <n v="4416.5999999999995"/>
  </r>
  <r>
    <s v="ORD02297"/>
    <d v="2026-05-29T00:00:00"/>
    <s v="C1045"/>
    <s v="Monitor"/>
    <x v="2"/>
    <n v="1"/>
    <n v="599"/>
    <n v="0.15"/>
    <s v="East"/>
    <s v="Debit Card"/>
    <x v="0"/>
    <n v="3998"/>
  </r>
  <r>
    <s v="ORD02298"/>
    <d v="2026-04-11T00:00:00"/>
    <s v="C1131"/>
    <s v="Power Bank"/>
    <x v="0"/>
    <n v="2"/>
    <n v="1499"/>
    <n v="0"/>
    <s v="Central"/>
    <s v="Debit Card"/>
    <x v="0"/>
    <n v="509.15"/>
  </r>
  <r>
    <s v="ORD02299"/>
    <d v="2026-09-02T00:00:00"/>
    <s v="C1037"/>
    <s v="Bluetooth Speaker"/>
    <x v="1"/>
    <n v="1"/>
    <n v="799"/>
    <n v="0"/>
    <s v="North"/>
    <s v="Debit Card"/>
    <x v="0"/>
    <n v="2998"/>
  </r>
  <r>
    <s v="ORD02300"/>
    <d v="2026-09-21T00:00:00"/>
    <s v="C1110"/>
    <s v="Power Bank"/>
    <x v="4"/>
    <n v="2"/>
    <n v="4999"/>
    <n v="0.05"/>
    <s v="North"/>
    <s v="Debit Card"/>
    <x v="0"/>
    <n v="799"/>
  </r>
  <r>
    <s v="ORD02301"/>
    <d v="2026-06-22T00:00:00"/>
    <s v="C1594"/>
    <s v="Monitor"/>
    <x v="0"/>
    <n v="4"/>
    <n v="1999"/>
    <n v="0.05"/>
    <s v="Central"/>
    <s v="Debit Card"/>
    <x v="2"/>
    <n v="9498.1"/>
  </r>
  <r>
    <s v="ORD02302"/>
    <d v="2026-06-01T00:00:00"/>
    <s v="C1614"/>
    <s v="Headphones"/>
    <x v="3"/>
    <n v="2"/>
    <n v="999"/>
    <n v="0.05"/>
    <s v="Central"/>
    <s v="COD"/>
    <x v="0"/>
    <n v="7596.2"/>
  </r>
  <r>
    <s v="ORD02303"/>
    <d v="2026-08-08T00:00:00"/>
    <s v="C1130"/>
    <s v="Bluetooth Speaker"/>
    <x v="0"/>
    <n v="4"/>
    <n v="2499"/>
    <n v="0.1"/>
    <s v="West"/>
    <s v="Credit Card"/>
    <x v="0"/>
    <n v="1898.1"/>
  </r>
  <r>
    <s v="ORD02304"/>
    <d v="2026-04-12T00:00:00"/>
    <s v="C1201"/>
    <s v="Webcam"/>
    <x v="2"/>
    <n v="1"/>
    <n v="999"/>
    <n v="0.1"/>
    <s v="North"/>
    <s v="Credit Card"/>
    <x v="1"/>
    <n v="8996.4"/>
  </r>
  <r>
    <s v="ORD02305"/>
    <d v="2026-08-01T00:00:00"/>
    <s v="C1209"/>
    <s v="Headphones"/>
    <x v="3"/>
    <n v="1"/>
    <n v="499"/>
    <n v="0.1"/>
    <s v="West"/>
    <s v="Debit Card"/>
    <x v="0"/>
    <n v="899.1"/>
  </r>
  <r>
    <s v="ORD02306"/>
    <d v="2026-02-22T00:00:00"/>
    <s v="C1769"/>
    <s v="Power Bank"/>
    <x v="0"/>
    <n v="2"/>
    <n v="1999"/>
    <n v="0.15"/>
    <s v="Central"/>
    <s v="Net Banking"/>
    <x v="1"/>
    <n v="449.1"/>
  </r>
  <r>
    <s v="ORD02307"/>
    <d v="2026-07-23T00:00:00"/>
    <s v="C1341"/>
    <s v="Wireless Mouse"/>
    <x v="1"/>
    <n v="4"/>
    <n v="4999"/>
    <n v="0"/>
    <s v="West"/>
    <s v="COD"/>
    <x v="0"/>
    <n v="3398.2999999999997"/>
  </r>
  <r>
    <s v="ORD02308"/>
    <d v="2026-04-07T00:00:00"/>
    <s v="C1386"/>
    <s v="Webcam"/>
    <x v="1"/>
    <n v="5"/>
    <n v="1499"/>
    <n v="0.15"/>
    <s v="Central"/>
    <s v="Credit Card"/>
    <x v="0"/>
    <n v="19996"/>
  </r>
  <r>
    <s v="ORD02309"/>
    <d v="2026-07-15T00:00:00"/>
    <s v="C1687"/>
    <s v="Laptop Stand"/>
    <x v="3"/>
    <n v="5"/>
    <n v="799"/>
    <n v="0.1"/>
    <s v="Central"/>
    <s v="COD"/>
    <x v="0"/>
    <n v="6370.75"/>
  </r>
  <r>
    <s v="ORD02310"/>
    <d v="2026-03-16T00:00:00"/>
    <s v="C1366"/>
    <s v="Wireless Mouse"/>
    <x v="0"/>
    <n v="2"/>
    <n v="1999"/>
    <n v="0"/>
    <s v="Central"/>
    <s v="Credit Card"/>
    <x v="2"/>
    <n v="3595.5"/>
  </r>
  <r>
    <s v="ORD02311"/>
    <d v="2026-05-23T00:00:00"/>
    <s v="C1042"/>
    <s v="Power Bank"/>
    <x v="0"/>
    <n v="3"/>
    <n v="1499"/>
    <n v="0.1"/>
    <s v="North"/>
    <s v="Credit Card"/>
    <x v="0"/>
    <n v="3998"/>
  </r>
  <r>
    <s v="ORD02312"/>
    <d v="2026-02-25T00:00:00"/>
    <s v="C1095"/>
    <s v="Headphones"/>
    <x v="2"/>
    <n v="3"/>
    <n v="799"/>
    <n v="0.15"/>
    <s v="East"/>
    <s v="Debit Card"/>
    <x v="0"/>
    <n v="4047.3"/>
  </r>
  <r>
    <s v="ORD02313"/>
    <d v="2026-08-19T00:00:00"/>
    <s v="C1135"/>
    <s v="Laptop Stand"/>
    <x v="3"/>
    <n v="4"/>
    <n v="2499"/>
    <n v="0.05"/>
    <s v="Central"/>
    <s v="UPI"/>
    <x v="2"/>
    <n v="2037.45"/>
  </r>
  <r>
    <s v="ORD02314"/>
    <d v="2026-04-25T00:00:00"/>
    <s v="C1065"/>
    <s v="Laptop Stand"/>
    <x v="2"/>
    <n v="5"/>
    <n v="2499"/>
    <n v="0.05"/>
    <s v="East"/>
    <s v="Net Banking"/>
    <x v="0"/>
    <n v="9496.1999999999989"/>
  </r>
  <r>
    <s v="ORD02315"/>
    <d v="2026-02-14T00:00:00"/>
    <s v="C1074"/>
    <s v="Keyboard"/>
    <x v="4"/>
    <n v="5"/>
    <n v="7999"/>
    <n v="0"/>
    <s v="South"/>
    <s v="Credit Card"/>
    <x v="0"/>
    <n v="11870.25"/>
  </r>
  <r>
    <s v="ORD02316"/>
    <d v="2026-05-18T00:00:00"/>
    <s v="C1117"/>
    <s v="Webcam"/>
    <x v="3"/>
    <n v="4"/>
    <n v="1499"/>
    <n v="0.1"/>
    <s v="East"/>
    <s v="COD"/>
    <x v="1"/>
    <n v="39995"/>
  </r>
  <r>
    <s v="ORD02317"/>
    <d v="2026-03-15T00:00:00"/>
    <s v="C1720"/>
    <s v="Keyboard"/>
    <x v="3"/>
    <n v="4"/>
    <n v="599"/>
    <n v="0"/>
    <s v="North"/>
    <s v="Net Banking"/>
    <x v="0"/>
    <n v="5396.4000000000005"/>
  </r>
  <r>
    <s v="ORD02318"/>
    <d v="2026-03-31T00:00:00"/>
    <s v="C1289"/>
    <s v="Laptop Stand"/>
    <x v="4"/>
    <n v="2"/>
    <n v="2499"/>
    <n v="0.15"/>
    <s v="South"/>
    <s v="UPI"/>
    <x v="0"/>
    <n v="2396"/>
  </r>
  <r>
    <s v="ORD02319"/>
    <d v="2026-07-19T00:00:00"/>
    <s v="C1797"/>
    <s v="Headphones"/>
    <x v="1"/>
    <n v="5"/>
    <n v="999"/>
    <n v="0.1"/>
    <s v="Central"/>
    <s v="Credit Card"/>
    <x v="0"/>
    <n v="4248.3"/>
  </r>
  <r>
    <s v="ORD02320"/>
    <d v="2026-09-17T00:00:00"/>
    <s v="C1737"/>
    <s v="Power Bank"/>
    <x v="0"/>
    <n v="3"/>
    <n v="799"/>
    <n v="0.15"/>
    <s v="North"/>
    <s v="COD"/>
    <x v="0"/>
    <n v="4495.5"/>
  </r>
  <r>
    <s v="ORD02321"/>
    <d v="2026-05-11T00:00:00"/>
    <s v="C1334"/>
    <s v="Monitor"/>
    <x v="3"/>
    <n v="4"/>
    <n v="1999"/>
    <n v="0.1"/>
    <s v="Central"/>
    <s v="Debit Card"/>
    <x v="0"/>
    <n v="2037.45"/>
  </r>
  <r>
    <s v="ORD02322"/>
    <d v="2026-09-24T00:00:00"/>
    <s v="C1718"/>
    <s v="Keyboard"/>
    <x v="4"/>
    <n v="4"/>
    <n v="7999"/>
    <n v="0.05"/>
    <s v="Central"/>
    <s v="COD"/>
    <x v="0"/>
    <n v="7196.4000000000005"/>
  </r>
  <r>
    <s v="ORD02323"/>
    <d v="2026-08-22T00:00:00"/>
    <s v="C1561"/>
    <s v="USB-C Hub"/>
    <x v="1"/>
    <n v="2"/>
    <n v="1499"/>
    <n v="0.15"/>
    <s v="West"/>
    <s v="Debit Card"/>
    <x v="1"/>
    <n v="30396.199999999997"/>
  </r>
  <r>
    <s v="ORD02324"/>
    <d v="2026-03-11T00:00:00"/>
    <s v="C1630"/>
    <s v="USB-C Hub"/>
    <x v="4"/>
    <n v="1"/>
    <n v="2499"/>
    <n v="0.1"/>
    <s v="North"/>
    <s v="COD"/>
    <x v="0"/>
    <n v="2548.2999999999997"/>
  </r>
  <r>
    <s v="ORD02325"/>
    <d v="2026-01-28T00:00:00"/>
    <s v="C1160"/>
    <s v="USB-C Hub"/>
    <x v="4"/>
    <n v="2"/>
    <n v="499"/>
    <n v="0"/>
    <s v="North"/>
    <s v="COD"/>
    <x v="0"/>
    <n v="2249.1"/>
  </r>
  <r>
    <s v="ORD02326"/>
    <d v="2026-05-27T00:00:00"/>
    <s v="C1223"/>
    <s v="Headphones"/>
    <x v="0"/>
    <n v="1"/>
    <n v="499"/>
    <n v="0.05"/>
    <s v="Central"/>
    <s v="Credit Card"/>
    <x v="1"/>
    <n v="998"/>
  </r>
  <r>
    <s v="ORD02327"/>
    <d v="2026-01-08T00:00:00"/>
    <s v="C1145"/>
    <s v="Headphones"/>
    <x v="0"/>
    <n v="2"/>
    <n v="499"/>
    <n v="0"/>
    <s v="West"/>
    <s v="Net Banking"/>
    <x v="0"/>
    <n v="474.04999999999995"/>
  </r>
  <r>
    <s v="ORD02328"/>
    <d v="2026-06-11T00:00:00"/>
    <s v="C1366"/>
    <s v="Power Bank"/>
    <x v="3"/>
    <n v="4"/>
    <n v="2499"/>
    <n v="0.15"/>
    <s v="Central"/>
    <s v="Credit Card"/>
    <x v="0"/>
    <n v="998"/>
  </r>
  <r>
    <s v="ORD02329"/>
    <d v="2026-09-05T00:00:00"/>
    <s v="C1224"/>
    <s v="USB-C Hub"/>
    <x v="2"/>
    <n v="2"/>
    <n v="1499"/>
    <n v="0.05"/>
    <s v="North"/>
    <s v="Net Banking"/>
    <x v="2"/>
    <n v="8496.6"/>
  </r>
  <r>
    <s v="ORD02330"/>
    <d v="2026-02-21T00:00:00"/>
    <s v="C1498"/>
    <s v="Monitor"/>
    <x v="0"/>
    <n v="3"/>
    <n v="999"/>
    <n v="0.15"/>
    <s v="South"/>
    <s v="COD"/>
    <x v="1"/>
    <n v="2848.1"/>
  </r>
  <r>
    <s v="ORD02331"/>
    <d v="2026-03-17T00:00:00"/>
    <s v="C1746"/>
    <s v="USB-C Hub"/>
    <x v="1"/>
    <n v="3"/>
    <n v="1499"/>
    <n v="0.05"/>
    <s v="South"/>
    <s v="UPI"/>
    <x v="1"/>
    <n v="2547.4499999999998"/>
  </r>
  <r>
    <s v="ORD02332"/>
    <d v="2026-05-12T00:00:00"/>
    <s v="C1398"/>
    <s v="Bluetooth Speaker"/>
    <x v="2"/>
    <n v="5"/>
    <n v="1299"/>
    <n v="0"/>
    <s v="East"/>
    <s v="Debit Card"/>
    <x v="1"/>
    <n v="4272.1499999999996"/>
  </r>
  <r>
    <s v="ORD02333"/>
    <d v="2026-01-27T00:00:00"/>
    <s v="C1286"/>
    <s v="Headphones"/>
    <x v="3"/>
    <n v="5"/>
    <n v="1299"/>
    <n v="0.15"/>
    <s v="Central"/>
    <s v="UPI"/>
    <x v="2"/>
    <n v="6495"/>
  </r>
  <r>
    <s v="ORD02334"/>
    <d v="2026-07-26T00:00:00"/>
    <s v="C1562"/>
    <s v="Mechanical Keyboard"/>
    <x v="4"/>
    <n v="5"/>
    <n v="1299"/>
    <n v="0"/>
    <s v="East"/>
    <s v="Credit Card"/>
    <x v="0"/>
    <n v="5520.75"/>
  </r>
  <r>
    <s v="ORD02335"/>
    <d v="2026-09-13T00:00:00"/>
    <s v="C1097"/>
    <s v="Mechanical Keyboard"/>
    <x v="0"/>
    <n v="4"/>
    <n v="999"/>
    <n v="0.05"/>
    <s v="East"/>
    <s v="COD"/>
    <x v="1"/>
    <n v="6495"/>
  </r>
  <r>
    <s v="ORD02336"/>
    <d v="2026-09-20T00:00:00"/>
    <s v="C1457"/>
    <s v="Power Bank"/>
    <x v="4"/>
    <n v="5"/>
    <n v="499"/>
    <n v="0"/>
    <s v="South"/>
    <s v="COD"/>
    <x v="0"/>
    <n v="3796.2"/>
  </r>
  <r>
    <s v="ORD02337"/>
    <d v="2026-06-30T00:00:00"/>
    <s v="C1146"/>
    <s v="Headphones"/>
    <x v="4"/>
    <n v="4"/>
    <n v="2499"/>
    <n v="0"/>
    <s v="East"/>
    <s v="COD"/>
    <x v="0"/>
    <n v="2495"/>
  </r>
  <r>
    <s v="ORD02338"/>
    <d v="2026-07-23T00:00:00"/>
    <s v="C1323"/>
    <s v="Keyboard"/>
    <x v="1"/>
    <n v="4"/>
    <n v="1499"/>
    <n v="0.15"/>
    <s v="North"/>
    <s v="Debit Card"/>
    <x v="0"/>
    <n v="9996"/>
  </r>
  <r>
    <s v="ORD02339"/>
    <d v="2026-06-25T00:00:00"/>
    <s v="C1423"/>
    <s v="Wireless Mouse"/>
    <x v="3"/>
    <n v="3"/>
    <n v="599"/>
    <n v="0.05"/>
    <s v="West"/>
    <s v="COD"/>
    <x v="2"/>
    <n v="5096.5999999999995"/>
  </r>
  <r>
    <s v="ORD02340"/>
    <d v="2026-02-24T00:00:00"/>
    <s v="C1664"/>
    <s v="Webcam"/>
    <x v="2"/>
    <n v="3"/>
    <n v="1299"/>
    <n v="0"/>
    <s v="North"/>
    <s v="UPI"/>
    <x v="2"/>
    <n v="1707.1499999999999"/>
  </r>
  <r>
    <s v="ORD02341"/>
    <d v="2026-05-20T00:00:00"/>
    <s v="C1684"/>
    <s v="Power Bank"/>
    <x v="1"/>
    <n v="5"/>
    <n v="7999"/>
    <n v="0"/>
    <s v="South"/>
    <s v="COD"/>
    <x v="0"/>
    <n v="3897"/>
  </r>
  <r>
    <s v="ORD02342"/>
    <d v="2026-05-29T00:00:00"/>
    <s v="C1656"/>
    <s v="USB-C Hub"/>
    <x v="2"/>
    <n v="2"/>
    <n v="599"/>
    <n v="0.05"/>
    <s v="East"/>
    <s v="COD"/>
    <x v="1"/>
    <n v="39995"/>
  </r>
  <r>
    <s v="ORD02343"/>
    <d v="2026-09-26T00:00:00"/>
    <s v="C1702"/>
    <s v="Keyboard"/>
    <x v="2"/>
    <n v="1"/>
    <n v="499"/>
    <n v="0"/>
    <s v="South"/>
    <s v="UPI"/>
    <x v="0"/>
    <n v="1138.0999999999999"/>
  </r>
  <r>
    <s v="ORD02344"/>
    <d v="2026-05-13T00:00:00"/>
    <s v="C1018"/>
    <s v="Keyboard"/>
    <x v="2"/>
    <n v="1"/>
    <n v="4999"/>
    <n v="0.1"/>
    <s v="South"/>
    <s v="COD"/>
    <x v="0"/>
    <n v="499"/>
  </r>
  <r>
    <s v="ORD02345"/>
    <d v="2026-05-02T00:00:00"/>
    <s v="C1257"/>
    <s v="Headphones"/>
    <x v="4"/>
    <n v="1"/>
    <n v="2499"/>
    <n v="0"/>
    <s v="North"/>
    <s v="COD"/>
    <x v="0"/>
    <n v="4499.1000000000004"/>
  </r>
  <r>
    <s v="ORD02346"/>
    <d v="2026-03-07T00:00:00"/>
    <s v="C1199"/>
    <s v="Keyboard"/>
    <x v="3"/>
    <n v="2"/>
    <n v="4999"/>
    <n v="0.05"/>
    <s v="South"/>
    <s v="Net Banking"/>
    <x v="0"/>
    <n v="2499"/>
  </r>
  <r>
    <s v="ORD02347"/>
    <d v="2026-03-12T00:00:00"/>
    <s v="C1636"/>
    <s v="Laptop Stand"/>
    <x v="0"/>
    <n v="5"/>
    <n v="499"/>
    <n v="0"/>
    <s v="East"/>
    <s v="UPI"/>
    <x v="0"/>
    <n v="9498.1"/>
  </r>
  <r>
    <s v="ORD02348"/>
    <d v="2026-01-10T00:00:00"/>
    <s v="C1682"/>
    <s v="Monitor"/>
    <x v="4"/>
    <n v="4"/>
    <n v="599"/>
    <n v="0.05"/>
    <s v="West"/>
    <s v="COD"/>
    <x v="1"/>
    <n v="2495"/>
  </r>
  <r>
    <s v="ORD02349"/>
    <d v="2026-03-12T00:00:00"/>
    <s v="C1003"/>
    <s v="Wireless Mouse"/>
    <x v="1"/>
    <n v="4"/>
    <n v="499"/>
    <n v="0.1"/>
    <s v="West"/>
    <s v="Debit Card"/>
    <x v="0"/>
    <n v="2276.1999999999998"/>
  </r>
  <r>
    <s v="ORD02350"/>
    <d v="2026-01-24T00:00:00"/>
    <s v="C1007"/>
    <s v="Webcam"/>
    <x v="1"/>
    <n v="2"/>
    <n v="1299"/>
    <n v="0"/>
    <s v="North"/>
    <s v="Credit Card"/>
    <x v="2"/>
    <n v="1796.4"/>
  </r>
  <r>
    <s v="ORD02351"/>
    <d v="2026-08-11T00:00:00"/>
    <s v="C1115"/>
    <s v="Bluetooth Speaker"/>
    <x v="4"/>
    <n v="2"/>
    <n v="1299"/>
    <n v="0"/>
    <s v="North"/>
    <s v="UPI"/>
    <x v="2"/>
    <n v="2598"/>
  </r>
  <r>
    <s v="ORD02352"/>
    <d v="2026-05-08T00:00:00"/>
    <s v="C1147"/>
    <s v="Power Bank"/>
    <x v="4"/>
    <n v="2"/>
    <n v="599"/>
    <n v="0.1"/>
    <s v="North"/>
    <s v="Credit Card"/>
    <x v="2"/>
    <n v="2598"/>
  </r>
  <r>
    <s v="ORD02353"/>
    <d v="2026-07-16T00:00:00"/>
    <s v="C1507"/>
    <s v="Bluetooth Speaker"/>
    <x v="1"/>
    <n v="1"/>
    <n v="999"/>
    <n v="0.05"/>
    <s v="East"/>
    <s v="Credit Card"/>
    <x v="1"/>
    <n v="1078.2"/>
  </r>
  <r>
    <s v="ORD02354"/>
    <d v="2026-06-19T00:00:00"/>
    <s v="C1743"/>
    <s v="Headphones"/>
    <x v="2"/>
    <n v="3"/>
    <n v="7999"/>
    <n v="0"/>
    <s v="North"/>
    <s v="COD"/>
    <x v="1"/>
    <n v="949.05"/>
  </r>
  <r>
    <s v="ORD02355"/>
    <d v="2026-03-16T00:00:00"/>
    <s v="C1003"/>
    <s v="USB-C Hub"/>
    <x v="0"/>
    <n v="3"/>
    <n v="599"/>
    <n v="0.05"/>
    <s v="North"/>
    <s v="Debit Card"/>
    <x v="0"/>
    <n v="23997"/>
  </r>
  <r>
    <s v="ORD02356"/>
    <d v="2026-06-07T00:00:00"/>
    <s v="C1411"/>
    <s v="Monitor"/>
    <x v="4"/>
    <n v="1"/>
    <n v="2499"/>
    <n v="0.15"/>
    <s v="South"/>
    <s v="Net Banking"/>
    <x v="0"/>
    <n v="1707.1499999999999"/>
  </r>
  <r>
    <s v="ORD02357"/>
    <d v="2026-03-01T00:00:00"/>
    <s v="C1204"/>
    <s v="Keyboard"/>
    <x v="0"/>
    <n v="5"/>
    <n v="999"/>
    <n v="0"/>
    <s v="Central"/>
    <s v="Net Banking"/>
    <x v="2"/>
    <n v="2124.15"/>
  </r>
  <r>
    <s v="ORD02358"/>
    <d v="2026-02-09T00:00:00"/>
    <s v="C1315"/>
    <s v="Laptop Stand"/>
    <x v="3"/>
    <n v="3"/>
    <n v="999"/>
    <n v="0"/>
    <s v="South"/>
    <s v="UPI"/>
    <x v="0"/>
    <n v="4995"/>
  </r>
  <r>
    <s v="ORD02359"/>
    <d v="2026-04-30T00:00:00"/>
    <s v="C1548"/>
    <s v="Wireless Mouse"/>
    <x v="1"/>
    <n v="5"/>
    <n v="1299"/>
    <n v="0.05"/>
    <s v="East"/>
    <s v="Net Banking"/>
    <x v="0"/>
    <n v="2997"/>
  </r>
  <r>
    <s v="ORD02360"/>
    <d v="2026-08-20T00:00:00"/>
    <s v="C1406"/>
    <s v="Wireless Mouse"/>
    <x v="2"/>
    <n v="1"/>
    <n v="1499"/>
    <n v="0"/>
    <s v="North"/>
    <s v="COD"/>
    <x v="1"/>
    <n v="6170.25"/>
  </r>
  <r>
    <s v="ORD02361"/>
    <d v="2026-01-16T00:00:00"/>
    <s v="C1637"/>
    <s v="Bluetooth Speaker"/>
    <x v="2"/>
    <n v="4"/>
    <n v="599"/>
    <n v="0"/>
    <s v="North"/>
    <s v="Credit Card"/>
    <x v="0"/>
    <n v="1499"/>
  </r>
  <r>
    <s v="ORD02362"/>
    <d v="2026-04-26T00:00:00"/>
    <s v="C1387"/>
    <s v="Laptop Stand"/>
    <x v="3"/>
    <n v="5"/>
    <n v="1499"/>
    <n v="0"/>
    <s v="South"/>
    <s v="Credit Card"/>
    <x v="0"/>
    <n v="2396"/>
  </r>
  <r>
    <s v="ORD02363"/>
    <d v="2026-04-21T00:00:00"/>
    <s v="C1606"/>
    <s v="Monitor"/>
    <x v="1"/>
    <n v="3"/>
    <n v="4999"/>
    <n v="0"/>
    <s v="West"/>
    <s v="Debit Card"/>
    <x v="1"/>
    <n v="7495"/>
  </r>
  <r>
    <s v="ORD02364"/>
    <d v="2026-08-26T00:00:00"/>
    <s v="C1355"/>
    <s v="Wireless Mouse"/>
    <x v="4"/>
    <n v="2"/>
    <n v="999"/>
    <n v="0.15"/>
    <s v="Central"/>
    <s v="Credit Card"/>
    <x v="0"/>
    <n v="14997"/>
  </r>
  <r>
    <s v="ORD02365"/>
    <d v="2026-08-28T00:00:00"/>
    <s v="C1569"/>
    <s v="Laptop Stand"/>
    <x v="0"/>
    <n v="3"/>
    <n v="1999"/>
    <n v="0"/>
    <s v="South"/>
    <s v="COD"/>
    <x v="0"/>
    <n v="1698.3"/>
  </r>
  <r>
    <s v="ORD02366"/>
    <d v="2026-03-01T00:00:00"/>
    <s v="C1680"/>
    <s v="Wireless Mouse"/>
    <x v="1"/>
    <n v="3"/>
    <n v="499"/>
    <n v="0.1"/>
    <s v="West"/>
    <s v="Credit Card"/>
    <x v="2"/>
    <n v="5997"/>
  </r>
  <r>
    <s v="ORD02367"/>
    <d v="2026-02-13T00:00:00"/>
    <s v="C1497"/>
    <s v="Headphones"/>
    <x v="0"/>
    <n v="3"/>
    <n v="4999"/>
    <n v="0.15"/>
    <s v="Central"/>
    <s v="Debit Card"/>
    <x v="0"/>
    <n v="1347.3"/>
  </r>
  <r>
    <s v="ORD02368"/>
    <d v="2026-09-21T00:00:00"/>
    <s v="C1507"/>
    <s v="Laptop Stand"/>
    <x v="1"/>
    <n v="1"/>
    <n v="599"/>
    <n v="0"/>
    <s v="South"/>
    <s v="Credit Card"/>
    <x v="1"/>
    <n v="12747.449999999999"/>
  </r>
  <r>
    <s v="ORD02369"/>
    <d v="2026-09-12T00:00:00"/>
    <s v="C1072"/>
    <s v="Power Bank"/>
    <x v="1"/>
    <n v="2"/>
    <n v="1299"/>
    <n v="0"/>
    <s v="East"/>
    <s v="UPI"/>
    <x v="1"/>
    <n v="599"/>
  </r>
  <r>
    <s v="ORD02370"/>
    <d v="2026-07-25T00:00:00"/>
    <s v="C1192"/>
    <s v="Headphones"/>
    <x v="1"/>
    <n v="4"/>
    <n v="999"/>
    <n v="0"/>
    <s v="West"/>
    <s v="Net Banking"/>
    <x v="0"/>
    <n v="2598"/>
  </r>
  <r>
    <s v="ORD02371"/>
    <d v="2026-08-17T00:00:00"/>
    <s v="C1702"/>
    <s v="Mechanical Keyboard"/>
    <x v="2"/>
    <n v="2"/>
    <n v="1999"/>
    <n v="0.05"/>
    <s v="South"/>
    <s v="Debit Card"/>
    <x v="0"/>
    <n v="3996"/>
  </r>
  <r>
    <s v="ORD02372"/>
    <d v="2026-04-30T00:00:00"/>
    <s v="C1297"/>
    <s v="Laptop Stand"/>
    <x v="3"/>
    <n v="4"/>
    <n v="799"/>
    <n v="0.1"/>
    <s v="Central"/>
    <s v="Debit Card"/>
    <x v="2"/>
    <n v="3798.1"/>
  </r>
  <r>
    <s v="ORD02373"/>
    <d v="2026-01-08T00:00:00"/>
    <s v="C1149"/>
    <s v="Keyboard"/>
    <x v="3"/>
    <n v="3"/>
    <n v="799"/>
    <n v="0"/>
    <s v="North"/>
    <s v="COD"/>
    <x v="0"/>
    <n v="2876.4"/>
  </r>
  <r>
    <s v="ORD02374"/>
    <d v="2026-08-03T00:00:00"/>
    <s v="C1800"/>
    <s v="Mechanical Keyboard"/>
    <x v="2"/>
    <n v="3"/>
    <n v="1299"/>
    <n v="0.15"/>
    <s v="Central"/>
    <s v="Credit Card"/>
    <x v="2"/>
    <n v="2397"/>
  </r>
  <r>
    <s v="ORD02375"/>
    <d v="2026-07-29T00:00:00"/>
    <s v="C1169"/>
    <s v="Headphones"/>
    <x v="3"/>
    <n v="4"/>
    <n v="599"/>
    <n v="0"/>
    <s v="West"/>
    <s v="Debit Card"/>
    <x v="1"/>
    <n v="3312.45"/>
  </r>
  <r>
    <s v="ORD02376"/>
    <d v="2026-08-01T00:00:00"/>
    <s v="C1008"/>
    <s v="Laptop Stand"/>
    <x v="0"/>
    <n v="1"/>
    <n v="4999"/>
    <n v="0.15"/>
    <s v="West"/>
    <s v="COD"/>
    <x v="0"/>
    <n v="2396"/>
  </r>
  <r>
    <s v="ORD02377"/>
    <d v="2026-05-28T00:00:00"/>
    <s v="C1743"/>
    <s v="Wireless Mouse"/>
    <x v="0"/>
    <n v="1"/>
    <n v="1299"/>
    <n v="0"/>
    <s v="Central"/>
    <s v="Debit Card"/>
    <x v="0"/>
    <n v="4249.1499999999996"/>
  </r>
  <r>
    <s v="ORD02378"/>
    <d v="2026-04-30T00:00:00"/>
    <s v="C1537"/>
    <s v="Headphones"/>
    <x v="2"/>
    <n v="4"/>
    <n v="499"/>
    <n v="0.05"/>
    <s v="West"/>
    <s v="Debit Card"/>
    <x v="2"/>
    <n v="1299"/>
  </r>
  <r>
    <s v="ORD02379"/>
    <d v="2026-05-23T00:00:00"/>
    <s v="C1487"/>
    <s v="Mechanical Keyboard"/>
    <x v="0"/>
    <n v="4"/>
    <n v="799"/>
    <n v="0.15"/>
    <s v="North"/>
    <s v="Net Banking"/>
    <x v="2"/>
    <n v="1896.1999999999998"/>
  </r>
  <r>
    <s v="ORD02380"/>
    <d v="2026-02-05T00:00:00"/>
    <s v="C1447"/>
    <s v="Webcam"/>
    <x v="3"/>
    <n v="2"/>
    <n v="2499"/>
    <n v="0.1"/>
    <s v="East"/>
    <s v="Net Banking"/>
    <x v="2"/>
    <n v="2716.6"/>
  </r>
  <r>
    <s v="ORD02381"/>
    <d v="2026-08-15T00:00:00"/>
    <s v="C1079"/>
    <s v="Wireless Mouse"/>
    <x v="1"/>
    <n v="5"/>
    <n v="1299"/>
    <n v="0.15"/>
    <s v="North"/>
    <s v="Debit Card"/>
    <x v="2"/>
    <n v="4498.2"/>
  </r>
  <r>
    <s v="ORD02382"/>
    <d v="2026-06-20T00:00:00"/>
    <s v="C1727"/>
    <s v="Laptop Stand"/>
    <x v="0"/>
    <n v="1"/>
    <n v="799"/>
    <n v="0.1"/>
    <s v="North"/>
    <s v="UPI"/>
    <x v="1"/>
    <n v="5520.75"/>
  </r>
  <r>
    <s v="ORD02383"/>
    <d v="2026-07-02T00:00:00"/>
    <s v="C1667"/>
    <s v="Headphones"/>
    <x v="2"/>
    <n v="3"/>
    <n v="1499"/>
    <n v="0.15"/>
    <s v="West"/>
    <s v="COD"/>
    <x v="0"/>
    <n v="719.1"/>
  </r>
  <r>
    <s v="ORD02384"/>
    <d v="2026-01-22T00:00:00"/>
    <s v="C1417"/>
    <s v="Headphones"/>
    <x v="1"/>
    <n v="3"/>
    <n v="999"/>
    <n v="0"/>
    <s v="South"/>
    <s v="Credit Card"/>
    <x v="2"/>
    <n v="3822.45"/>
  </r>
  <r>
    <s v="ORD02385"/>
    <d v="2026-01-20T00:00:00"/>
    <s v="C1111"/>
    <s v="Wireless Mouse"/>
    <x v="3"/>
    <n v="5"/>
    <n v="7999"/>
    <n v="0.05"/>
    <s v="West"/>
    <s v="Debit Card"/>
    <x v="0"/>
    <n v="2997"/>
  </r>
  <r>
    <s v="ORD02386"/>
    <d v="2026-05-18T00:00:00"/>
    <s v="C1123"/>
    <s v="USB-C Hub"/>
    <x v="0"/>
    <n v="2"/>
    <n v="2499"/>
    <n v="0"/>
    <s v="East"/>
    <s v="COD"/>
    <x v="0"/>
    <n v="37995.25"/>
  </r>
  <r>
    <s v="ORD02387"/>
    <d v="2026-07-09T00:00:00"/>
    <s v="C1062"/>
    <s v="Mechanical Keyboard"/>
    <x v="3"/>
    <n v="2"/>
    <n v="4999"/>
    <n v="0.15"/>
    <s v="Central"/>
    <s v="COD"/>
    <x v="0"/>
    <n v="4998"/>
  </r>
  <r>
    <s v="ORD02388"/>
    <d v="2026-02-20T00:00:00"/>
    <s v="C1521"/>
    <s v="Monitor"/>
    <x v="3"/>
    <n v="4"/>
    <n v="7999"/>
    <n v="0.05"/>
    <s v="North"/>
    <s v="COD"/>
    <x v="0"/>
    <n v="8498.2999999999993"/>
  </r>
  <r>
    <s v="ORD02389"/>
    <d v="2026-02-27T00:00:00"/>
    <s v="C1589"/>
    <s v="Keyboard"/>
    <x v="1"/>
    <n v="1"/>
    <n v="2499"/>
    <n v="0"/>
    <s v="West"/>
    <s v="Debit Card"/>
    <x v="1"/>
    <n v="30396.199999999997"/>
  </r>
  <r>
    <s v="ORD02390"/>
    <d v="2026-06-21T00:00:00"/>
    <s v="C1763"/>
    <s v="Webcam"/>
    <x v="2"/>
    <n v="3"/>
    <n v="799"/>
    <n v="0"/>
    <s v="South"/>
    <s v="Debit Card"/>
    <x v="0"/>
    <n v="2499"/>
  </r>
  <r>
    <s v="ORD02391"/>
    <d v="2026-04-25T00:00:00"/>
    <s v="C1052"/>
    <s v="Monitor"/>
    <x v="4"/>
    <n v="4"/>
    <n v="7999"/>
    <n v="0.15"/>
    <s v="Central"/>
    <s v="Credit Card"/>
    <x v="1"/>
    <n v="2397"/>
  </r>
  <r>
    <s v="ORD02392"/>
    <d v="2026-06-13T00:00:00"/>
    <s v="C1328"/>
    <s v="Wireless Mouse"/>
    <x v="1"/>
    <n v="3"/>
    <n v="4999"/>
    <n v="0.1"/>
    <s v="Central"/>
    <s v="COD"/>
    <x v="2"/>
    <n v="27196.6"/>
  </r>
  <r>
    <s v="ORD02393"/>
    <d v="2026-07-09T00:00:00"/>
    <s v="C1631"/>
    <s v="Bluetooth Speaker"/>
    <x v="2"/>
    <n v="5"/>
    <n v="2499"/>
    <n v="0.15"/>
    <s v="Central"/>
    <s v="COD"/>
    <x v="0"/>
    <n v="13497.300000000001"/>
  </r>
  <r>
    <s v="ORD02394"/>
    <d v="2026-08-16T00:00:00"/>
    <s v="C1045"/>
    <s v="Bluetooth Speaker"/>
    <x v="3"/>
    <n v="2"/>
    <n v="7999"/>
    <n v="0.15"/>
    <s v="Central"/>
    <s v="Credit Card"/>
    <x v="2"/>
    <n v="10620.75"/>
  </r>
  <r>
    <s v="ORD02395"/>
    <d v="2026-03-08T00:00:00"/>
    <s v="C1651"/>
    <s v="Mechanical Keyboard"/>
    <x v="1"/>
    <n v="2"/>
    <n v="1299"/>
    <n v="0.15"/>
    <s v="Central"/>
    <s v="Credit Card"/>
    <x v="0"/>
    <n v="13598.3"/>
  </r>
  <r>
    <s v="ORD02396"/>
    <d v="2026-02-19T00:00:00"/>
    <s v="C1415"/>
    <s v="Wireless Mouse"/>
    <x v="4"/>
    <n v="3"/>
    <n v="999"/>
    <n v="0"/>
    <s v="East"/>
    <s v="UPI"/>
    <x v="1"/>
    <n v="2208.2999999999997"/>
  </r>
  <r>
    <s v="ORD02397"/>
    <d v="2026-04-22T00:00:00"/>
    <s v="C1756"/>
    <s v="Keyboard"/>
    <x v="1"/>
    <n v="3"/>
    <n v="4999"/>
    <n v="0"/>
    <s v="North"/>
    <s v="Credit Card"/>
    <x v="1"/>
    <n v="2997"/>
  </r>
  <r>
    <s v="ORD02398"/>
    <d v="2026-08-04T00:00:00"/>
    <s v="C1022"/>
    <s v="Mechanical Keyboard"/>
    <x v="0"/>
    <n v="3"/>
    <n v="7999"/>
    <n v="0.05"/>
    <s v="East"/>
    <s v="COD"/>
    <x v="0"/>
    <n v="14997"/>
  </r>
  <r>
    <s v="ORD02399"/>
    <d v="2026-03-21T00:00:00"/>
    <s v="C1311"/>
    <s v="Webcam"/>
    <x v="3"/>
    <n v="5"/>
    <n v="1299"/>
    <n v="0"/>
    <s v="North"/>
    <s v="Net Banking"/>
    <x v="1"/>
    <n v="22797.149999999998"/>
  </r>
  <r>
    <s v="ORD02400"/>
    <d v="2026-03-22T00:00:00"/>
    <s v="C1441"/>
    <s v="Power Bank"/>
    <x v="3"/>
    <n v="3"/>
    <n v="1499"/>
    <n v="0"/>
    <s v="North"/>
    <s v="UPI"/>
    <x v="0"/>
    <n v="6495"/>
  </r>
  <r>
    <s v="ORD02401"/>
    <d v="2026-09-13T00:00:00"/>
    <s v="C1484"/>
    <s v="USB-C Hub"/>
    <x v="4"/>
    <n v="2"/>
    <n v="1299"/>
    <n v="0"/>
    <s v="East"/>
    <s v="Net Banking"/>
    <x v="2"/>
    <n v="4497"/>
  </r>
  <r>
    <s v="ORD02402"/>
    <d v="2026-09-09T00:00:00"/>
    <s v="C1497"/>
    <s v="Mechanical Keyboard"/>
    <x v="0"/>
    <n v="5"/>
    <n v="1499"/>
    <n v="0"/>
    <s v="South"/>
    <s v="COD"/>
    <x v="2"/>
    <n v="2598"/>
  </r>
  <r>
    <s v="ORD02403"/>
    <d v="2026-01-26T00:00:00"/>
    <s v="C1546"/>
    <s v="Webcam"/>
    <x v="1"/>
    <n v="5"/>
    <n v="599"/>
    <n v="0.15"/>
    <s v="South"/>
    <s v="Debit Card"/>
    <x v="0"/>
    <n v="7495"/>
  </r>
  <r>
    <s v="ORD02404"/>
    <d v="2026-09-09T00:00:00"/>
    <s v="C1547"/>
    <s v="Headphones"/>
    <x v="3"/>
    <n v="4"/>
    <n v="1499"/>
    <n v="0.05"/>
    <s v="South"/>
    <s v="Debit Card"/>
    <x v="0"/>
    <n v="2545.75"/>
  </r>
  <r>
    <s v="ORD02405"/>
    <d v="2026-02-27T00:00:00"/>
    <s v="C1063"/>
    <s v="USB-C Hub"/>
    <x v="2"/>
    <n v="2"/>
    <n v="4999"/>
    <n v="0.05"/>
    <s v="Central"/>
    <s v="Net Banking"/>
    <x v="2"/>
    <n v="5696.2"/>
  </r>
  <r>
    <s v="ORD02406"/>
    <d v="2026-03-28T00:00:00"/>
    <s v="C1345"/>
    <s v="Mechanical Keyboard"/>
    <x v="2"/>
    <n v="1"/>
    <n v="1999"/>
    <n v="0.15"/>
    <s v="West"/>
    <s v="COD"/>
    <x v="2"/>
    <n v="9498.1"/>
  </r>
  <r>
    <s v="ORD02407"/>
    <d v="2026-03-12T00:00:00"/>
    <s v="C1648"/>
    <s v="Bluetooth Speaker"/>
    <x v="0"/>
    <n v="3"/>
    <n v="799"/>
    <n v="0"/>
    <s v="Central"/>
    <s v="Credit Card"/>
    <x v="0"/>
    <n v="1699.1499999999999"/>
  </r>
  <r>
    <s v="ORD02408"/>
    <d v="2026-01-22T00:00:00"/>
    <s v="C1551"/>
    <s v="Laptop Stand"/>
    <x v="3"/>
    <n v="1"/>
    <n v="2499"/>
    <n v="0.1"/>
    <s v="South"/>
    <s v="UPI"/>
    <x v="0"/>
    <n v="2397"/>
  </r>
  <r>
    <s v="ORD02409"/>
    <d v="2026-09-28T00:00:00"/>
    <s v="C1453"/>
    <s v="Bluetooth Speaker"/>
    <x v="1"/>
    <n v="4"/>
    <n v="7999"/>
    <n v="0.1"/>
    <s v="Central"/>
    <s v="Debit Card"/>
    <x v="0"/>
    <n v="2249.1"/>
  </r>
  <r>
    <s v="ORD02410"/>
    <d v="2026-03-11T00:00:00"/>
    <s v="C1329"/>
    <s v="USB-C Hub"/>
    <x v="2"/>
    <n v="5"/>
    <n v="499"/>
    <n v="0.15"/>
    <s v="East"/>
    <s v="Net Banking"/>
    <x v="1"/>
    <n v="28796.400000000001"/>
  </r>
  <r>
    <s v="ORD02411"/>
    <d v="2026-07-11T00:00:00"/>
    <s v="C1673"/>
    <s v="Laptop Stand"/>
    <x v="2"/>
    <n v="1"/>
    <n v="599"/>
    <n v="0.05"/>
    <s v="Central"/>
    <s v="UPI"/>
    <x v="1"/>
    <n v="2120.75"/>
  </r>
  <r>
    <s v="ORD02412"/>
    <d v="2026-03-11T00:00:00"/>
    <s v="C1167"/>
    <s v="Power Bank"/>
    <x v="4"/>
    <n v="4"/>
    <n v="999"/>
    <n v="0.1"/>
    <s v="West"/>
    <s v="Net Banking"/>
    <x v="1"/>
    <n v="569.04999999999995"/>
  </r>
  <r>
    <s v="ORD02413"/>
    <d v="2026-06-27T00:00:00"/>
    <s v="C1647"/>
    <s v="Mechanical Keyboard"/>
    <x v="3"/>
    <n v="4"/>
    <n v="799"/>
    <n v="0"/>
    <s v="East"/>
    <s v="Debit Card"/>
    <x v="0"/>
    <n v="3596.4"/>
  </r>
  <r>
    <s v="ORD02414"/>
    <d v="2026-01-24T00:00:00"/>
    <s v="C1510"/>
    <s v="Power Bank"/>
    <x v="1"/>
    <n v="4"/>
    <n v="7999"/>
    <n v="0"/>
    <s v="South"/>
    <s v="UPI"/>
    <x v="0"/>
    <n v="3196"/>
  </r>
  <r>
    <s v="ORD02415"/>
    <d v="2026-06-19T00:00:00"/>
    <s v="C1704"/>
    <s v="Webcam"/>
    <x v="1"/>
    <n v="2"/>
    <n v="7999"/>
    <n v="0"/>
    <s v="West"/>
    <s v="Net Banking"/>
    <x v="0"/>
    <n v="31996"/>
  </r>
  <r>
    <s v="ORD02416"/>
    <d v="2026-07-26T00:00:00"/>
    <s v="C1498"/>
    <s v="Headphones"/>
    <x v="1"/>
    <n v="4"/>
    <n v="999"/>
    <n v="0.1"/>
    <s v="North"/>
    <s v="Net Banking"/>
    <x v="2"/>
    <n v="15998"/>
  </r>
  <r>
    <s v="ORD02417"/>
    <d v="2026-05-30T00:00:00"/>
    <s v="C1564"/>
    <s v="USB-C Hub"/>
    <x v="1"/>
    <n v="2"/>
    <n v="999"/>
    <n v="0.15"/>
    <s v="East"/>
    <s v="Net Banking"/>
    <x v="2"/>
    <n v="3596.4"/>
  </r>
  <r>
    <s v="ORD02418"/>
    <d v="2026-09-06T00:00:00"/>
    <s v="C1176"/>
    <s v="Mechanical Keyboard"/>
    <x v="4"/>
    <n v="5"/>
    <n v="1299"/>
    <n v="0"/>
    <s v="North"/>
    <s v="Net Banking"/>
    <x v="2"/>
    <n v="1698.3"/>
  </r>
  <r>
    <s v="ORD02419"/>
    <d v="2026-01-15T00:00:00"/>
    <s v="C1264"/>
    <s v="Bluetooth Speaker"/>
    <x v="0"/>
    <n v="4"/>
    <n v="799"/>
    <n v="0.15"/>
    <s v="East"/>
    <s v="Net Banking"/>
    <x v="0"/>
    <n v="6495"/>
  </r>
  <r>
    <s v="ORD02420"/>
    <d v="2026-09-14T00:00:00"/>
    <s v="C1320"/>
    <s v="Wireless Mouse"/>
    <x v="4"/>
    <n v="1"/>
    <n v="4999"/>
    <n v="0"/>
    <s v="South"/>
    <s v="Credit Card"/>
    <x v="0"/>
    <n v="2716.6"/>
  </r>
  <r>
    <s v="ORD02421"/>
    <d v="2026-01-18T00:00:00"/>
    <s v="C1603"/>
    <s v="Mechanical Keyboard"/>
    <x v="3"/>
    <n v="5"/>
    <n v="599"/>
    <n v="0"/>
    <s v="South"/>
    <s v="UPI"/>
    <x v="1"/>
    <n v="4999"/>
  </r>
  <r>
    <s v="ORD02422"/>
    <d v="2026-04-19T00:00:00"/>
    <s v="C1108"/>
    <s v="Monitor"/>
    <x v="3"/>
    <n v="5"/>
    <n v="999"/>
    <n v="0.1"/>
    <s v="East"/>
    <s v="Debit Card"/>
    <x v="1"/>
    <n v="2995"/>
  </r>
  <r>
    <s v="ORD02423"/>
    <d v="2026-03-22T00:00:00"/>
    <s v="C1036"/>
    <s v="Mechanical Keyboard"/>
    <x v="0"/>
    <n v="1"/>
    <n v="1499"/>
    <n v="0.1"/>
    <s v="East"/>
    <s v="Credit Card"/>
    <x v="0"/>
    <n v="4495.5"/>
  </r>
  <r>
    <s v="ORD02424"/>
    <d v="2026-02-13T00:00:00"/>
    <s v="C1154"/>
    <s v="Mechanical Keyboard"/>
    <x v="3"/>
    <n v="2"/>
    <n v="999"/>
    <n v="0.05"/>
    <s v="North"/>
    <s v="UPI"/>
    <x v="0"/>
    <n v="1349.1000000000001"/>
  </r>
  <r>
    <s v="ORD02425"/>
    <d v="2026-07-12T00:00:00"/>
    <s v="C1351"/>
    <s v="Monitor"/>
    <x v="3"/>
    <n v="3"/>
    <n v="2499"/>
    <n v="0"/>
    <s v="West"/>
    <s v="UPI"/>
    <x v="2"/>
    <n v="1898.1"/>
  </r>
  <r>
    <s v="ORD02426"/>
    <d v="2026-07-26T00:00:00"/>
    <s v="C1797"/>
    <s v="Power Bank"/>
    <x v="4"/>
    <n v="5"/>
    <n v="499"/>
    <n v="0"/>
    <s v="North"/>
    <s v="COD"/>
    <x v="0"/>
    <n v="7497"/>
  </r>
  <r>
    <s v="ORD02427"/>
    <d v="2026-09-05T00:00:00"/>
    <s v="C1273"/>
    <s v="Headphones"/>
    <x v="0"/>
    <n v="4"/>
    <n v="1999"/>
    <n v="0.05"/>
    <s v="South"/>
    <s v="UPI"/>
    <x v="0"/>
    <n v="2495"/>
  </r>
  <r>
    <s v="ORD02428"/>
    <d v="2026-06-04T00:00:00"/>
    <s v="C1729"/>
    <s v="Power Bank"/>
    <x v="1"/>
    <n v="3"/>
    <n v="599"/>
    <n v="0"/>
    <s v="East"/>
    <s v="COD"/>
    <x v="0"/>
    <n v="7596.2"/>
  </r>
  <r>
    <s v="ORD02429"/>
    <d v="2026-03-22T00:00:00"/>
    <s v="C1444"/>
    <s v="Mechanical Keyboard"/>
    <x v="2"/>
    <n v="3"/>
    <n v="999"/>
    <n v="0"/>
    <s v="Central"/>
    <s v="Debit Card"/>
    <x v="2"/>
    <n v="1797"/>
  </r>
  <r>
    <s v="ORD02430"/>
    <d v="2026-08-26T00:00:00"/>
    <s v="C1185"/>
    <s v="Mechanical Keyboard"/>
    <x v="3"/>
    <n v="1"/>
    <n v="799"/>
    <n v="0.05"/>
    <s v="Central"/>
    <s v="Credit Card"/>
    <x v="1"/>
    <n v="2997"/>
  </r>
  <r>
    <s v="ORD02431"/>
    <d v="2026-03-09T00:00:00"/>
    <s v="C1288"/>
    <s v="Mechanical Keyboard"/>
    <x v="0"/>
    <n v="2"/>
    <n v="1999"/>
    <n v="0.05"/>
    <s v="South"/>
    <s v="Debit Card"/>
    <x v="0"/>
    <n v="759.05"/>
  </r>
  <r>
    <s v="ORD02432"/>
    <d v="2026-01-16T00:00:00"/>
    <s v="C1527"/>
    <s v="USB-C Hub"/>
    <x v="3"/>
    <n v="1"/>
    <n v="599"/>
    <n v="0"/>
    <s v="North"/>
    <s v="COD"/>
    <x v="0"/>
    <n v="3798.1"/>
  </r>
  <r>
    <s v="ORD02433"/>
    <d v="2026-08-15T00:00:00"/>
    <s v="C1269"/>
    <s v="Mechanical Keyboard"/>
    <x v="2"/>
    <n v="3"/>
    <n v="999"/>
    <n v="0"/>
    <s v="West"/>
    <s v="Net Banking"/>
    <x v="1"/>
    <n v="599"/>
  </r>
  <r>
    <s v="ORD02434"/>
    <d v="2026-01-10T00:00:00"/>
    <s v="C1407"/>
    <s v="USB-C Hub"/>
    <x v="2"/>
    <n v="1"/>
    <n v="599"/>
    <n v="0"/>
    <s v="South"/>
    <s v="Net Banking"/>
    <x v="2"/>
    <n v="2997"/>
  </r>
  <r>
    <s v="ORD02435"/>
    <d v="2026-02-05T00:00:00"/>
    <s v="C1452"/>
    <s v="Webcam"/>
    <x v="2"/>
    <n v="4"/>
    <n v="599"/>
    <n v="0"/>
    <s v="South"/>
    <s v="COD"/>
    <x v="0"/>
    <n v="599"/>
  </r>
  <r>
    <s v="ORD02436"/>
    <d v="2026-05-19T00:00:00"/>
    <s v="C1644"/>
    <s v="Monitor"/>
    <x v="1"/>
    <n v="3"/>
    <n v="1999"/>
    <n v="0"/>
    <s v="Central"/>
    <s v="Net Banking"/>
    <x v="2"/>
    <n v="2396"/>
  </r>
  <r>
    <s v="ORD02437"/>
    <d v="2026-09-02T00:00:00"/>
    <s v="C1494"/>
    <s v="Keyboard"/>
    <x v="0"/>
    <n v="2"/>
    <n v="599"/>
    <n v="0"/>
    <s v="West"/>
    <s v="Net Banking"/>
    <x v="0"/>
    <n v="5997"/>
  </r>
  <r>
    <s v="ORD02438"/>
    <d v="2026-09-25T00:00:00"/>
    <s v="C1776"/>
    <s v="Bluetooth Speaker"/>
    <x v="4"/>
    <n v="1"/>
    <n v="599"/>
    <n v="0"/>
    <s v="West"/>
    <s v="COD"/>
    <x v="0"/>
    <n v="1198"/>
  </r>
  <r>
    <s v="ORD02439"/>
    <d v="2026-02-28T00:00:00"/>
    <s v="C1423"/>
    <s v="Monitor"/>
    <x v="4"/>
    <n v="1"/>
    <n v="999"/>
    <n v="0.1"/>
    <s v="East"/>
    <s v="Credit Card"/>
    <x v="0"/>
    <n v="599"/>
  </r>
  <r>
    <s v="ORD02440"/>
    <d v="2026-02-20T00:00:00"/>
    <s v="C1074"/>
    <s v="Webcam"/>
    <x v="0"/>
    <n v="1"/>
    <n v="7999"/>
    <n v="0.05"/>
    <s v="Central"/>
    <s v="Credit Card"/>
    <x v="1"/>
    <n v="899.1"/>
  </r>
  <r>
    <s v="ORD02441"/>
    <d v="2026-07-07T00:00:00"/>
    <s v="C1507"/>
    <s v="Laptop Stand"/>
    <x v="1"/>
    <n v="3"/>
    <n v="999"/>
    <n v="0"/>
    <s v="West"/>
    <s v="COD"/>
    <x v="0"/>
    <n v="7599.0499999999993"/>
  </r>
  <r>
    <s v="ORD02442"/>
    <d v="2026-01-21T00:00:00"/>
    <s v="C1001"/>
    <s v="Wireless Mouse"/>
    <x v="4"/>
    <n v="3"/>
    <n v="599"/>
    <n v="0"/>
    <s v="West"/>
    <s v="Credit Card"/>
    <x v="0"/>
    <n v="2997"/>
  </r>
  <r>
    <s v="ORD02443"/>
    <d v="2026-01-25T00:00:00"/>
    <s v="C1217"/>
    <s v="Keyboard"/>
    <x v="0"/>
    <n v="1"/>
    <n v="1299"/>
    <n v="0"/>
    <s v="East"/>
    <s v="Credit Card"/>
    <x v="0"/>
    <n v="1797"/>
  </r>
  <r>
    <s v="ORD02444"/>
    <d v="2026-01-26T00:00:00"/>
    <s v="C1253"/>
    <s v="Keyboard"/>
    <x v="3"/>
    <n v="3"/>
    <n v="1499"/>
    <n v="0.05"/>
    <s v="South"/>
    <s v="Net Banking"/>
    <x v="0"/>
    <n v="1299"/>
  </r>
  <r>
    <s v="ORD02445"/>
    <d v="2026-04-12T00:00:00"/>
    <s v="C1227"/>
    <s v="Wireless Mouse"/>
    <x v="0"/>
    <n v="5"/>
    <n v="1499"/>
    <n v="0.15"/>
    <s v="Central"/>
    <s v="Debit Card"/>
    <x v="0"/>
    <n v="4272.1499999999996"/>
  </r>
  <r>
    <s v="ORD02446"/>
    <d v="2026-02-04T00:00:00"/>
    <s v="C1641"/>
    <s v="Power Bank"/>
    <x v="2"/>
    <n v="1"/>
    <n v="499"/>
    <n v="0"/>
    <s v="West"/>
    <s v="COD"/>
    <x v="0"/>
    <n v="6370.75"/>
  </r>
  <r>
    <s v="ORD02447"/>
    <d v="2026-07-22T00:00:00"/>
    <s v="C1704"/>
    <s v="Monitor"/>
    <x v="2"/>
    <n v="4"/>
    <n v="799"/>
    <n v="0"/>
    <s v="East"/>
    <s v="COD"/>
    <x v="0"/>
    <n v="499"/>
  </r>
  <r>
    <s v="ORD02448"/>
    <d v="2026-02-09T00:00:00"/>
    <s v="C1121"/>
    <s v="Headphones"/>
    <x v="3"/>
    <n v="4"/>
    <n v="1299"/>
    <n v="0.15"/>
    <s v="South"/>
    <s v="COD"/>
    <x v="0"/>
    <n v="3196"/>
  </r>
  <r>
    <s v="ORD02449"/>
    <d v="2026-09-06T00:00:00"/>
    <s v="C1266"/>
    <s v="USB-C Hub"/>
    <x v="3"/>
    <n v="1"/>
    <n v="1299"/>
    <n v="0.15"/>
    <s v="North"/>
    <s v="Debit Card"/>
    <x v="1"/>
    <n v="4416.5999999999995"/>
  </r>
  <r>
    <s v="ORD02450"/>
    <d v="2026-05-27T00:00:00"/>
    <s v="C1791"/>
    <s v="USB-C Hub"/>
    <x v="2"/>
    <n v="1"/>
    <n v="7999"/>
    <n v="0"/>
    <s v="South"/>
    <s v="Credit Card"/>
    <x v="1"/>
    <n v="1104.1499999999999"/>
  </r>
  <r>
    <s v="ORD02451"/>
    <d v="2026-03-06T00:00:00"/>
    <s v="C1710"/>
    <s v="Keyboard"/>
    <x v="0"/>
    <n v="1"/>
    <n v="499"/>
    <n v="0.15"/>
    <s v="South"/>
    <s v="Debit Card"/>
    <x v="1"/>
    <n v="7999"/>
  </r>
  <r>
    <s v="ORD02452"/>
    <d v="2026-06-22T00:00:00"/>
    <s v="C1405"/>
    <s v="Wireless Mouse"/>
    <x v="1"/>
    <n v="4"/>
    <n v="2499"/>
    <n v="0"/>
    <s v="North"/>
    <s v="Net Banking"/>
    <x v="0"/>
    <n v="424.15"/>
  </r>
  <r>
    <s v="ORD02453"/>
    <d v="2026-07-16T00:00:00"/>
    <s v="C1521"/>
    <s v="Webcam"/>
    <x v="1"/>
    <n v="1"/>
    <n v="4999"/>
    <n v="0.15"/>
    <s v="South"/>
    <s v="UPI"/>
    <x v="0"/>
    <n v="9996"/>
  </r>
  <r>
    <s v="ORD02454"/>
    <d v="2026-08-30T00:00:00"/>
    <s v="C1771"/>
    <s v="Wireless Mouse"/>
    <x v="0"/>
    <n v="4"/>
    <n v="2499"/>
    <n v="0.15"/>
    <s v="North"/>
    <s v="COD"/>
    <x v="0"/>
    <n v="4249.1499999999996"/>
  </r>
  <r>
    <s v="ORD02455"/>
    <d v="2026-09-07T00:00:00"/>
    <s v="C1460"/>
    <s v="Webcam"/>
    <x v="0"/>
    <n v="2"/>
    <n v="1999"/>
    <n v="0.05"/>
    <s v="West"/>
    <s v="UPI"/>
    <x v="0"/>
    <n v="8496.6"/>
  </r>
  <r>
    <s v="ORD02456"/>
    <d v="2026-04-20T00:00:00"/>
    <s v="C1755"/>
    <s v="Wireless Mouse"/>
    <x v="0"/>
    <n v="1"/>
    <n v="499"/>
    <n v="0"/>
    <s v="South"/>
    <s v="Net Banking"/>
    <x v="2"/>
    <n v="3798.1"/>
  </r>
  <r>
    <s v="ORD02457"/>
    <d v="2026-05-11T00:00:00"/>
    <s v="C1143"/>
    <s v="Wireless Mouse"/>
    <x v="0"/>
    <n v="5"/>
    <n v="1299"/>
    <n v="0.1"/>
    <s v="North"/>
    <s v="Credit Card"/>
    <x v="0"/>
    <n v="499"/>
  </r>
  <r>
    <s v="ORD02458"/>
    <d v="2026-08-10T00:00:00"/>
    <s v="C1058"/>
    <s v="Headphones"/>
    <x v="1"/>
    <n v="2"/>
    <n v="499"/>
    <n v="0.05"/>
    <s v="East"/>
    <s v="Net Banking"/>
    <x v="0"/>
    <n v="5845.5"/>
  </r>
  <r>
    <s v="ORD02459"/>
    <d v="2026-02-15T00:00:00"/>
    <s v="C1649"/>
    <s v="Monitor"/>
    <x v="2"/>
    <n v="5"/>
    <n v="2499"/>
    <n v="0.05"/>
    <s v="North"/>
    <s v="COD"/>
    <x v="2"/>
    <n v="948.09999999999991"/>
  </r>
  <r>
    <s v="ORD02460"/>
    <d v="2026-08-25T00:00:00"/>
    <s v="C1045"/>
    <s v="USB-C Hub"/>
    <x v="1"/>
    <n v="5"/>
    <n v="1299"/>
    <n v="0"/>
    <s v="East"/>
    <s v="Net Banking"/>
    <x v="2"/>
    <n v="11870.25"/>
  </r>
  <r>
    <s v="ORD02461"/>
    <d v="2026-05-30T00:00:00"/>
    <s v="C1244"/>
    <s v="Headphones"/>
    <x v="3"/>
    <n v="2"/>
    <n v="599"/>
    <n v="0.15"/>
    <s v="East"/>
    <s v="Net Banking"/>
    <x v="0"/>
    <n v="6495"/>
  </r>
  <r>
    <s v="ORD02462"/>
    <d v="2026-06-21T00:00:00"/>
    <s v="C1529"/>
    <s v="Power Bank"/>
    <x v="2"/>
    <n v="1"/>
    <n v="499"/>
    <n v="0.15"/>
    <s v="East"/>
    <s v="Net Banking"/>
    <x v="0"/>
    <n v="1018.3"/>
  </r>
  <r>
    <s v="ORD02463"/>
    <d v="2026-06-22T00:00:00"/>
    <s v="C1391"/>
    <s v="Power Bank"/>
    <x v="3"/>
    <n v="1"/>
    <n v="7999"/>
    <n v="0.05"/>
    <s v="South"/>
    <s v="UPI"/>
    <x v="0"/>
    <n v="424.15"/>
  </r>
  <r>
    <s v="ORD02464"/>
    <d v="2026-05-23T00:00:00"/>
    <s v="C1086"/>
    <s v="Laptop Stand"/>
    <x v="3"/>
    <n v="4"/>
    <n v="4999"/>
    <n v="0"/>
    <s v="West"/>
    <s v="Net Banking"/>
    <x v="0"/>
    <n v="7599.0499999999993"/>
  </r>
  <r>
    <s v="ORD02465"/>
    <d v="2026-04-27T00:00:00"/>
    <s v="C1568"/>
    <s v="Keyboard"/>
    <x v="1"/>
    <n v="1"/>
    <n v="7999"/>
    <n v="0"/>
    <s v="South"/>
    <s v="COD"/>
    <x v="1"/>
    <n v="19996"/>
  </r>
  <r>
    <s v="ORD02466"/>
    <d v="2026-01-27T00:00:00"/>
    <s v="C1119"/>
    <s v="USB-C Hub"/>
    <x v="0"/>
    <n v="4"/>
    <n v="2499"/>
    <n v="0"/>
    <s v="South"/>
    <s v="Credit Card"/>
    <x v="0"/>
    <n v="7999"/>
  </r>
  <r>
    <s v="ORD02467"/>
    <d v="2026-01-26T00:00:00"/>
    <s v="C1563"/>
    <s v="Bluetooth Speaker"/>
    <x v="0"/>
    <n v="2"/>
    <n v="1999"/>
    <n v="0.1"/>
    <s v="South"/>
    <s v="UPI"/>
    <x v="0"/>
    <n v="9996"/>
  </r>
  <r>
    <s v="ORD02468"/>
    <d v="2026-02-26T00:00:00"/>
    <s v="C1475"/>
    <s v="Webcam"/>
    <x v="4"/>
    <n v="3"/>
    <n v="4999"/>
    <n v="0"/>
    <s v="South"/>
    <s v="Net Banking"/>
    <x v="0"/>
    <n v="3598.2000000000003"/>
  </r>
  <r>
    <s v="ORD02469"/>
    <d v="2026-05-08T00:00:00"/>
    <s v="C1357"/>
    <s v="Monitor"/>
    <x v="1"/>
    <n v="1"/>
    <n v="799"/>
    <n v="0.1"/>
    <s v="East"/>
    <s v="UPI"/>
    <x v="0"/>
    <n v="14997"/>
  </r>
  <r>
    <s v="ORD02470"/>
    <d v="2026-08-21T00:00:00"/>
    <s v="C1037"/>
    <s v="Headphones"/>
    <x v="2"/>
    <n v="5"/>
    <n v="599"/>
    <n v="0.1"/>
    <s v="North"/>
    <s v="Credit Card"/>
    <x v="2"/>
    <n v="719.1"/>
  </r>
  <r>
    <s v="ORD02471"/>
    <d v="2026-08-25T00:00:00"/>
    <s v="C1591"/>
    <s v="USB-C Hub"/>
    <x v="0"/>
    <n v="2"/>
    <n v="1499"/>
    <n v="0.05"/>
    <s v="North"/>
    <s v="UPI"/>
    <x v="1"/>
    <n v="2695.5"/>
  </r>
  <r>
    <s v="ORD02472"/>
    <d v="2026-06-18T00:00:00"/>
    <s v="C1230"/>
    <s v="Mechanical Keyboard"/>
    <x v="4"/>
    <n v="5"/>
    <n v="1299"/>
    <n v="0.1"/>
    <s v="Central"/>
    <s v="UPI"/>
    <x v="0"/>
    <n v="2848.1"/>
  </r>
  <r>
    <s v="ORD02473"/>
    <d v="2026-02-13T00:00:00"/>
    <s v="C1786"/>
    <s v="Headphones"/>
    <x v="1"/>
    <n v="3"/>
    <n v="7999"/>
    <n v="0.05"/>
    <s v="South"/>
    <s v="UPI"/>
    <x v="2"/>
    <n v="5845.5"/>
  </r>
  <r>
    <s v="ORD02474"/>
    <d v="2026-06-09T00:00:00"/>
    <s v="C1514"/>
    <s v="Headphones"/>
    <x v="0"/>
    <n v="5"/>
    <n v="7999"/>
    <n v="0.1"/>
    <s v="North"/>
    <s v="COD"/>
    <x v="0"/>
    <n v="22797.149999999998"/>
  </r>
  <r>
    <s v="ORD02475"/>
    <d v="2026-05-16T00:00:00"/>
    <s v="C1708"/>
    <s v="USB-C Hub"/>
    <x v="4"/>
    <n v="1"/>
    <n v="999"/>
    <n v="0"/>
    <s v="Central"/>
    <s v="Debit Card"/>
    <x v="0"/>
    <n v="35995.5"/>
  </r>
  <r>
    <s v="ORD02476"/>
    <d v="2026-08-11T00:00:00"/>
    <s v="C1013"/>
    <s v="Mechanical Keyboard"/>
    <x v="4"/>
    <n v="4"/>
    <n v="2499"/>
    <n v="0.05"/>
    <s v="East"/>
    <s v="Credit Card"/>
    <x v="1"/>
    <n v="999"/>
  </r>
  <r>
    <s v="ORD02477"/>
    <d v="2026-06-21T00:00:00"/>
    <s v="C1519"/>
    <s v="Wireless Mouse"/>
    <x v="1"/>
    <n v="2"/>
    <n v="599"/>
    <n v="0"/>
    <s v="Central"/>
    <s v="Net Banking"/>
    <x v="0"/>
    <n v="9496.1999999999989"/>
  </r>
  <r>
    <s v="ORD02478"/>
    <d v="2026-09-10T00:00:00"/>
    <s v="C1732"/>
    <s v="Mechanical Keyboard"/>
    <x v="1"/>
    <n v="4"/>
    <n v="799"/>
    <n v="0.05"/>
    <s v="South"/>
    <s v="Debit Card"/>
    <x v="0"/>
    <n v="1198"/>
  </r>
  <r>
    <s v="ORD02479"/>
    <d v="2026-05-10T00:00:00"/>
    <s v="C1712"/>
    <s v="USB-C Hub"/>
    <x v="4"/>
    <n v="1"/>
    <n v="1299"/>
    <n v="0.15"/>
    <s v="South"/>
    <s v="COD"/>
    <x v="0"/>
    <n v="3036.2"/>
  </r>
  <r>
    <s v="ORD02480"/>
    <d v="2026-01-13T00:00:00"/>
    <s v="C1021"/>
    <s v="Power Bank"/>
    <x v="1"/>
    <n v="3"/>
    <n v="499"/>
    <n v="0"/>
    <s v="Central"/>
    <s v="Credit Card"/>
    <x v="0"/>
    <n v="1104.1499999999999"/>
  </r>
  <r>
    <s v="ORD02481"/>
    <d v="2026-04-26T00:00:00"/>
    <s v="C1694"/>
    <s v="Power Bank"/>
    <x v="0"/>
    <n v="3"/>
    <n v="999"/>
    <n v="0.1"/>
    <s v="West"/>
    <s v="Debit Card"/>
    <x v="0"/>
    <n v="1497"/>
  </r>
  <r>
    <s v="ORD02482"/>
    <d v="2026-03-29T00:00:00"/>
    <s v="C1760"/>
    <s v="Headphones"/>
    <x v="2"/>
    <n v="5"/>
    <n v="2499"/>
    <n v="0.05"/>
    <s v="North"/>
    <s v="UPI"/>
    <x v="0"/>
    <n v="2697.3"/>
  </r>
  <r>
    <s v="ORD02483"/>
    <d v="2026-08-21T00:00:00"/>
    <s v="C1046"/>
    <s v="Power Bank"/>
    <x v="4"/>
    <n v="5"/>
    <n v="599"/>
    <n v="0.1"/>
    <s v="West"/>
    <s v="UPI"/>
    <x v="1"/>
    <n v="11870.25"/>
  </r>
  <r>
    <s v="ORD02484"/>
    <d v="2026-04-25T00:00:00"/>
    <s v="C1602"/>
    <s v="Power Bank"/>
    <x v="1"/>
    <n v="1"/>
    <n v="1499"/>
    <n v="0"/>
    <s v="South"/>
    <s v="Net Banking"/>
    <x v="0"/>
    <n v="2695.5"/>
  </r>
  <r>
    <s v="ORD02485"/>
    <d v="2026-02-06T00:00:00"/>
    <s v="C1252"/>
    <s v="Laptop Stand"/>
    <x v="1"/>
    <n v="4"/>
    <n v="599"/>
    <n v="0"/>
    <s v="East"/>
    <s v="COD"/>
    <x v="1"/>
    <n v="1499"/>
  </r>
  <r>
    <s v="ORD02486"/>
    <d v="2026-07-07T00:00:00"/>
    <s v="C1416"/>
    <s v="USB-C Hub"/>
    <x v="4"/>
    <n v="4"/>
    <n v="599"/>
    <n v="0.05"/>
    <s v="West"/>
    <s v="Credit Card"/>
    <x v="2"/>
    <n v="2396"/>
  </r>
  <r>
    <s v="ORD02487"/>
    <d v="2026-02-17T00:00:00"/>
    <s v="C1507"/>
    <s v="Power Bank"/>
    <x v="2"/>
    <n v="1"/>
    <n v="1299"/>
    <n v="0.1"/>
    <s v="West"/>
    <s v="UPI"/>
    <x v="2"/>
    <n v="2276.1999999999998"/>
  </r>
  <r>
    <s v="ORD02488"/>
    <d v="2026-01-09T00:00:00"/>
    <s v="C1775"/>
    <s v="Bluetooth Speaker"/>
    <x v="0"/>
    <n v="5"/>
    <n v="1299"/>
    <n v="0.1"/>
    <s v="East"/>
    <s v="Credit Card"/>
    <x v="0"/>
    <n v="1169.1000000000001"/>
  </r>
  <r>
    <s v="ORD02489"/>
    <d v="2026-06-12T00:00:00"/>
    <s v="C1746"/>
    <s v="Bluetooth Speaker"/>
    <x v="0"/>
    <n v="1"/>
    <n v="4999"/>
    <n v="0.15"/>
    <s v="East"/>
    <s v="COD"/>
    <x v="2"/>
    <n v="5845.5"/>
  </r>
  <r>
    <s v="ORD02490"/>
    <d v="2026-01-10T00:00:00"/>
    <s v="C1165"/>
    <s v="Mechanical Keyboard"/>
    <x v="1"/>
    <n v="1"/>
    <n v="1299"/>
    <n v="0"/>
    <s v="West"/>
    <s v="Net Banking"/>
    <x v="1"/>
    <n v="4249.1499999999996"/>
  </r>
  <r>
    <s v="ORD02491"/>
    <d v="2026-01-10T00:00:00"/>
    <s v="C1052"/>
    <s v="Laptop Stand"/>
    <x v="4"/>
    <n v="3"/>
    <n v="599"/>
    <n v="0.15"/>
    <s v="West"/>
    <s v="Debit Card"/>
    <x v="2"/>
    <n v="1299"/>
  </r>
  <r>
    <s v="ORD02492"/>
    <d v="2026-04-08T00:00:00"/>
    <s v="C1543"/>
    <s v="Power Bank"/>
    <x v="4"/>
    <n v="1"/>
    <n v="799"/>
    <n v="0.1"/>
    <s v="East"/>
    <s v="COD"/>
    <x v="0"/>
    <n v="1527.45"/>
  </r>
  <r>
    <s v="ORD02493"/>
    <d v="2026-01-01T00:00:00"/>
    <s v="C1143"/>
    <s v="Wireless Mouse"/>
    <x v="3"/>
    <n v="2"/>
    <n v="1299"/>
    <n v="0.1"/>
    <s v="North"/>
    <s v="COD"/>
    <x v="0"/>
    <n v="719.1"/>
  </r>
  <r>
    <s v="ORD02494"/>
    <d v="2026-04-20T00:00:00"/>
    <s v="C1321"/>
    <s v="Power Bank"/>
    <x v="3"/>
    <n v="5"/>
    <n v="1299"/>
    <n v="0"/>
    <s v="North"/>
    <s v="UPI"/>
    <x v="1"/>
    <n v="2338.2000000000003"/>
  </r>
  <r>
    <s v="ORD02495"/>
    <d v="2026-08-20T00:00:00"/>
    <s v="C1259"/>
    <s v="Headphones"/>
    <x v="3"/>
    <n v="2"/>
    <n v="1999"/>
    <n v="0.05"/>
    <s v="South"/>
    <s v="Credit Card"/>
    <x v="0"/>
    <n v="6495"/>
  </r>
  <r>
    <s v="ORD02496"/>
    <d v="2026-05-01T00:00:00"/>
    <s v="C1391"/>
    <s v="Laptop Stand"/>
    <x v="3"/>
    <n v="5"/>
    <n v="599"/>
    <n v="0.15"/>
    <s v="North"/>
    <s v="COD"/>
    <x v="2"/>
    <n v="3798.1"/>
  </r>
  <r>
    <s v="ORD02497"/>
    <d v="2026-09-07T00:00:00"/>
    <s v="C1516"/>
    <s v="Keyboard"/>
    <x v="1"/>
    <n v="5"/>
    <n v="7999"/>
    <n v="0.1"/>
    <s v="North"/>
    <s v="Credit Card"/>
    <x v="0"/>
    <n v="2545.75"/>
  </r>
  <r>
    <s v="ORD02498"/>
    <d v="2026-04-11T00:00:00"/>
    <s v="C1480"/>
    <s v="USB-C Hub"/>
    <x v="2"/>
    <n v="2"/>
    <n v="999"/>
    <n v="0.05"/>
    <s v="South"/>
    <s v="COD"/>
    <x v="0"/>
    <n v="35995.5"/>
  </r>
  <r>
    <s v="ORD02499"/>
    <d v="2026-01-25T00:00:00"/>
    <s v="C1670"/>
    <s v="Wireless Mouse"/>
    <x v="2"/>
    <n v="4"/>
    <n v="4999"/>
    <n v="0"/>
    <s v="West"/>
    <s v="Credit Card"/>
    <x v="2"/>
    <n v="1898.1"/>
  </r>
  <r>
    <s v="ORD02500"/>
    <d v="2026-03-16T00:00:00"/>
    <s v="C1783"/>
    <s v="Bluetooth Speaker"/>
    <x v="3"/>
    <n v="5"/>
    <n v="1999"/>
    <n v="0.1"/>
    <s v="Central"/>
    <s v="Credit Card"/>
    <x v="0"/>
    <n v="19996"/>
  </r>
  <r>
    <s v="ORD02501"/>
    <d v="2026-08-09T00:00:00"/>
    <s v="C1372"/>
    <s v="Wireless Mouse"/>
    <x v="1"/>
    <n v="1"/>
    <n v="999"/>
    <n v="0.15"/>
    <s v="West"/>
    <s v="Debit Card"/>
    <x v="0"/>
    <n v="8995.5"/>
  </r>
  <r>
    <s v="ORD02502"/>
    <d v="2026-07-16T00:00:00"/>
    <s v="C1205"/>
    <s v="Headphones"/>
    <x v="4"/>
    <n v="1"/>
    <n v="599"/>
    <n v="0"/>
    <s v="East"/>
    <s v="Debit Card"/>
    <x v="1"/>
    <n v="849.15"/>
  </r>
  <r>
    <s v="ORD02503"/>
    <d v="2026-06-29T00:00:00"/>
    <s v="C1126"/>
    <s v="Bluetooth Speaker"/>
    <x v="4"/>
    <n v="1"/>
    <n v="4999"/>
    <n v="0.15"/>
    <s v="North"/>
    <s v="UPI"/>
    <x v="0"/>
    <n v="599"/>
  </r>
  <r>
    <s v="ORD02504"/>
    <d v="2026-04-01T00:00:00"/>
    <s v="C1453"/>
    <s v="Power Bank"/>
    <x v="3"/>
    <n v="3"/>
    <n v="2499"/>
    <n v="0"/>
    <s v="East"/>
    <s v="COD"/>
    <x v="2"/>
    <n v="4249.1499999999996"/>
  </r>
  <r>
    <s v="ORD02505"/>
    <d v="2026-09-10T00:00:00"/>
    <s v="C1558"/>
    <s v="Power Bank"/>
    <x v="4"/>
    <n v="2"/>
    <n v="999"/>
    <n v="0"/>
    <s v="East"/>
    <s v="Net Banking"/>
    <x v="0"/>
    <n v="7497"/>
  </r>
  <r>
    <s v="ORD02506"/>
    <d v="2026-06-21T00:00:00"/>
    <s v="C1666"/>
    <s v="Keyboard"/>
    <x v="1"/>
    <n v="1"/>
    <n v="599"/>
    <n v="0"/>
    <s v="Central"/>
    <s v="Credit Card"/>
    <x v="0"/>
    <n v="1998"/>
  </r>
  <r>
    <s v="ORD02507"/>
    <d v="2026-09-28T00:00:00"/>
    <s v="C1265"/>
    <s v="Bluetooth Speaker"/>
    <x v="3"/>
    <n v="4"/>
    <n v="999"/>
    <n v="0.05"/>
    <s v="Central"/>
    <s v="UPI"/>
    <x v="2"/>
    <n v="599"/>
  </r>
  <r>
    <s v="ORD02508"/>
    <d v="2026-07-22T00:00:00"/>
    <s v="C1072"/>
    <s v="Bluetooth Speaker"/>
    <x v="3"/>
    <n v="5"/>
    <n v="499"/>
    <n v="0.15"/>
    <s v="South"/>
    <s v="Debit Card"/>
    <x v="1"/>
    <n v="3796.2"/>
  </r>
  <r>
    <s v="ORD02509"/>
    <d v="2026-01-01T00:00:00"/>
    <s v="C1141"/>
    <s v="Mechanical Keyboard"/>
    <x v="2"/>
    <n v="5"/>
    <n v="599"/>
    <n v="0"/>
    <s v="North"/>
    <s v="Credit Card"/>
    <x v="0"/>
    <n v="2120.75"/>
  </r>
  <r>
    <s v="ORD02510"/>
    <d v="2026-02-12T00:00:00"/>
    <s v="C1328"/>
    <s v="Keyboard"/>
    <x v="3"/>
    <n v="2"/>
    <n v="7999"/>
    <n v="0.15"/>
    <s v="Central"/>
    <s v="Credit Card"/>
    <x v="1"/>
    <n v="2995"/>
  </r>
  <r>
    <s v="ORD02511"/>
    <d v="2026-04-23T00:00:00"/>
    <s v="C1547"/>
    <s v="Mechanical Keyboard"/>
    <x v="0"/>
    <n v="5"/>
    <n v="1299"/>
    <n v="0.05"/>
    <s v="West"/>
    <s v="UPI"/>
    <x v="0"/>
    <n v="13598.3"/>
  </r>
  <r>
    <s v="ORD02512"/>
    <d v="2026-02-15T00:00:00"/>
    <s v="C1105"/>
    <s v="Bluetooth Speaker"/>
    <x v="0"/>
    <n v="4"/>
    <n v="4999"/>
    <n v="0"/>
    <s v="East"/>
    <s v="Credit Card"/>
    <x v="0"/>
    <n v="6170.25"/>
  </r>
  <r>
    <s v="ORD02513"/>
    <d v="2026-05-06T00:00:00"/>
    <s v="C1034"/>
    <s v="Laptop Stand"/>
    <x v="3"/>
    <n v="2"/>
    <n v="999"/>
    <n v="0.15"/>
    <s v="Central"/>
    <s v="UPI"/>
    <x v="0"/>
    <n v="19996"/>
  </r>
  <r>
    <s v="ORD02514"/>
    <d v="2026-07-02T00:00:00"/>
    <s v="C1417"/>
    <s v="Laptop Stand"/>
    <x v="2"/>
    <n v="5"/>
    <n v="599"/>
    <n v="0.15"/>
    <s v="Central"/>
    <s v="UPI"/>
    <x v="0"/>
    <n v="1698.3"/>
  </r>
  <r>
    <s v="ORD02515"/>
    <d v="2026-04-06T00:00:00"/>
    <s v="C1246"/>
    <s v="USB-C Hub"/>
    <x v="2"/>
    <n v="1"/>
    <n v="4999"/>
    <n v="0.1"/>
    <s v="West"/>
    <s v="Debit Card"/>
    <x v="0"/>
    <n v="2545.75"/>
  </r>
  <r>
    <s v="ORD02516"/>
    <d v="2026-04-30T00:00:00"/>
    <s v="C1200"/>
    <s v="Bluetooth Speaker"/>
    <x v="4"/>
    <n v="2"/>
    <n v="7999"/>
    <n v="0.15"/>
    <s v="East"/>
    <s v="Credit Card"/>
    <x v="0"/>
    <n v="4499.1000000000004"/>
  </r>
  <r>
    <s v="ORD02517"/>
    <d v="2026-07-19T00:00:00"/>
    <s v="C1237"/>
    <s v="Keyboard"/>
    <x v="2"/>
    <n v="1"/>
    <n v="599"/>
    <n v="0"/>
    <s v="South"/>
    <s v="COD"/>
    <x v="0"/>
    <n v="13598.3"/>
  </r>
  <r>
    <s v="ORD02518"/>
    <d v="2026-01-07T00:00:00"/>
    <s v="C1262"/>
    <s v="USB-C Hub"/>
    <x v="0"/>
    <n v="5"/>
    <n v="499"/>
    <n v="0"/>
    <s v="North"/>
    <s v="Credit Card"/>
    <x v="1"/>
    <n v="599"/>
  </r>
  <r>
    <s v="ORD02519"/>
    <d v="2026-07-14T00:00:00"/>
    <s v="C1720"/>
    <s v="Mechanical Keyboard"/>
    <x v="2"/>
    <n v="4"/>
    <n v="799"/>
    <n v="0.1"/>
    <s v="South"/>
    <s v="Net Banking"/>
    <x v="0"/>
    <n v="2495"/>
  </r>
  <r>
    <s v="ORD02520"/>
    <d v="2026-04-11T00:00:00"/>
    <s v="C1245"/>
    <s v="Bluetooth Speaker"/>
    <x v="2"/>
    <n v="5"/>
    <n v="2499"/>
    <n v="0"/>
    <s v="Central"/>
    <s v="Net Banking"/>
    <x v="2"/>
    <n v="2876.4"/>
  </r>
  <r>
    <s v="ORD02521"/>
    <d v="2026-01-04T00:00:00"/>
    <s v="C1618"/>
    <s v="Wireless Mouse"/>
    <x v="3"/>
    <n v="3"/>
    <n v="999"/>
    <n v="0"/>
    <s v="South"/>
    <s v="COD"/>
    <x v="2"/>
    <n v="12495"/>
  </r>
  <r>
    <s v="ORD02522"/>
    <d v="2026-07-11T00:00:00"/>
    <s v="C1398"/>
    <s v="USB-C Hub"/>
    <x v="0"/>
    <n v="2"/>
    <n v="2499"/>
    <n v="0.15"/>
    <s v="South"/>
    <s v="Credit Card"/>
    <x v="1"/>
    <n v="2997"/>
  </r>
  <r>
    <s v="ORD02523"/>
    <d v="2026-02-22T00:00:00"/>
    <s v="C1371"/>
    <s v="Laptop Stand"/>
    <x v="3"/>
    <n v="3"/>
    <n v="499"/>
    <n v="0.05"/>
    <s v="North"/>
    <s v="COD"/>
    <x v="0"/>
    <n v="4248.3"/>
  </r>
  <r>
    <s v="ORD02524"/>
    <d v="2026-07-12T00:00:00"/>
    <s v="C1171"/>
    <s v="USB-C Hub"/>
    <x v="0"/>
    <n v="3"/>
    <n v="1999"/>
    <n v="0.1"/>
    <s v="West"/>
    <s v="Credit Card"/>
    <x v="0"/>
    <n v="1422.1499999999999"/>
  </r>
  <r>
    <s v="ORD02525"/>
    <d v="2026-05-09T00:00:00"/>
    <s v="C1115"/>
    <s v="Laptop Stand"/>
    <x v="4"/>
    <n v="3"/>
    <n v="1299"/>
    <n v="0.15"/>
    <s v="East"/>
    <s v="COD"/>
    <x v="0"/>
    <n v="5397.3"/>
  </r>
  <r>
    <s v="ORD02526"/>
    <d v="2026-08-19T00:00:00"/>
    <s v="C1355"/>
    <s v="Bluetooth Speaker"/>
    <x v="3"/>
    <n v="1"/>
    <n v="999"/>
    <n v="0"/>
    <s v="West"/>
    <s v="Debit Card"/>
    <x v="2"/>
    <n v="3312.45"/>
  </r>
  <r>
    <s v="ORD02527"/>
    <d v="2026-02-05T00:00:00"/>
    <s v="C1536"/>
    <s v="Mechanical Keyboard"/>
    <x v="3"/>
    <n v="3"/>
    <n v="599"/>
    <n v="0"/>
    <s v="Central"/>
    <s v="Debit Card"/>
    <x v="2"/>
    <n v="999"/>
  </r>
  <r>
    <s v="ORD02528"/>
    <d v="2026-03-08T00:00:00"/>
    <s v="C1176"/>
    <s v="Power Bank"/>
    <x v="1"/>
    <n v="3"/>
    <n v="799"/>
    <n v="0"/>
    <s v="Central"/>
    <s v="Debit Card"/>
    <x v="2"/>
    <n v="1797"/>
  </r>
  <r>
    <s v="ORD02529"/>
    <d v="2026-05-14T00:00:00"/>
    <s v="C1461"/>
    <s v="Bluetooth Speaker"/>
    <x v="4"/>
    <n v="1"/>
    <n v="2499"/>
    <n v="0"/>
    <s v="Central"/>
    <s v="Net Banking"/>
    <x v="0"/>
    <n v="2397"/>
  </r>
  <r>
    <s v="ORD02530"/>
    <d v="2026-06-27T00:00:00"/>
    <s v="C1614"/>
    <s v="Headphones"/>
    <x v="3"/>
    <n v="1"/>
    <n v="2499"/>
    <n v="0"/>
    <s v="Central"/>
    <s v="COD"/>
    <x v="2"/>
    <n v="2499"/>
  </r>
  <r>
    <s v="ORD02531"/>
    <d v="2026-02-20T00:00:00"/>
    <s v="C1391"/>
    <s v="Wireless Mouse"/>
    <x v="3"/>
    <n v="2"/>
    <n v="499"/>
    <n v="0"/>
    <s v="South"/>
    <s v="Debit Card"/>
    <x v="0"/>
    <n v="2499"/>
  </r>
  <r>
    <s v="ORD02532"/>
    <d v="2026-08-26T00:00:00"/>
    <s v="C1544"/>
    <s v="Keyboard"/>
    <x v="2"/>
    <n v="5"/>
    <n v="1499"/>
    <n v="0.15"/>
    <s v="South"/>
    <s v="UPI"/>
    <x v="0"/>
    <n v="998"/>
  </r>
  <r>
    <s v="ORD02533"/>
    <d v="2026-09-18T00:00:00"/>
    <s v="C1725"/>
    <s v="Wireless Mouse"/>
    <x v="4"/>
    <n v="4"/>
    <n v="7999"/>
    <n v="0.05"/>
    <s v="South"/>
    <s v="Debit Card"/>
    <x v="1"/>
    <n v="6370.75"/>
  </r>
  <r>
    <s v="ORD02534"/>
    <d v="2026-08-05T00:00:00"/>
    <s v="C1409"/>
    <s v="Bluetooth Speaker"/>
    <x v="2"/>
    <n v="2"/>
    <n v="1299"/>
    <n v="0"/>
    <s v="East"/>
    <s v="UPI"/>
    <x v="1"/>
    <n v="30396.199999999997"/>
  </r>
  <r>
    <s v="ORD02535"/>
    <d v="2026-03-13T00:00:00"/>
    <s v="C1280"/>
    <s v="Monitor"/>
    <x v="2"/>
    <n v="5"/>
    <n v="799"/>
    <n v="0.15"/>
    <s v="South"/>
    <s v="UPI"/>
    <x v="1"/>
    <n v="2598"/>
  </r>
  <r>
    <s v="ORD02536"/>
    <d v="2026-03-11T00:00:00"/>
    <s v="C1643"/>
    <s v="Mechanical Keyboard"/>
    <x v="1"/>
    <n v="1"/>
    <n v="2499"/>
    <n v="0"/>
    <s v="South"/>
    <s v="COD"/>
    <x v="0"/>
    <n v="3395.75"/>
  </r>
  <r>
    <s v="ORD02537"/>
    <d v="2026-06-23T00:00:00"/>
    <s v="C1799"/>
    <s v="Monitor"/>
    <x v="4"/>
    <n v="1"/>
    <n v="2499"/>
    <n v="0"/>
    <s v="East"/>
    <s v="Net Banking"/>
    <x v="1"/>
    <n v="2499"/>
  </r>
  <r>
    <s v="ORD02538"/>
    <d v="2026-05-15T00:00:00"/>
    <s v="C1768"/>
    <s v="Keyboard"/>
    <x v="1"/>
    <n v="4"/>
    <n v="1999"/>
    <n v="0.1"/>
    <s v="North"/>
    <s v="Credit Card"/>
    <x v="0"/>
    <n v="2499"/>
  </r>
  <r>
    <s v="ORD02539"/>
    <d v="2026-07-04T00:00:00"/>
    <s v="C1373"/>
    <s v="Mechanical Keyboard"/>
    <x v="3"/>
    <n v="3"/>
    <n v="799"/>
    <n v="0"/>
    <s v="East"/>
    <s v="Debit Card"/>
    <x v="1"/>
    <n v="7196.4000000000005"/>
  </r>
  <r>
    <s v="ORD02540"/>
    <d v="2026-06-07T00:00:00"/>
    <s v="C1499"/>
    <s v="Wireless Mouse"/>
    <x v="1"/>
    <n v="5"/>
    <n v="799"/>
    <n v="0"/>
    <s v="West"/>
    <s v="Debit Card"/>
    <x v="0"/>
    <n v="2397"/>
  </r>
  <r>
    <s v="ORD02541"/>
    <d v="2026-03-13T00:00:00"/>
    <s v="C1572"/>
    <s v="Power Bank"/>
    <x v="3"/>
    <n v="5"/>
    <n v="1499"/>
    <n v="0.1"/>
    <s v="Central"/>
    <s v="COD"/>
    <x v="0"/>
    <n v="3995"/>
  </r>
  <r>
    <s v="ORD02542"/>
    <d v="2026-01-07T00:00:00"/>
    <s v="C1749"/>
    <s v="USB-C Hub"/>
    <x v="2"/>
    <n v="5"/>
    <n v="499"/>
    <n v="0.05"/>
    <s v="North"/>
    <s v="UPI"/>
    <x v="0"/>
    <n v="6745.5"/>
  </r>
  <r>
    <s v="ORD02543"/>
    <d v="2026-01-15T00:00:00"/>
    <s v="C1349"/>
    <s v="Bluetooth Speaker"/>
    <x v="3"/>
    <n v="5"/>
    <n v="1499"/>
    <n v="0"/>
    <s v="West"/>
    <s v="UPI"/>
    <x v="0"/>
    <n v="2370.25"/>
  </r>
  <r>
    <s v="ORD02544"/>
    <d v="2026-01-19T00:00:00"/>
    <s v="C1083"/>
    <s v="Laptop Stand"/>
    <x v="2"/>
    <n v="4"/>
    <n v="499"/>
    <n v="0.05"/>
    <s v="Central"/>
    <s v="COD"/>
    <x v="0"/>
    <n v="7495"/>
  </r>
  <r>
    <s v="ORD02545"/>
    <d v="2026-05-08T00:00:00"/>
    <s v="C1157"/>
    <s v="USB-C Hub"/>
    <x v="4"/>
    <n v="3"/>
    <n v="1299"/>
    <n v="0.1"/>
    <s v="South"/>
    <s v="Debit Card"/>
    <x v="0"/>
    <n v="1896.1999999999998"/>
  </r>
  <r>
    <s v="ORD02546"/>
    <d v="2026-05-17T00:00:00"/>
    <s v="C1053"/>
    <s v="Wireless Mouse"/>
    <x v="0"/>
    <n v="4"/>
    <n v="1299"/>
    <n v="0.15"/>
    <s v="East"/>
    <s v="Debit Card"/>
    <x v="0"/>
    <n v="3507.3"/>
  </r>
  <r>
    <s v="ORD02547"/>
    <d v="2026-09-28T00:00:00"/>
    <s v="C1253"/>
    <s v="Monitor"/>
    <x v="3"/>
    <n v="2"/>
    <n v="999"/>
    <n v="0.15"/>
    <s v="West"/>
    <s v="COD"/>
    <x v="0"/>
    <n v="4416.5999999999995"/>
  </r>
  <r>
    <s v="ORD02548"/>
    <d v="2026-06-16T00:00:00"/>
    <s v="C1148"/>
    <s v="USB-C Hub"/>
    <x v="3"/>
    <n v="3"/>
    <n v="499"/>
    <n v="0.05"/>
    <s v="West"/>
    <s v="Debit Card"/>
    <x v="0"/>
    <n v="1698.3"/>
  </r>
  <r>
    <s v="ORD02549"/>
    <d v="2026-02-18T00:00:00"/>
    <s v="C1008"/>
    <s v="Webcam"/>
    <x v="2"/>
    <n v="3"/>
    <n v="1299"/>
    <n v="0.05"/>
    <s v="North"/>
    <s v="Net Banking"/>
    <x v="0"/>
    <n v="1422.1499999999999"/>
  </r>
  <r>
    <s v="ORD02550"/>
    <d v="2026-05-06T00:00:00"/>
    <s v="C1253"/>
    <s v="Webcam"/>
    <x v="3"/>
    <n v="2"/>
    <n v="4999"/>
    <n v="0"/>
    <s v="West"/>
    <s v="Net Banking"/>
    <x v="0"/>
    <n v="3702.1499999999996"/>
  </r>
  <r>
    <s v="ORD02551"/>
    <d v="2026-05-11T00:00:00"/>
    <s v="C1148"/>
    <s v="Bluetooth Speaker"/>
    <x v="4"/>
    <n v="3"/>
    <n v="4999"/>
    <n v="0"/>
    <s v="West"/>
    <s v="Net Banking"/>
    <x v="2"/>
    <n v="9998"/>
  </r>
  <r>
    <s v="ORD02552"/>
    <d v="2026-07-15T00:00:00"/>
    <s v="C1176"/>
    <s v="Headphones"/>
    <x v="0"/>
    <n v="3"/>
    <n v="999"/>
    <n v="0.05"/>
    <s v="South"/>
    <s v="UPI"/>
    <x v="0"/>
    <n v="14997"/>
  </r>
  <r>
    <s v="ORD02553"/>
    <d v="2026-05-10T00:00:00"/>
    <s v="C1245"/>
    <s v="Wireless Mouse"/>
    <x v="1"/>
    <n v="4"/>
    <n v="599"/>
    <n v="0.1"/>
    <s v="Central"/>
    <s v="Net Banking"/>
    <x v="0"/>
    <n v="2847.15"/>
  </r>
  <r>
    <s v="ORD02554"/>
    <d v="2026-08-28T00:00:00"/>
    <s v="C1480"/>
    <s v="Headphones"/>
    <x v="1"/>
    <n v="2"/>
    <n v="499"/>
    <n v="0"/>
    <s v="Central"/>
    <s v="Net Banking"/>
    <x v="2"/>
    <n v="2156.4"/>
  </r>
  <r>
    <s v="ORD02555"/>
    <d v="2026-08-18T00:00:00"/>
    <s v="C1013"/>
    <s v="Monitor"/>
    <x v="1"/>
    <n v="5"/>
    <n v="1299"/>
    <n v="0"/>
    <s v="North"/>
    <s v="Credit Card"/>
    <x v="0"/>
    <n v="998"/>
  </r>
  <r>
    <s v="ORD02556"/>
    <d v="2026-08-05T00:00:00"/>
    <s v="C1589"/>
    <s v="Webcam"/>
    <x v="3"/>
    <n v="3"/>
    <n v="599"/>
    <n v="0"/>
    <s v="Central"/>
    <s v="Net Banking"/>
    <x v="0"/>
    <n v="6495"/>
  </r>
  <r>
    <s v="ORD02557"/>
    <d v="2026-05-20T00:00:00"/>
    <s v="C1434"/>
    <s v="Keyboard"/>
    <x v="4"/>
    <n v="1"/>
    <n v="4999"/>
    <n v="0.15"/>
    <s v="East"/>
    <s v="Debit Card"/>
    <x v="2"/>
    <n v="1797"/>
  </r>
  <r>
    <s v="ORD02558"/>
    <d v="2026-04-01T00:00:00"/>
    <s v="C1162"/>
    <s v="Webcam"/>
    <x v="2"/>
    <n v="5"/>
    <n v="599"/>
    <n v="0.05"/>
    <s v="East"/>
    <s v="COD"/>
    <x v="0"/>
    <n v="4249.1499999999996"/>
  </r>
  <r>
    <s v="ORD02559"/>
    <d v="2026-03-04T00:00:00"/>
    <s v="C1612"/>
    <s v="Keyboard"/>
    <x v="3"/>
    <n v="2"/>
    <n v="4999"/>
    <n v="0.15"/>
    <s v="North"/>
    <s v="Debit Card"/>
    <x v="1"/>
    <n v="2845.25"/>
  </r>
  <r>
    <s v="ORD02560"/>
    <d v="2026-01-01T00:00:00"/>
    <s v="C1138"/>
    <s v="Mechanical Keyboard"/>
    <x v="3"/>
    <n v="3"/>
    <n v="1999"/>
    <n v="0.05"/>
    <s v="North"/>
    <s v="UPI"/>
    <x v="2"/>
    <n v="8498.2999999999993"/>
  </r>
  <r>
    <s v="ORD02561"/>
    <d v="2026-09-29T00:00:00"/>
    <s v="C1511"/>
    <s v="Keyboard"/>
    <x v="2"/>
    <n v="3"/>
    <n v="1299"/>
    <n v="0"/>
    <s v="South"/>
    <s v="Net Banking"/>
    <x v="0"/>
    <n v="5697.15"/>
  </r>
  <r>
    <s v="ORD02562"/>
    <d v="2026-03-12T00:00:00"/>
    <s v="C1706"/>
    <s v="USB-C Hub"/>
    <x v="3"/>
    <n v="5"/>
    <n v="7999"/>
    <n v="0"/>
    <s v="West"/>
    <s v="Debit Card"/>
    <x v="0"/>
    <n v="3897"/>
  </r>
  <r>
    <s v="ORD02563"/>
    <d v="2026-06-07T00:00:00"/>
    <s v="C1773"/>
    <s v="Mechanical Keyboard"/>
    <x v="2"/>
    <n v="4"/>
    <n v="799"/>
    <n v="0.15"/>
    <s v="Central"/>
    <s v="Credit Card"/>
    <x v="0"/>
    <n v="39995"/>
  </r>
  <r>
    <s v="ORD02564"/>
    <d v="2026-09-26T00:00:00"/>
    <s v="C1481"/>
    <s v="Wireless Mouse"/>
    <x v="0"/>
    <n v="5"/>
    <n v="1299"/>
    <n v="0"/>
    <s v="East"/>
    <s v="Credit Card"/>
    <x v="1"/>
    <n v="2716.6"/>
  </r>
  <r>
    <s v="ORD02565"/>
    <d v="2026-04-23T00:00:00"/>
    <s v="C1181"/>
    <s v="USB-C Hub"/>
    <x v="3"/>
    <n v="3"/>
    <n v="1499"/>
    <n v="0.15"/>
    <s v="West"/>
    <s v="Net Banking"/>
    <x v="0"/>
    <n v="6495"/>
  </r>
  <r>
    <s v="ORD02566"/>
    <d v="2026-01-21T00:00:00"/>
    <s v="C1634"/>
    <s v="Headphones"/>
    <x v="4"/>
    <n v="1"/>
    <n v="499"/>
    <n v="0.05"/>
    <s v="North"/>
    <s v="UPI"/>
    <x v="1"/>
    <n v="3822.45"/>
  </r>
  <r>
    <s v="ORD02567"/>
    <d v="2026-01-27T00:00:00"/>
    <s v="C1578"/>
    <s v="Keyboard"/>
    <x v="4"/>
    <n v="5"/>
    <n v="999"/>
    <n v="0.15"/>
    <s v="East"/>
    <s v="UPI"/>
    <x v="0"/>
    <n v="474.04999999999995"/>
  </r>
  <r>
    <s v="ORD02568"/>
    <d v="2026-03-21T00:00:00"/>
    <s v="C1025"/>
    <s v="USB-C Hub"/>
    <x v="4"/>
    <n v="2"/>
    <n v="7999"/>
    <n v="0"/>
    <s v="East"/>
    <s v="Net Banking"/>
    <x v="0"/>
    <n v="4245.75"/>
  </r>
  <r>
    <s v="ORD02569"/>
    <d v="2026-05-22T00:00:00"/>
    <s v="C1764"/>
    <s v="Keyboard"/>
    <x v="4"/>
    <n v="2"/>
    <n v="7999"/>
    <n v="0.05"/>
    <s v="North"/>
    <s v="UPI"/>
    <x v="0"/>
    <n v="15998"/>
  </r>
  <r>
    <s v="ORD02570"/>
    <d v="2026-04-02T00:00:00"/>
    <s v="C1710"/>
    <s v="Keyboard"/>
    <x v="0"/>
    <n v="2"/>
    <n v="1499"/>
    <n v="0.15"/>
    <s v="West"/>
    <s v="UPI"/>
    <x v="2"/>
    <n v="15198.099999999999"/>
  </r>
  <r>
    <s v="ORD02571"/>
    <d v="2026-08-10T00:00:00"/>
    <s v="C1116"/>
    <s v="Laptop Stand"/>
    <x v="2"/>
    <n v="5"/>
    <n v="499"/>
    <n v="0"/>
    <s v="North"/>
    <s v="Net Banking"/>
    <x v="0"/>
    <n v="2548.2999999999997"/>
  </r>
  <r>
    <s v="ORD02572"/>
    <d v="2026-07-01T00:00:00"/>
    <s v="C1667"/>
    <s v="Bluetooth Speaker"/>
    <x v="0"/>
    <n v="5"/>
    <n v="7999"/>
    <n v="0.15"/>
    <s v="East"/>
    <s v="Debit Card"/>
    <x v="0"/>
    <n v="2495"/>
  </r>
  <r>
    <s v="ORD02573"/>
    <d v="2026-06-13T00:00:00"/>
    <s v="C1644"/>
    <s v="Laptop Stand"/>
    <x v="1"/>
    <n v="3"/>
    <n v="1999"/>
    <n v="0.05"/>
    <s v="Central"/>
    <s v="Credit Card"/>
    <x v="2"/>
    <n v="33995.75"/>
  </r>
  <r>
    <s v="ORD02574"/>
    <d v="2026-01-01T00:00:00"/>
    <s v="C1753"/>
    <s v="Headphones"/>
    <x v="1"/>
    <n v="3"/>
    <n v="499"/>
    <n v="0.05"/>
    <s v="West"/>
    <s v="Debit Card"/>
    <x v="0"/>
    <n v="5697.15"/>
  </r>
  <r>
    <s v="ORD02575"/>
    <d v="2026-09-21T00:00:00"/>
    <s v="C1783"/>
    <s v="Wireless Mouse"/>
    <x v="2"/>
    <n v="1"/>
    <n v="1299"/>
    <n v="0.05"/>
    <s v="North"/>
    <s v="Debit Card"/>
    <x v="0"/>
    <n v="1422.1499999999999"/>
  </r>
  <r>
    <s v="ORD02576"/>
    <d v="2026-01-01T00:00:00"/>
    <s v="C1697"/>
    <s v="Monitor"/>
    <x v="4"/>
    <n v="3"/>
    <n v="4999"/>
    <n v="0.05"/>
    <s v="Central"/>
    <s v="Credit Card"/>
    <x v="0"/>
    <n v="1234.05"/>
  </r>
  <r>
    <s v="ORD02577"/>
    <d v="2026-07-01T00:00:00"/>
    <s v="C1006"/>
    <s v="Laptop Stand"/>
    <x v="2"/>
    <n v="2"/>
    <n v="4999"/>
    <n v="0.1"/>
    <s v="South"/>
    <s v="Debit Card"/>
    <x v="1"/>
    <n v="14247.15"/>
  </r>
  <r>
    <s v="ORD02578"/>
    <d v="2026-09-28T00:00:00"/>
    <s v="C1456"/>
    <s v="Wireless Mouse"/>
    <x v="1"/>
    <n v="5"/>
    <n v="799"/>
    <n v="0"/>
    <s v="Central"/>
    <s v="UPI"/>
    <x v="2"/>
    <n v="8998.2000000000007"/>
  </r>
  <r>
    <s v="ORD02579"/>
    <d v="2026-07-09T00:00:00"/>
    <s v="C1359"/>
    <s v="Monitor"/>
    <x v="1"/>
    <n v="5"/>
    <n v="999"/>
    <n v="0.15"/>
    <s v="West"/>
    <s v="COD"/>
    <x v="0"/>
    <n v="3995"/>
  </r>
  <r>
    <s v="ORD02580"/>
    <d v="2026-01-30T00:00:00"/>
    <s v="C1773"/>
    <s v="USB-C Hub"/>
    <x v="0"/>
    <n v="3"/>
    <n v="799"/>
    <n v="0"/>
    <s v="Central"/>
    <s v="UPI"/>
    <x v="0"/>
    <n v="4245.75"/>
  </r>
  <r>
    <s v="ORD02581"/>
    <d v="2026-09-16T00:00:00"/>
    <s v="C1283"/>
    <s v="Laptop Stand"/>
    <x v="1"/>
    <n v="4"/>
    <n v="7999"/>
    <n v="0"/>
    <s v="North"/>
    <s v="COD"/>
    <x v="0"/>
    <n v="2397"/>
  </r>
  <r>
    <s v="ORD02582"/>
    <d v="2026-01-27T00:00:00"/>
    <s v="C1088"/>
    <s v="Webcam"/>
    <x v="3"/>
    <n v="3"/>
    <n v="499"/>
    <n v="0.15"/>
    <s v="Central"/>
    <s v="COD"/>
    <x v="2"/>
    <n v="31996"/>
  </r>
  <r>
    <s v="ORD02583"/>
    <d v="2026-09-18T00:00:00"/>
    <s v="C1251"/>
    <s v="Laptop Stand"/>
    <x v="4"/>
    <n v="4"/>
    <n v="1299"/>
    <n v="0.15"/>
    <s v="South"/>
    <s v="UPI"/>
    <x v="0"/>
    <n v="1272.45"/>
  </r>
  <r>
    <s v="ORD02584"/>
    <d v="2026-08-06T00:00:00"/>
    <s v="C1556"/>
    <s v="Webcam"/>
    <x v="4"/>
    <n v="2"/>
    <n v="2499"/>
    <n v="0"/>
    <s v="South"/>
    <s v="Net Banking"/>
    <x v="0"/>
    <n v="4416.5999999999995"/>
  </r>
  <r>
    <s v="ORD02585"/>
    <d v="2026-08-22T00:00:00"/>
    <s v="C1004"/>
    <s v="Headphones"/>
    <x v="3"/>
    <n v="3"/>
    <n v="599"/>
    <n v="0.05"/>
    <s v="East"/>
    <s v="UPI"/>
    <x v="0"/>
    <n v="4998"/>
  </r>
  <r>
    <s v="ORD02586"/>
    <d v="2026-09-10T00:00:00"/>
    <s v="C1393"/>
    <s v="Power Bank"/>
    <x v="4"/>
    <n v="4"/>
    <n v="1499"/>
    <n v="0.05"/>
    <s v="West"/>
    <s v="Credit Card"/>
    <x v="1"/>
    <n v="1707.1499999999999"/>
  </r>
  <r>
    <s v="ORD02587"/>
    <d v="2026-05-19T00:00:00"/>
    <s v="C1389"/>
    <s v="Wireless Mouse"/>
    <x v="0"/>
    <n v="1"/>
    <n v="799"/>
    <n v="0.05"/>
    <s v="Central"/>
    <s v="Credit Card"/>
    <x v="0"/>
    <n v="5696.2"/>
  </r>
  <r>
    <s v="ORD02588"/>
    <d v="2026-02-08T00:00:00"/>
    <s v="C1101"/>
    <s v="Power Bank"/>
    <x v="0"/>
    <n v="2"/>
    <n v="799"/>
    <n v="0"/>
    <s v="East"/>
    <s v="UPI"/>
    <x v="0"/>
    <n v="759.05"/>
  </r>
  <r>
    <s v="ORD02589"/>
    <d v="2026-05-11T00:00:00"/>
    <s v="C1064"/>
    <s v="Wireless Mouse"/>
    <x v="2"/>
    <n v="1"/>
    <n v="1299"/>
    <n v="0.15"/>
    <s v="South"/>
    <s v="Net Banking"/>
    <x v="0"/>
    <n v="1598"/>
  </r>
  <r>
    <s v="ORD02590"/>
    <d v="2026-08-18T00:00:00"/>
    <s v="C1302"/>
    <s v="Mechanical Keyboard"/>
    <x v="1"/>
    <n v="1"/>
    <n v="2499"/>
    <n v="0.05"/>
    <s v="South"/>
    <s v="Net Banking"/>
    <x v="0"/>
    <n v="1104.1499999999999"/>
  </r>
  <r>
    <s v="ORD02591"/>
    <d v="2026-05-03T00:00:00"/>
    <s v="C1169"/>
    <s v="Webcam"/>
    <x v="0"/>
    <n v="4"/>
    <n v="2499"/>
    <n v="0.05"/>
    <s v="East"/>
    <s v="UPI"/>
    <x v="0"/>
    <n v="2374.0499999999997"/>
  </r>
  <r>
    <s v="ORD02592"/>
    <d v="2026-08-28T00:00:00"/>
    <s v="C1261"/>
    <s v="USB-C Hub"/>
    <x v="2"/>
    <n v="1"/>
    <n v="599"/>
    <n v="0"/>
    <s v="East"/>
    <s v="COD"/>
    <x v="0"/>
    <n v="9496.1999999999989"/>
  </r>
  <r>
    <s v="ORD02593"/>
    <d v="2026-04-09T00:00:00"/>
    <s v="C1455"/>
    <s v="Bluetooth Speaker"/>
    <x v="3"/>
    <n v="2"/>
    <n v="2499"/>
    <n v="0"/>
    <s v="North"/>
    <s v="UPI"/>
    <x v="2"/>
    <n v="599"/>
  </r>
  <r>
    <s v="ORD02594"/>
    <d v="2026-02-11T00:00:00"/>
    <s v="C1586"/>
    <s v="Monitor"/>
    <x v="1"/>
    <n v="4"/>
    <n v="599"/>
    <n v="0"/>
    <s v="East"/>
    <s v="COD"/>
    <x v="0"/>
    <n v="4998"/>
  </r>
  <r>
    <s v="ORD02595"/>
    <d v="2026-04-11T00:00:00"/>
    <s v="C1121"/>
    <s v="Bluetooth Speaker"/>
    <x v="4"/>
    <n v="2"/>
    <n v="999"/>
    <n v="0"/>
    <s v="West"/>
    <s v="Credit Card"/>
    <x v="0"/>
    <n v="2396"/>
  </r>
  <r>
    <s v="ORD02596"/>
    <d v="2026-05-29T00:00:00"/>
    <s v="C1339"/>
    <s v="Mechanical Keyboard"/>
    <x v="4"/>
    <n v="4"/>
    <n v="799"/>
    <n v="0.15"/>
    <s v="Central"/>
    <s v="COD"/>
    <x v="2"/>
    <n v="1998"/>
  </r>
  <r>
    <s v="ORD02597"/>
    <d v="2026-02-16T00:00:00"/>
    <s v="C1736"/>
    <s v="Mechanical Keyboard"/>
    <x v="4"/>
    <n v="2"/>
    <n v="4999"/>
    <n v="0.1"/>
    <s v="Central"/>
    <s v="UPI"/>
    <x v="2"/>
    <n v="2716.6"/>
  </r>
  <r>
    <s v="ORD02598"/>
    <d v="2026-03-16T00:00:00"/>
    <s v="C1532"/>
    <s v="USB-C Hub"/>
    <x v="1"/>
    <n v="2"/>
    <n v="599"/>
    <n v="0.1"/>
    <s v="South"/>
    <s v="Net Banking"/>
    <x v="0"/>
    <n v="8998.2000000000007"/>
  </r>
  <r>
    <s v="ORD02599"/>
    <d v="2026-01-21T00:00:00"/>
    <s v="C1383"/>
    <s v="Monitor"/>
    <x v="4"/>
    <n v="2"/>
    <n v="499"/>
    <n v="0"/>
    <s v="South"/>
    <s v="COD"/>
    <x v="0"/>
    <n v="1078.2"/>
  </r>
  <r>
    <s v="ORD02600"/>
    <d v="2026-08-12T00:00:00"/>
    <s v="C1771"/>
    <s v="USB-C Hub"/>
    <x v="4"/>
    <n v="1"/>
    <n v="799"/>
    <n v="0.1"/>
    <s v="East"/>
    <s v="Debit Card"/>
    <x v="0"/>
    <n v="998"/>
  </r>
  <r>
    <s v="ORD02601"/>
    <d v="2026-01-14T00:00:00"/>
    <s v="C1390"/>
    <s v="USB-C Hub"/>
    <x v="1"/>
    <n v="5"/>
    <n v="799"/>
    <n v="0.05"/>
    <s v="North"/>
    <s v="Net Banking"/>
    <x v="2"/>
    <n v="719.1"/>
  </r>
  <r>
    <s v="ORD02602"/>
    <d v="2026-05-05T00:00:00"/>
    <s v="C1121"/>
    <s v="Webcam"/>
    <x v="4"/>
    <n v="4"/>
    <n v="499"/>
    <n v="0.05"/>
    <s v="North"/>
    <s v="Net Banking"/>
    <x v="0"/>
    <n v="3795.25"/>
  </r>
  <r>
    <s v="ORD02603"/>
    <d v="2026-06-03T00:00:00"/>
    <s v="C1011"/>
    <s v="Power Bank"/>
    <x v="1"/>
    <n v="4"/>
    <n v="499"/>
    <n v="0.15"/>
    <s v="West"/>
    <s v="Net Banking"/>
    <x v="0"/>
    <n v="1896.1999999999998"/>
  </r>
  <r>
    <s v="ORD02604"/>
    <d v="2026-08-28T00:00:00"/>
    <s v="C1035"/>
    <s v="USB-C Hub"/>
    <x v="4"/>
    <n v="5"/>
    <n v="1499"/>
    <n v="0.15"/>
    <s v="North"/>
    <s v="Debit Card"/>
    <x v="0"/>
    <n v="1696.6"/>
  </r>
  <r>
    <s v="ORD02605"/>
    <d v="2026-02-16T00:00:00"/>
    <s v="C1061"/>
    <s v="Laptop Stand"/>
    <x v="2"/>
    <n v="1"/>
    <n v="1499"/>
    <n v="0"/>
    <s v="North"/>
    <s v="Credit Card"/>
    <x v="1"/>
    <n v="6370.75"/>
  </r>
  <r>
    <s v="ORD02606"/>
    <d v="2026-06-15T00:00:00"/>
    <s v="C1265"/>
    <s v="Laptop Stand"/>
    <x v="0"/>
    <n v="3"/>
    <n v="1999"/>
    <n v="0.15"/>
    <s v="Central"/>
    <s v="Debit Card"/>
    <x v="0"/>
    <n v="1499"/>
  </r>
  <r>
    <s v="ORD02607"/>
    <d v="2026-07-22T00:00:00"/>
    <s v="C1343"/>
    <s v="Mechanical Keyboard"/>
    <x v="2"/>
    <n v="2"/>
    <n v="799"/>
    <n v="0.05"/>
    <s v="East"/>
    <s v="Debit Card"/>
    <x v="0"/>
    <n v="5097.45"/>
  </r>
  <r>
    <s v="ORD02608"/>
    <d v="2026-08-03T00:00:00"/>
    <s v="C1161"/>
    <s v="Bluetooth Speaker"/>
    <x v="2"/>
    <n v="3"/>
    <n v="999"/>
    <n v="0.15"/>
    <s v="North"/>
    <s v="Debit Card"/>
    <x v="1"/>
    <n v="1518.1"/>
  </r>
  <r>
    <s v="ORD02609"/>
    <d v="2026-03-25T00:00:00"/>
    <s v="C1551"/>
    <s v="Wireless Mouse"/>
    <x v="4"/>
    <n v="5"/>
    <n v="599"/>
    <n v="0"/>
    <s v="North"/>
    <s v="Net Banking"/>
    <x v="1"/>
    <n v="2547.4499999999998"/>
  </r>
  <r>
    <s v="ORD02610"/>
    <d v="2026-06-07T00:00:00"/>
    <s v="C1630"/>
    <s v="Mechanical Keyboard"/>
    <x v="3"/>
    <n v="4"/>
    <n v="599"/>
    <n v="0.1"/>
    <s v="East"/>
    <s v="UPI"/>
    <x v="1"/>
    <n v="2995"/>
  </r>
  <r>
    <s v="ORD02611"/>
    <d v="2026-07-30T00:00:00"/>
    <s v="C1080"/>
    <s v="Mechanical Keyboard"/>
    <x v="3"/>
    <n v="2"/>
    <n v="1999"/>
    <n v="0.15"/>
    <s v="East"/>
    <s v="COD"/>
    <x v="0"/>
    <n v="2156.4"/>
  </r>
  <r>
    <s v="ORD02612"/>
    <d v="2026-04-30T00:00:00"/>
    <s v="C1458"/>
    <s v="USB-C Hub"/>
    <x v="3"/>
    <n v="1"/>
    <n v="1999"/>
    <n v="0.1"/>
    <s v="Central"/>
    <s v="Credit Card"/>
    <x v="1"/>
    <n v="3398.2999999999997"/>
  </r>
  <r>
    <s v="ORD02613"/>
    <d v="2026-02-10T00:00:00"/>
    <s v="C1713"/>
    <s v="Webcam"/>
    <x v="0"/>
    <n v="5"/>
    <n v="4999"/>
    <n v="0"/>
    <s v="North"/>
    <s v="COD"/>
    <x v="0"/>
    <n v="1799.1000000000001"/>
  </r>
  <r>
    <s v="ORD02614"/>
    <d v="2026-08-22T00:00:00"/>
    <s v="C1182"/>
    <s v="Headphones"/>
    <x v="4"/>
    <n v="4"/>
    <n v="599"/>
    <n v="0"/>
    <s v="Central"/>
    <s v="Net Banking"/>
    <x v="1"/>
    <n v="24995"/>
  </r>
  <r>
    <s v="ORD02615"/>
    <d v="2026-06-07T00:00:00"/>
    <s v="C1583"/>
    <s v="Power Bank"/>
    <x v="2"/>
    <n v="4"/>
    <n v="799"/>
    <n v="0"/>
    <s v="South"/>
    <s v="COD"/>
    <x v="0"/>
    <n v="2396"/>
  </r>
  <r>
    <s v="ORD02616"/>
    <d v="2026-07-05T00:00:00"/>
    <s v="C1660"/>
    <s v="Mechanical Keyboard"/>
    <x v="3"/>
    <n v="1"/>
    <n v="1999"/>
    <n v="0.15"/>
    <s v="West"/>
    <s v="Net Banking"/>
    <x v="2"/>
    <n v="3196"/>
  </r>
  <r>
    <s v="ORD02617"/>
    <d v="2026-06-22T00:00:00"/>
    <s v="C1195"/>
    <s v="Bluetooth Speaker"/>
    <x v="4"/>
    <n v="2"/>
    <n v="4999"/>
    <n v="0"/>
    <s v="South"/>
    <s v="Credit Card"/>
    <x v="2"/>
    <n v="1699.1499999999999"/>
  </r>
  <r>
    <s v="ORD02618"/>
    <d v="2026-03-14T00:00:00"/>
    <s v="C1077"/>
    <s v="Power Bank"/>
    <x v="4"/>
    <n v="3"/>
    <n v="1999"/>
    <n v="0"/>
    <s v="East"/>
    <s v="UPI"/>
    <x v="2"/>
    <n v="9998"/>
  </r>
  <r>
    <s v="ORD02619"/>
    <d v="2026-05-13T00:00:00"/>
    <s v="C1366"/>
    <s v="Power Bank"/>
    <x v="0"/>
    <n v="1"/>
    <n v="599"/>
    <n v="0.1"/>
    <s v="North"/>
    <s v="Debit Card"/>
    <x v="2"/>
    <n v="5997"/>
  </r>
  <r>
    <s v="ORD02620"/>
    <d v="2026-02-07T00:00:00"/>
    <s v="C1583"/>
    <s v="Headphones"/>
    <x v="4"/>
    <n v="5"/>
    <n v="2499"/>
    <n v="0.1"/>
    <s v="South"/>
    <s v="Net Banking"/>
    <x v="0"/>
    <n v="539.1"/>
  </r>
  <r>
    <s v="ORD02621"/>
    <d v="2026-08-16T00:00:00"/>
    <s v="C1243"/>
    <s v="Wireless Mouse"/>
    <x v="0"/>
    <n v="4"/>
    <n v="2499"/>
    <n v="0"/>
    <s v="North"/>
    <s v="COD"/>
    <x v="2"/>
    <n v="11245.5"/>
  </r>
  <r>
    <s v="ORD02622"/>
    <d v="2026-03-19T00:00:00"/>
    <s v="C1282"/>
    <s v="Keyboard"/>
    <x v="0"/>
    <n v="4"/>
    <n v="4999"/>
    <n v="0.05"/>
    <s v="West"/>
    <s v="Credit Card"/>
    <x v="1"/>
    <n v="9996"/>
  </r>
  <r>
    <s v="ORD02623"/>
    <d v="2026-08-09T00:00:00"/>
    <s v="C1474"/>
    <s v="Wireless Mouse"/>
    <x v="2"/>
    <n v="1"/>
    <n v="799"/>
    <n v="0.05"/>
    <s v="Central"/>
    <s v="COD"/>
    <x v="0"/>
    <n v="18996.2"/>
  </r>
  <r>
    <s v="ORD02624"/>
    <d v="2026-09-12T00:00:00"/>
    <s v="C1307"/>
    <s v="Keyboard"/>
    <x v="0"/>
    <n v="3"/>
    <n v="1299"/>
    <n v="0"/>
    <s v="East"/>
    <s v="Net Banking"/>
    <x v="2"/>
    <n v="759.05"/>
  </r>
  <r>
    <s v="ORD02625"/>
    <d v="2026-06-27T00:00:00"/>
    <s v="C1022"/>
    <s v="Webcam"/>
    <x v="2"/>
    <n v="2"/>
    <n v="999"/>
    <n v="0.15"/>
    <s v="North"/>
    <s v="UPI"/>
    <x v="0"/>
    <n v="3897"/>
  </r>
  <r>
    <s v="ORD02626"/>
    <d v="2026-07-11T00:00:00"/>
    <s v="C1524"/>
    <s v="Laptop Stand"/>
    <x v="3"/>
    <n v="1"/>
    <n v="2499"/>
    <n v="0.1"/>
    <s v="Central"/>
    <s v="Credit Card"/>
    <x v="2"/>
    <n v="1698.3"/>
  </r>
  <r>
    <s v="ORD02627"/>
    <d v="2026-04-08T00:00:00"/>
    <s v="C1022"/>
    <s v="Mechanical Keyboard"/>
    <x v="4"/>
    <n v="3"/>
    <n v="1299"/>
    <n v="0"/>
    <s v="East"/>
    <s v="COD"/>
    <x v="0"/>
    <n v="2249.1"/>
  </r>
  <r>
    <s v="ORD02628"/>
    <d v="2026-07-28T00:00:00"/>
    <s v="C1380"/>
    <s v="USB-C Hub"/>
    <x v="3"/>
    <n v="3"/>
    <n v="799"/>
    <n v="0.15"/>
    <s v="West"/>
    <s v="COD"/>
    <x v="2"/>
    <n v="3897"/>
  </r>
  <r>
    <s v="ORD02629"/>
    <d v="2026-06-21T00:00:00"/>
    <s v="C1294"/>
    <s v="Bluetooth Speaker"/>
    <x v="1"/>
    <n v="3"/>
    <n v="7999"/>
    <n v="0"/>
    <s v="South"/>
    <s v="Credit Card"/>
    <x v="1"/>
    <n v="2037.45"/>
  </r>
  <r>
    <s v="ORD02630"/>
    <d v="2026-07-16T00:00:00"/>
    <s v="C1454"/>
    <s v="Mechanical Keyboard"/>
    <x v="4"/>
    <n v="2"/>
    <n v="2499"/>
    <n v="0"/>
    <s v="West"/>
    <s v="Net Banking"/>
    <x v="0"/>
    <n v="23997"/>
  </r>
  <r>
    <s v="ORD02631"/>
    <d v="2026-01-18T00:00:00"/>
    <s v="C1022"/>
    <s v="Keyboard"/>
    <x v="1"/>
    <n v="4"/>
    <n v="1999"/>
    <n v="0"/>
    <s v="West"/>
    <s v="COD"/>
    <x v="0"/>
    <n v="4998"/>
  </r>
  <r>
    <s v="ORD02632"/>
    <d v="2026-05-28T00:00:00"/>
    <s v="C1440"/>
    <s v="Bluetooth Speaker"/>
    <x v="4"/>
    <n v="2"/>
    <n v="1999"/>
    <n v="0.15"/>
    <s v="Central"/>
    <s v="COD"/>
    <x v="0"/>
    <n v="7996"/>
  </r>
  <r>
    <s v="ORD02633"/>
    <d v="2026-03-03T00:00:00"/>
    <s v="C1002"/>
    <s v="Laptop Stand"/>
    <x v="0"/>
    <n v="5"/>
    <n v="799"/>
    <n v="0"/>
    <s v="South"/>
    <s v="Credit Card"/>
    <x v="1"/>
    <n v="3398.2999999999997"/>
  </r>
  <r>
    <s v="ORD02634"/>
    <d v="2026-02-28T00:00:00"/>
    <s v="C1115"/>
    <s v="Webcam"/>
    <x v="4"/>
    <n v="3"/>
    <n v="499"/>
    <n v="0"/>
    <s v="West"/>
    <s v="Credit Card"/>
    <x v="0"/>
    <n v="3995"/>
  </r>
  <r>
    <s v="ORD02635"/>
    <d v="2026-07-06T00:00:00"/>
    <s v="C1057"/>
    <s v="Bluetooth Speaker"/>
    <x v="2"/>
    <n v="4"/>
    <n v="599"/>
    <n v="0.15"/>
    <s v="West"/>
    <s v="UPI"/>
    <x v="0"/>
    <n v="1497"/>
  </r>
  <r>
    <s v="ORD02636"/>
    <d v="2026-01-04T00:00:00"/>
    <s v="C1297"/>
    <s v="Wireless Mouse"/>
    <x v="2"/>
    <n v="1"/>
    <n v="1999"/>
    <n v="0"/>
    <s v="Central"/>
    <s v="Net Banking"/>
    <x v="0"/>
    <n v="2036.6"/>
  </r>
  <r>
    <s v="ORD02637"/>
    <d v="2026-04-22T00:00:00"/>
    <s v="C1408"/>
    <s v="Mechanical Keyboard"/>
    <x v="3"/>
    <n v="2"/>
    <n v="799"/>
    <n v="0"/>
    <s v="North"/>
    <s v="Credit Card"/>
    <x v="0"/>
    <n v="1999"/>
  </r>
  <r>
    <s v="ORD02638"/>
    <d v="2026-01-26T00:00:00"/>
    <s v="C1718"/>
    <s v="Bluetooth Speaker"/>
    <x v="2"/>
    <n v="3"/>
    <n v="2499"/>
    <n v="0"/>
    <s v="East"/>
    <s v="Credit Card"/>
    <x v="1"/>
    <n v="1598"/>
  </r>
  <r>
    <s v="ORD02639"/>
    <d v="2026-03-29T00:00:00"/>
    <s v="C1227"/>
    <s v="Power Bank"/>
    <x v="4"/>
    <n v="1"/>
    <n v="799"/>
    <n v="0.1"/>
    <s v="East"/>
    <s v="Credit Card"/>
    <x v="0"/>
    <n v="7497"/>
  </r>
  <r>
    <s v="ORD02640"/>
    <d v="2026-05-09T00:00:00"/>
    <s v="C1729"/>
    <s v="Bluetooth Speaker"/>
    <x v="2"/>
    <n v="3"/>
    <n v="799"/>
    <n v="0.1"/>
    <s v="North"/>
    <s v="Credit Card"/>
    <x v="2"/>
    <n v="719.1"/>
  </r>
  <r>
    <s v="ORD02641"/>
    <d v="2026-05-08T00:00:00"/>
    <s v="C1417"/>
    <s v="Laptop Stand"/>
    <x v="4"/>
    <n v="4"/>
    <n v="7999"/>
    <n v="0.05"/>
    <s v="South"/>
    <s v="Net Banking"/>
    <x v="0"/>
    <n v="2157.3000000000002"/>
  </r>
  <r>
    <s v="ORD02642"/>
    <d v="2026-05-02T00:00:00"/>
    <s v="C1794"/>
    <s v="Power Bank"/>
    <x v="3"/>
    <n v="3"/>
    <n v="599"/>
    <n v="0"/>
    <s v="West"/>
    <s v="Net Banking"/>
    <x v="0"/>
    <n v="30396.199999999997"/>
  </r>
  <r>
    <s v="ORD02643"/>
    <d v="2026-06-07T00:00:00"/>
    <s v="C1463"/>
    <s v="Monitor"/>
    <x v="0"/>
    <n v="5"/>
    <n v="999"/>
    <n v="0.15"/>
    <s v="North"/>
    <s v="Net Banking"/>
    <x v="0"/>
    <n v="1797"/>
  </r>
  <r>
    <s v="ORD02644"/>
    <d v="2026-05-04T00:00:00"/>
    <s v="C1163"/>
    <s v="Laptop Stand"/>
    <x v="3"/>
    <n v="4"/>
    <n v="999"/>
    <n v="0.15"/>
    <s v="Central"/>
    <s v="UPI"/>
    <x v="0"/>
    <n v="4245.75"/>
  </r>
  <r>
    <s v="ORD02645"/>
    <d v="2026-09-02T00:00:00"/>
    <s v="C1414"/>
    <s v="USB-C Hub"/>
    <x v="1"/>
    <n v="5"/>
    <n v="4999"/>
    <n v="0.05"/>
    <s v="North"/>
    <s v="Net Banking"/>
    <x v="0"/>
    <n v="3396.6"/>
  </r>
  <r>
    <s v="ORD02646"/>
    <d v="2026-03-08T00:00:00"/>
    <s v="C1464"/>
    <s v="Laptop Stand"/>
    <x v="3"/>
    <n v="4"/>
    <n v="599"/>
    <n v="0.15"/>
    <s v="South"/>
    <s v="UPI"/>
    <x v="1"/>
    <n v="23745.25"/>
  </r>
  <r>
    <s v="ORD02647"/>
    <d v="2026-02-01T00:00:00"/>
    <s v="C1747"/>
    <s v="Headphones"/>
    <x v="3"/>
    <n v="1"/>
    <n v="1299"/>
    <n v="0"/>
    <s v="North"/>
    <s v="Net Banking"/>
    <x v="0"/>
    <n v="2036.6"/>
  </r>
  <r>
    <s v="ORD02648"/>
    <d v="2026-04-20T00:00:00"/>
    <s v="C1448"/>
    <s v="Wireless Mouse"/>
    <x v="2"/>
    <n v="2"/>
    <n v="599"/>
    <n v="0.15"/>
    <s v="South"/>
    <s v="Credit Card"/>
    <x v="0"/>
    <n v="1299"/>
  </r>
  <r>
    <s v="ORD02649"/>
    <d v="2026-03-18T00:00:00"/>
    <s v="C1606"/>
    <s v="Keyboard"/>
    <x v="2"/>
    <n v="4"/>
    <n v="599"/>
    <n v="0"/>
    <s v="South"/>
    <s v="Credit Card"/>
    <x v="1"/>
    <n v="1018.3"/>
  </r>
  <r>
    <s v="ORD02650"/>
    <d v="2026-06-10T00:00:00"/>
    <s v="C1099"/>
    <s v="Keyboard"/>
    <x v="2"/>
    <n v="4"/>
    <n v="1299"/>
    <n v="0.05"/>
    <s v="West"/>
    <s v="Debit Card"/>
    <x v="1"/>
    <n v="2396"/>
  </r>
  <r>
    <s v="ORD02651"/>
    <d v="2026-07-12T00:00:00"/>
    <s v="C1714"/>
    <s v="Laptop Stand"/>
    <x v="1"/>
    <n v="5"/>
    <n v="599"/>
    <n v="0"/>
    <s v="North"/>
    <s v="Debit Card"/>
    <x v="0"/>
    <n v="4936.2"/>
  </r>
  <r>
    <s v="ORD02652"/>
    <d v="2026-04-12T00:00:00"/>
    <s v="C1595"/>
    <s v="Headphones"/>
    <x v="4"/>
    <n v="5"/>
    <n v="4999"/>
    <n v="0"/>
    <s v="West"/>
    <s v="Credit Card"/>
    <x v="0"/>
    <n v="2995"/>
  </r>
  <r>
    <s v="ORD02653"/>
    <d v="2026-06-24T00:00:00"/>
    <s v="C1604"/>
    <s v="Laptop Stand"/>
    <x v="3"/>
    <n v="1"/>
    <n v="2499"/>
    <n v="0.1"/>
    <s v="East"/>
    <s v="Net Banking"/>
    <x v="0"/>
    <n v="24995"/>
  </r>
  <r>
    <s v="ORD02654"/>
    <d v="2026-09-08T00:00:00"/>
    <s v="C1008"/>
    <s v="USB-C Hub"/>
    <x v="2"/>
    <n v="3"/>
    <n v="1499"/>
    <n v="0.1"/>
    <s v="Central"/>
    <s v="Net Banking"/>
    <x v="0"/>
    <n v="2249.1"/>
  </r>
  <r>
    <s v="ORD02655"/>
    <d v="2026-09-21T00:00:00"/>
    <s v="C1637"/>
    <s v="Webcam"/>
    <x v="4"/>
    <n v="4"/>
    <n v="799"/>
    <n v="0"/>
    <s v="Central"/>
    <s v="UPI"/>
    <x v="0"/>
    <n v="4047.3"/>
  </r>
  <r>
    <s v="ORD02656"/>
    <d v="2026-01-10T00:00:00"/>
    <s v="C1076"/>
    <s v="Webcam"/>
    <x v="1"/>
    <n v="2"/>
    <n v="499"/>
    <n v="0"/>
    <s v="West"/>
    <s v="Debit Card"/>
    <x v="0"/>
    <n v="3196"/>
  </r>
  <r>
    <s v="ORD02657"/>
    <d v="2026-01-09T00:00:00"/>
    <s v="C1748"/>
    <s v="Keyboard"/>
    <x v="4"/>
    <n v="4"/>
    <n v="999"/>
    <n v="0.15"/>
    <s v="West"/>
    <s v="UPI"/>
    <x v="2"/>
    <n v="998"/>
  </r>
  <r>
    <s v="ORD02658"/>
    <d v="2026-08-31T00:00:00"/>
    <s v="C1417"/>
    <s v="Keyboard"/>
    <x v="4"/>
    <n v="3"/>
    <n v="7999"/>
    <n v="0"/>
    <s v="South"/>
    <s v="Credit Card"/>
    <x v="2"/>
    <n v="3396.6"/>
  </r>
  <r>
    <s v="ORD02659"/>
    <d v="2026-07-02T00:00:00"/>
    <s v="C1671"/>
    <s v="Monitor"/>
    <x v="2"/>
    <n v="1"/>
    <n v="7999"/>
    <n v="0.05"/>
    <s v="East"/>
    <s v="COD"/>
    <x v="0"/>
    <n v="23997"/>
  </r>
  <r>
    <s v="ORD02660"/>
    <d v="2026-02-12T00:00:00"/>
    <s v="C1296"/>
    <s v="USB-C Hub"/>
    <x v="2"/>
    <n v="3"/>
    <n v="1499"/>
    <n v="0.15"/>
    <s v="South"/>
    <s v="Credit Card"/>
    <x v="0"/>
    <n v="7599.0499999999993"/>
  </r>
  <r>
    <s v="ORD02661"/>
    <d v="2026-07-06T00:00:00"/>
    <s v="C1471"/>
    <s v="Power Bank"/>
    <x v="3"/>
    <n v="2"/>
    <n v="499"/>
    <n v="0.1"/>
    <s v="South"/>
    <s v="Credit Card"/>
    <x v="0"/>
    <n v="3822.45"/>
  </r>
  <r>
    <s v="ORD02662"/>
    <d v="2026-07-06T00:00:00"/>
    <s v="C1261"/>
    <s v="Mechanical Keyboard"/>
    <x v="2"/>
    <n v="2"/>
    <n v="1299"/>
    <n v="0.05"/>
    <s v="East"/>
    <s v="Credit Card"/>
    <x v="1"/>
    <n v="898.2"/>
  </r>
  <r>
    <s v="ORD02663"/>
    <d v="2026-01-08T00:00:00"/>
    <s v="C1305"/>
    <s v="Headphones"/>
    <x v="2"/>
    <n v="1"/>
    <n v="1999"/>
    <n v="0.1"/>
    <s v="North"/>
    <s v="UPI"/>
    <x v="0"/>
    <n v="2468.1"/>
  </r>
  <r>
    <s v="ORD02664"/>
    <d v="2026-03-20T00:00:00"/>
    <s v="C1208"/>
    <s v="Keyboard"/>
    <x v="0"/>
    <n v="5"/>
    <n v="599"/>
    <n v="0.05"/>
    <s v="North"/>
    <s v="UPI"/>
    <x v="0"/>
    <n v="1799.1000000000001"/>
  </r>
  <r>
    <s v="ORD02665"/>
    <d v="2026-09-04T00:00:00"/>
    <s v="C1615"/>
    <s v="Monitor"/>
    <x v="0"/>
    <n v="5"/>
    <n v="7999"/>
    <n v="0"/>
    <s v="North"/>
    <s v="Credit Card"/>
    <x v="0"/>
    <n v="2845.25"/>
  </r>
  <r>
    <s v="ORD02666"/>
    <d v="2026-03-04T00:00:00"/>
    <s v="C1754"/>
    <s v="Monitor"/>
    <x v="2"/>
    <n v="3"/>
    <n v="999"/>
    <n v="0"/>
    <s v="West"/>
    <s v="COD"/>
    <x v="0"/>
    <n v="39995"/>
  </r>
  <r>
    <s v="ORD02667"/>
    <d v="2026-08-25T00:00:00"/>
    <s v="C1745"/>
    <s v="Keyboard"/>
    <x v="3"/>
    <n v="4"/>
    <n v="999"/>
    <n v="0.05"/>
    <s v="East"/>
    <s v="Net Banking"/>
    <x v="0"/>
    <n v="2997"/>
  </r>
  <r>
    <s v="ORD02668"/>
    <d v="2026-03-02T00:00:00"/>
    <s v="C1113"/>
    <s v="USB-C Hub"/>
    <x v="2"/>
    <n v="3"/>
    <n v="1299"/>
    <n v="0"/>
    <s v="West"/>
    <s v="UPI"/>
    <x v="2"/>
    <n v="3796.2"/>
  </r>
  <r>
    <s v="ORD02669"/>
    <d v="2026-03-15T00:00:00"/>
    <s v="C1198"/>
    <s v="Monitor"/>
    <x v="0"/>
    <n v="5"/>
    <n v="2499"/>
    <n v="0.05"/>
    <s v="North"/>
    <s v="COD"/>
    <x v="0"/>
    <n v="3897"/>
  </r>
  <r>
    <s v="ORD02670"/>
    <d v="2026-04-28T00:00:00"/>
    <s v="C1111"/>
    <s v="Power Bank"/>
    <x v="4"/>
    <n v="5"/>
    <n v="999"/>
    <n v="0.1"/>
    <s v="West"/>
    <s v="UPI"/>
    <x v="0"/>
    <n v="11870.25"/>
  </r>
  <r>
    <s v="ORD02671"/>
    <d v="2026-08-22T00:00:00"/>
    <s v="C1658"/>
    <s v="Laptop Stand"/>
    <x v="4"/>
    <n v="5"/>
    <n v="1999"/>
    <n v="0.1"/>
    <s v="North"/>
    <s v="UPI"/>
    <x v="0"/>
    <n v="4495.5"/>
  </r>
  <r>
    <s v="ORD02672"/>
    <d v="2026-03-10T00:00:00"/>
    <s v="C1147"/>
    <s v="Webcam"/>
    <x v="4"/>
    <n v="2"/>
    <n v="499"/>
    <n v="0.1"/>
    <s v="North"/>
    <s v="Credit Card"/>
    <x v="0"/>
    <n v="8995.5"/>
  </r>
  <r>
    <s v="ORD02673"/>
    <d v="2026-05-26T00:00:00"/>
    <s v="C1570"/>
    <s v="Monitor"/>
    <x v="4"/>
    <n v="5"/>
    <n v="799"/>
    <n v="0"/>
    <s v="East"/>
    <s v="Credit Card"/>
    <x v="0"/>
    <n v="898.2"/>
  </r>
  <r>
    <s v="ORD02674"/>
    <d v="2026-08-03T00:00:00"/>
    <s v="C1139"/>
    <s v="Keyboard"/>
    <x v="3"/>
    <n v="3"/>
    <n v="599"/>
    <n v="0.15"/>
    <s v="East"/>
    <s v="COD"/>
    <x v="2"/>
    <n v="3995"/>
  </r>
  <r>
    <s v="ORD02675"/>
    <d v="2026-09-17T00:00:00"/>
    <s v="C1737"/>
    <s v="Keyboard"/>
    <x v="4"/>
    <n v="1"/>
    <n v="799"/>
    <n v="0.1"/>
    <s v="South"/>
    <s v="Credit Card"/>
    <x v="0"/>
    <n v="1527.45"/>
  </r>
  <r>
    <s v="ORD02676"/>
    <d v="2026-09-01T00:00:00"/>
    <s v="C1222"/>
    <s v="Webcam"/>
    <x v="3"/>
    <n v="1"/>
    <n v="1999"/>
    <n v="0"/>
    <s v="South"/>
    <s v="Credit Card"/>
    <x v="0"/>
    <n v="719.1"/>
  </r>
  <r>
    <s v="ORD02677"/>
    <d v="2026-05-27T00:00:00"/>
    <s v="C1280"/>
    <s v="Laptop Stand"/>
    <x v="1"/>
    <n v="5"/>
    <n v="4999"/>
    <n v="0"/>
    <s v="West"/>
    <s v="Debit Card"/>
    <x v="0"/>
    <n v="1999"/>
  </r>
  <r>
    <s v="ORD02678"/>
    <d v="2026-05-29T00:00:00"/>
    <s v="C1435"/>
    <s v="Mechanical Keyboard"/>
    <x v="1"/>
    <n v="2"/>
    <n v="599"/>
    <n v="0.05"/>
    <s v="West"/>
    <s v="COD"/>
    <x v="0"/>
    <n v="24995"/>
  </r>
  <r>
    <s v="ORD02679"/>
    <d v="2026-06-07T00:00:00"/>
    <s v="C1415"/>
    <s v="Wireless Mouse"/>
    <x v="4"/>
    <n v="4"/>
    <n v="1299"/>
    <n v="0.1"/>
    <s v="West"/>
    <s v="Debit Card"/>
    <x v="0"/>
    <n v="1138.0999999999999"/>
  </r>
  <r>
    <s v="ORD02680"/>
    <d v="2026-02-20T00:00:00"/>
    <s v="C1426"/>
    <s v="Monitor"/>
    <x v="4"/>
    <n v="2"/>
    <n v="1299"/>
    <n v="0"/>
    <s v="East"/>
    <s v="Credit Card"/>
    <x v="0"/>
    <n v="4676.4000000000005"/>
  </r>
  <r>
    <s v="ORD02681"/>
    <d v="2026-03-10T00:00:00"/>
    <s v="C1067"/>
    <s v="USB-C Hub"/>
    <x v="4"/>
    <n v="3"/>
    <n v="999"/>
    <n v="0.05"/>
    <s v="Central"/>
    <s v="UPI"/>
    <x v="2"/>
    <n v="2598"/>
  </r>
  <r>
    <s v="ORD02682"/>
    <d v="2026-08-31T00:00:00"/>
    <s v="C1650"/>
    <s v="Headphones"/>
    <x v="4"/>
    <n v="2"/>
    <n v="1499"/>
    <n v="0"/>
    <s v="Central"/>
    <s v="Debit Card"/>
    <x v="0"/>
    <n v="2847.15"/>
  </r>
  <r>
    <s v="ORD02683"/>
    <d v="2026-09-07T00:00:00"/>
    <s v="C1260"/>
    <s v="Headphones"/>
    <x v="0"/>
    <n v="3"/>
    <n v="999"/>
    <n v="0"/>
    <s v="South"/>
    <s v="COD"/>
    <x v="2"/>
    <n v="2998"/>
  </r>
  <r>
    <s v="ORD02684"/>
    <d v="2026-05-06T00:00:00"/>
    <s v="C1526"/>
    <s v="Power Bank"/>
    <x v="3"/>
    <n v="5"/>
    <n v="4999"/>
    <n v="0"/>
    <s v="South"/>
    <s v="Net Banking"/>
    <x v="0"/>
    <n v="2997"/>
  </r>
  <r>
    <s v="ORD02685"/>
    <d v="2026-03-08T00:00:00"/>
    <s v="C1794"/>
    <s v="Keyboard"/>
    <x v="4"/>
    <n v="2"/>
    <n v="1499"/>
    <n v="0.05"/>
    <s v="South"/>
    <s v="COD"/>
    <x v="0"/>
    <n v="24995"/>
  </r>
  <r>
    <s v="ORD02686"/>
    <d v="2026-03-02T00:00:00"/>
    <s v="C1218"/>
    <s v="Mechanical Keyboard"/>
    <x v="2"/>
    <n v="3"/>
    <n v="7999"/>
    <n v="0.05"/>
    <s v="East"/>
    <s v="UPI"/>
    <x v="0"/>
    <n v="2848.1"/>
  </r>
  <r>
    <s v="ORD02687"/>
    <d v="2026-01-23T00:00:00"/>
    <s v="C1412"/>
    <s v="Power Bank"/>
    <x v="0"/>
    <n v="1"/>
    <n v="7999"/>
    <n v="0"/>
    <s v="South"/>
    <s v="Net Banking"/>
    <x v="0"/>
    <n v="22797.149999999998"/>
  </r>
  <r>
    <s v="ORD02688"/>
    <d v="2026-04-17T00:00:00"/>
    <s v="C1575"/>
    <s v="USB-C Hub"/>
    <x v="1"/>
    <n v="5"/>
    <n v="499"/>
    <n v="0"/>
    <s v="East"/>
    <s v="COD"/>
    <x v="0"/>
    <n v="7999"/>
  </r>
  <r>
    <s v="ORD02689"/>
    <d v="2026-03-15T00:00:00"/>
    <s v="C1253"/>
    <s v="Wireless Mouse"/>
    <x v="3"/>
    <n v="4"/>
    <n v="999"/>
    <n v="0.1"/>
    <s v="East"/>
    <s v="Debit Card"/>
    <x v="2"/>
    <n v="2495"/>
  </r>
  <r>
    <s v="ORD02690"/>
    <d v="2026-05-31T00:00:00"/>
    <s v="C1246"/>
    <s v="Webcam"/>
    <x v="3"/>
    <n v="1"/>
    <n v="2499"/>
    <n v="0.1"/>
    <s v="West"/>
    <s v="COD"/>
    <x v="0"/>
    <n v="3596.4"/>
  </r>
  <r>
    <s v="ORD02691"/>
    <d v="2026-05-28T00:00:00"/>
    <s v="C1236"/>
    <s v="Webcam"/>
    <x v="0"/>
    <n v="2"/>
    <n v="799"/>
    <n v="0"/>
    <s v="South"/>
    <s v="UPI"/>
    <x v="0"/>
    <n v="2249.1"/>
  </r>
  <r>
    <s v="ORD02692"/>
    <d v="2026-04-27T00:00:00"/>
    <s v="C1449"/>
    <s v="Bluetooth Speaker"/>
    <x v="3"/>
    <n v="4"/>
    <n v="7999"/>
    <n v="0.15"/>
    <s v="Central"/>
    <s v="Debit Card"/>
    <x v="0"/>
    <n v="1598"/>
  </r>
  <r>
    <s v="ORD02693"/>
    <d v="2026-03-21T00:00:00"/>
    <s v="C1597"/>
    <s v="Monitor"/>
    <x v="1"/>
    <n v="2"/>
    <n v="1299"/>
    <n v="0"/>
    <s v="West"/>
    <s v="COD"/>
    <x v="0"/>
    <n v="27196.6"/>
  </r>
  <r>
    <s v="ORD02694"/>
    <d v="2026-08-28T00:00:00"/>
    <s v="C1631"/>
    <s v="Bluetooth Speaker"/>
    <x v="0"/>
    <n v="5"/>
    <n v="599"/>
    <n v="0"/>
    <s v="East"/>
    <s v="Credit Card"/>
    <x v="1"/>
    <n v="2598"/>
  </r>
  <r>
    <s v="ORD02695"/>
    <d v="2026-06-23T00:00:00"/>
    <s v="C1752"/>
    <s v="USB-C Hub"/>
    <x v="0"/>
    <n v="3"/>
    <n v="1299"/>
    <n v="0.05"/>
    <s v="South"/>
    <s v="Credit Card"/>
    <x v="0"/>
    <n v="2995"/>
  </r>
  <r>
    <s v="ORD02696"/>
    <d v="2026-06-21T00:00:00"/>
    <s v="C1589"/>
    <s v="Headphones"/>
    <x v="4"/>
    <n v="5"/>
    <n v="1299"/>
    <n v="0.05"/>
    <s v="East"/>
    <s v="UPI"/>
    <x v="0"/>
    <n v="3702.1499999999996"/>
  </r>
  <r>
    <s v="ORD02697"/>
    <d v="2026-05-29T00:00:00"/>
    <s v="C1496"/>
    <s v="Keyboard"/>
    <x v="1"/>
    <n v="2"/>
    <n v="799"/>
    <n v="0.15"/>
    <s v="South"/>
    <s v="COD"/>
    <x v="1"/>
    <n v="6170.25"/>
  </r>
  <r>
    <s v="ORD02698"/>
    <d v="2026-01-15T00:00:00"/>
    <s v="C1293"/>
    <s v="Headphones"/>
    <x v="4"/>
    <n v="3"/>
    <n v="499"/>
    <n v="0.15"/>
    <s v="West"/>
    <s v="Debit Card"/>
    <x v="0"/>
    <n v="1358.3"/>
  </r>
  <r>
    <s v="ORD02699"/>
    <d v="2026-02-01T00:00:00"/>
    <s v="C1694"/>
    <s v="USB-C Hub"/>
    <x v="4"/>
    <n v="3"/>
    <n v="7999"/>
    <n v="0"/>
    <s v="East"/>
    <s v="Net Banking"/>
    <x v="1"/>
    <n v="1272.45"/>
  </r>
  <r>
    <s v="ORD02700"/>
    <d v="2026-06-14T00:00:00"/>
    <s v="C1363"/>
    <s v="Keyboard"/>
    <x v="1"/>
    <n v="2"/>
    <n v="799"/>
    <n v="0.15"/>
    <s v="Central"/>
    <s v="Credit Card"/>
    <x v="1"/>
    <n v="23997"/>
  </r>
  <r>
    <s v="ORD02701"/>
    <d v="2026-09-04T00:00:00"/>
    <s v="C1586"/>
    <s v="USB-C Hub"/>
    <x v="0"/>
    <n v="2"/>
    <n v="1299"/>
    <n v="0"/>
    <s v="North"/>
    <s v="COD"/>
    <x v="2"/>
    <n v="1358.3"/>
  </r>
  <r>
    <s v="ORD02702"/>
    <d v="2026-05-16T00:00:00"/>
    <s v="C1132"/>
    <s v="Mechanical Keyboard"/>
    <x v="2"/>
    <n v="5"/>
    <n v="4999"/>
    <n v="0"/>
    <s v="North"/>
    <s v="Debit Card"/>
    <x v="0"/>
    <n v="2598"/>
  </r>
  <r>
    <s v="ORD02703"/>
    <d v="2026-02-26T00:00:00"/>
    <s v="C1202"/>
    <s v="Monitor"/>
    <x v="1"/>
    <n v="2"/>
    <n v="7999"/>
    <n v="0"/>
    <s v="Central"/>
    <s v="Debit Card"/>
    <x v="0"/>
    <n v="24995"/>
  </r>
  <r>
    <s v="ORD02704"/>
    <d v="2026-06-12T00:00:00"/>
    <s v="C1521"/>
    <s v="Keyboard"/>
    <x v="4"/>
    <n v="5"/>
    <n v="1999"/>
    <n v="0"/>
    <s v="East"/>
    <s v="UPI"/>
    <x v="0"/>
    <n v="15998"/>
  </r>
  <r>
    <s v="ORD02705"/>
    <d v="2026-06-26T00:00:00"/>
    <s v="C1088"/>
    <s v="Wireless Mouse"/>
    <x v="1"/>
    <n v="3"/>
    <n v="599"/>
    <n v="0.05"/>
    <s v="East"/>
    <s v="Credit Card"/>
    <x v="0"/>
    <n v="9995"/>
  </r>
  <r>
    <s v="ORD02706"/>
    <d v="2026-08-26T00:00:00"/>
    <s v="C1624"/>
    <s v="Wireless Mouse"/>
    <x v="2"/>
    <n v="2"/>
    <n v="1999"/>
    <n v="0.05"/>
    <s v="North"/>
    <s v="Debit Card"/>
    <x v="0"/>
    <n v="1707.1499999999999"/>
  </r>
  <r>
    <s v="ORD02707"/>
    <d v="2026-04-28T00:00:00"/>
    <s v="C1682"/>
    <s v="Keyboard"/>
    <x v="2"/>
    <n v="2"/>
    <n v="2499"/>
    <n v="0"/>
    <s v="West"/>
    <s v="COD"/>
    <x v="1"/>
    <n v="3798.1"/>
  </r>
  <r>
    <s v="ORD02708"/>
    <d v="2026-09-25T00:00:00"/>
    <s v="C1031"/>
    <s v="Monitor"/>
    <x v="0"/>
    <n v="2"/>
    <n v="1299"/>
    <n v="0"/>
    <s v="Central"/>
    <s v="Credit Card"/>
    <x v="1"/>
    <n v="4998"/>
  </r>
  <r>
    <s v="ORD02709"/>
    <d v="2026-04-28T00:00:00"/>
    <s v="C1327"/>
    <s v="Keyboard"/>
    <x v="1"/>
    <n v="3"/>
    <n v="499"/>
    <n v="0"/>
    <s v="North"/>
    <s v="Debit Card"/>
    <x v="0"/>
    <n v="2598"/>
  </r>
  <r>
    <s v="ORD02710"/>
    <d v="2026-04-26T00:00:00"/>
    <s v="C1441"/>
    <s v="USB-C Hub"/>
    <x v="3"/>
    <n v="2"/>
    <n v="999"/>
    <n v="0"/>
    <s v="South"/>
    <s v="UPI"/>
    <x v="1"/>
    <n v="1497"/>
  </r>
  <r>
    <s v="ORD02711"/>
    <d v="2026-08-19T00:00:00"/>
    <s v="C1384"/>
    <s v="Mechanical Keyboard"/>
    <x v="1"/>
    <n v="3"/>
    <n v="999"/>
    <n v="0.15"/>
    <s v="North"/>
    <s v="COD"/>
    <x v="1"/>
    <n v="1998"/>
  </r>
  <r>
    <s v="ORD02712"/>
    <d v="2026-03-10T00:00:00"/>
    <s v="C1521"/>
    <s v="Power Bank"/>
    <x v="2"/>
    <n v="1"/>
    <n v="2499"/>
    <n v="0"/>
    <s v="North"/>
    <s v="COD"/>
    <x v="2"/>
    <n v="2547.4499999999998"/>
  </r>
  <r>
    <s v="ORD02713"/>
    <d v="2026-06-10T00:00:00"/>
    <s v="C1537"/>
    <s v="Power Bank"/>
    <x v="0"/>
    <n v="5"/>
    <n v="1499"/>
    <n v="0.1"/>
    <s v="East"/>
    <s v="COD"/>
    <x v="0"/>
    <n v="2499"/>
  </r>
  <r>
    <s v="ORD02714"/>
    <d v="2026-07-06T00:00:00"/>
    <s v="C1177"/>
    <s v="Laptop Stand"/>
    <x v="2"/>
    <n v="5"/>
    <n v="499"/>
    <n v="0.05"/>
    <s v="North"/>
    <s v="Credit Card"/>
    <x v="0"/>
    <n v="6745.5"/>
  </r>
  <r>
    <s v="ORD02715"/>
    <d v="2026-05-24T00:00:00"/>
    <s v="C1629"/>
    <s v="Wireless Mouse"/>
    <x v="0"/>
    <n v="1"/>
    <n v="4999"/>
    <n v="0"/>
    <s v="Central"/>
    <s v="COD"/>
    <x v="1"/>
    <n v="2370.25"/>
  </r>
  <r>
    <s v="ORD02716"/>
    <d v="2026-08-17T00:00:00"/>
    <s v="C1594"/>
    <s v="Wireless Mouse"/>
    <x v="2"/>
    <n v="2"/>
    <n v="499"/>
    <n v="0.1"/>
    <s v="North"/>
    <s v="UPI"/>
    <x v="0"/>
    <n v="4999"/>
  </r>
  <r>
    <s v="ORD02717"/>
    <d v="2026-04-24T00:00:00"/>
    <s v="C1465"/>
    <s v="Keyboard"/>
    <x v="0"/>
    <n v="3"/>
    <n v="499"/>
    <n v="0.05"/>
    <s v="North"/>
    <s v="Debit Card"/>
    <x v="2"/>
    <n v="898.2"/>
  </r>
  <r>
    <s v="ORD02718"/>
    <d v="2026-03-07T00:00:00"/>
    <s v="C1647"/>
    <s v="USB-C Hub"/>
    <x v="3"/>
    <n v="4"/>
    <n v="4999"/>
    <n v="0"/>
    <s v="East"/>
    <s v="Debit Card"/>
    <x v="0"/>
    <n v="1422.1499999999999"/>
  </r>
  <r>
    <s v="ORD02719"/>
    <d v="2026-02-09T00:00:00"/>
    <s v="C1799"/>
    <s v="Mechanical Keyboard"/>
    <x v="3"/>
    <n v="2"/>
    <n v="499"/>
    <n v="0"/>
    <s v="Central"/>
    <s v="UPI"/>
    <x v="0"/>
    <n v="19996"/>
  </r>
  <r>
    <s v="ORD02720"/>
    <d v="2026-08-06T00:00:00"/>
    <s v="C1622"/>
    <s v="Mechanical Keyboard"/>
    <x v="3"/>
    <n v="1"/>
    <n v="1299"/>
    <n v="0"/>
    <s v="West"/>
    <s v="Debit Card"/>
    <x v="0"/>
    <n v="998"/>
  </r>
  <r>
    <s v="ORD02721"/>
    <d v="2026-07-28T00:00:00"/>
    <s v="C1465"/>
    <s v="Webcam"/>
    <x v="1"/>
    <n v="2"/>
    <n v="7999"/>
    <n v="0.1"/>
    <s v="West"/>
    <s v="UPI"/>
    <x v="2"/>
    <n v="1299"/>
  </r>
  <r>
    <s v="ORD02722"/>
    <d v="2026-06-24T00:00:00"/>
    <s v="C1210"/>
    <s v="Bluetooth Speaker"/>
    <x v="3"/>
    <n v="5"/>
    <n v="4999"/>
    <n v="0.1"/>
    <s v="Central"/>
    <s v="Net Banking"/>
    <x v="2"/>
    <n v="14398.2"/>
  </r>
  <r>
    <s v="ORD02723"/>
    <d v="2026-04-01T00:00:00"/>
    <s v="C1548"/>
    <s v="Power Bank"/>
    <x v="4"/>
    <n v="1"/>
    <n v="1999"/>
    <n v="0"/>
    <s v="South"/>
    <s v="Net Banking"/>
    <x v="0"/>
    <n v="22495.5"/>
  </r>
  <r>
    <s v="ORD02724"/>
    <d v="2026-01-22T00:00:00"/>
    <s v="C1218"/>
    <s v="Wireless Mouse"/>
    <x v="0"/>
    <n v="2"/>
    <n v="1499"/>
    <n v="0"/>
    <s v="Central"/>
    <s v="Credit Card"/>
    <x v="0"/>
    <n v="1999"/>
  </r>
  <r>
    <s v="ORD02725"/>
    <d v="2026-09-25T00:00:00"/>
    <s v="C1757"/>
    <s v="Wireless Mouse"/>
    <x v="4"/>
    <n v="1"/>
    <n v="799"/>
    <n v="0"/>
    <s v="South"/>
    <s v="UPI"/>
    <x v="0"/>
    <n v="2998"/>
  </r>
  <r>
    <s v="ORD02726"/>
    <d v="2026-08-24T00:00:00"/>
    <s v="C1148"/>
    <s v="Webcam"/>
    <x v="0"/>
    <n v="2"/>
    <n v="999"/>
    <n v="0.05"/>
    <s v="Central"/>
    <s v="Net Banking"/>
    <x v="0"/>
    <n v="799"/>
  </r>
  <r>
    <s v="ORD02727"/>
    <d v="2026-06-09T00:00:00"/>
    <s v="C1686"/>
    <s v="Headphones"/>
    <x v="4"/>
    <n v="2"/>
    <n v="999"/>
    <n v="0.15"/>
    <s v="South"/>
    <s v="Credit Card"/>
    <x v="0"/>
    <n v="1898.1"/>
  </r>
  <r>
    <s v="ORD02728"/>
    <d v="2026-05-18T00:00:00"/>
    <s v="C1576"/>
    <s v="Monitor"/>
    <x v="4"/>
    <n v="1"/>
    <n v="499"/>
    <n v="0.15"/>
    <s v="West"/>
    <s v="Debit Card"/>
    <x v="0"/>
    <n v="1698.3"/>
  </r>
  <r>
    <s v="ORD02729"/>
    <d v="2026-08-22T00:00:00"/>
    <s v="C1120"/>
    <s v="Monitor"/>
    <x v="4"/>
    <n v="5"/>
    <n v="4999"/>
    <n v="0"/>
    <s v="South"/>
    <s v="COD"/>
    <x v="0"/>
    <n v="424.15"/>
  </r>
  <r>
    <s v="ORD02730"/>
    <d v="2026-04-11T00:00:00"/>
    <s v="C1591"/>
    <s v="Headphones"/>
    <x v="2"/>
    <n v="4"/>
    <n v="499"/>
    <n v="0"/>
    <s v="West"/>
    <s v="Debit Card"/>
    <x v="0"/>
    <n v="24995"/>
  </r>
  <r>
    <s v="ORD02731"/>
    <d v="2026-07-18T00:00:00"/>
    <s v="C1564"/>
    <s v="Power Bank"/>
    <x v="0"/>
    <n v="3"/>
    <n v="999"/>
    <n v="0"/>
    <s v="Central"/>
    <s v="UPI"/>
    <x v="0"/>
    <n v="1996"/>
  </r>
  <r>
    <s v="ORD02732"/>
    <d v="2026-09-08T00:00:00"/>
    <s v="C1354"/>
    <s v="Monitor"/>
    <x v="0"/>
    <n v="4"/>
    <n v="1499"/>
    <n v="0.15"/>
    <s v="North"/>
    <s v="Net Banking"/>
    <x v="2"/>
    <n v="2997"/>
  </r>
  <r>
    <s v="ORD02733"/>
    <d v="2026-07-26T00:00:00"/>
    <s v="C1681"/>
    <s v="Headphones"/>
    <x v="3"/>
    <n v="5"/>
    <n v="599"/>
    <n v="0"/>
    <s v="North"/>
    <s v="Credit Card"/>
    <x v="0"/>
    <n v="5096.5999999999995"/>
  </r>
  <r>
    <s v="ORD02734"/>
    <d v="2026-08-22T00:00:00"/>
    <s v="C1635"/>
    <s v="Power Bank"/>
    <x v="4"/>
    <n v="1"/>
    <n v="999"/>
    <n v="0.1"/>
    <s v="West"/>
    <s v="UPI"/>
    <x v="1"/>
    <n v="2995"/>
  </r>
  <r>
    <s v="ORD02735"/>
    <d v="2026-03-23T00:00:00"/>
    <s v="C1632"/>
    <s v="Wireless Mouse"/>
    <x v="2"/>
    <n v="2"/>
    <n v="999"/>
    <n v="0"/>
    <s v="East"/>
    <s v="Credit Card"/>
    <x v="0"/>
    <n v="899.1"/>
  </r>
  <r>
    <s v="ORD02736"/>
    <d v="2026-08-23T00:00:00"/>
    <s v="C1262"/>
    <s v="Webcam"/>
    <x v="1"/>
    <n v="1"/>
    <n v="799"/>
    <n v="0"/>
    <s v="North"/>
    <s v="Debit Card"/>
    <x v="0"/>
    <n v="1998"/>
  </r>
  <r>
    <s v="ORD02737"/>
    <d v="2026-02-18T00:00:00"/>
    <s v="C1321"/>
    <s v="USB-C Hub"/>
    <x v="0"/>
    <n v="2"/>
    <n v="499"/>
    <n v="0.15"/>
    <s v="East"/>
    <s v="Debit Card"/>
    <x v="0"/>
    <n v="799"/>
  </r>
  <r>
    <s v="ORD02738"/>
    <d v="2026-09-22T00:00:00"/>
    <s v="C1193"/>
    <s v="Wireless Mouse"/>
    <x v="1"/>
    <n v="4"/>
    <n v="799"/>
    <n v="0.15"/>
    <s v="North"/>
    <s v="Net Banking"/>
    <x v="2"/>
    <n v="848.3"/>
  </r>
  <r>
    <s v="ORD02739"/>
    <d v="2026-03-18T00:00:00"/>
    <s v="C1375"/>
    <s v="USB-C Hub"/>
    <x v="3"/>
    <n v="2"/>
    <n v="1299"/>
    <n v="0.15"/>
    <s v="West"/>
    <s v="UPI"/>
    <x v="0"/>
    <n v="2716.6"/>
  </r>
  <r>
    <s v="ORD02740"/>
    <d v="2026-02-19T00:00:00"/>
    <s v="C1664"/>
    <s v="Mechanical Keyboard"/>
    <x v="1"/>
    <n v="4"/>
    <n v="1999"/>
    <n v="0.15"/>
    <s v="North"/>
    <s v="UPI"/>
    <x v="1"/>
    <n v="2208.2999999999997"/>
  </r>
  <r>
    <s v="ORD02741"/>
    <d v="2026-08-26T00:00:00"/>
    <s v="C1609"/>
    <s v="Keyboard"/>
    <x v="2"/>
    <n v="5"/>
    <n v="1999"/>
    <n v="0.15"/>
    <s v="South"/>
    <s v="Net Banking"/>
    <x v="0"/>
    <n v="6796.5999999999995"/>
  </r>
  <r>
    <s v="ORD02742"/>
    <d v="2026-06-19T00:00:00"/>
    <s v="C1256"/>
    <s v="Bluetooth Speaker"/>
    <x v="4"/>
    <n v="5"/>
    <n v="4999"/>
    <n v="0"/>
    <s v="North"/>
    <s v="Net Banking"/>
    <x v="2"/>
    <n v="8495.75"/>
  </r>
  <r>
    <s v="ORD02743"/>
    <d v="2026-02-04T00:00:00"/>
    <s v="C1300"/>
    <s v="Webcam"/>
    <x v="0"/>
    <n v="3"/>
    <n v="1299"/>
    <n v="0.05"/>
    <s v="West"/>
    <s v="UPI"/>
    <x v="0"/>
    <n v="24995"/>
  </r>
  <r>
    <s v="ORD02744"/>
    <d v="2026-07-29T00:00:00"/>
    <s v="C1103"/>
    <s v="Mechanical Keyboard"/>
    <x v="4"/>
    <n v="2"/>
    <n v="1999"/>
    <n v="0.05"/>
    <s v="North"/>
    <s v="COD"/>
    <x v="0"/>
    <n v="3702.1499999999996"/>
  </r>
  <r>
    <s v="ORD02745"/>
    <d v="2026-03-25T00:00:00"/>
    <s v="C1412"/>
    <s v="Wireless Mouse"/>
    <x v="1"/>
    <n v="3"/>
    <n v="999"/>
    <n v="0.1"/>
    <s v="Central"/>
    <s v="Net Banking"/>
    <x v="0"/>
    <n v="3798.1"/>
  </r>
  <r>
    <s v="ORD02746"/>
    <d v="2026-07-12T00:00:00"/>
    <s v="C1552"/>
    <s v="Power Bank"/>
    <x v="0"/>
    <n v="2"/>
    <n v="599"/>
    <n v="0.05"/>
    <s v="East"/>
    <s v="UPI"/>
    <x v="0"/>
    <n v="2697.3"/>
  </r>
  <r>
    <s v="ORD02747"/>
    <d v="2026-02-21T00:00:00"/>
    <s v="C1751"/>
    <s v="Wireless Mouse"/>
    <x v="0"/>
    <n v="2"/>
    <n v="1299"/>
    <n v="0"/>
    <s v="North"/>
    <s v="UPI"/>
    <x v="0"/>
    <n v="1138.0999999999999"/>
  </r>
  <r>
    <s v="ORD02748"/>
    <d v="2026-01-13T00:00:00"/>
    <s v="C1633"/>
    <s v="Bluetooth Speaker"/>
    <x v="4"/>
    <n v="1"/>
    <n v="799"/>
    <n v="0.05"/>
    <s v="North"/>
    <s v="Debit Card"/>
    <x v="0"/>
    <n v="2598"/>
  </r>
  <r>
    <s v="ORD02749"/>
    <d v="2026-03-24T00:00:00"/>
    <s v="C1062"/>
    <s v="Keyboard"/>
    <x v="0"/>
    <n v="5"/>
    <n v="4999"/>
    <n v="0.05"/>
    <s v="Central"/>
    <s v="Debit Card"/>
    <x v="0"/>
    <n v="759.05"/>
  </r>
  <r>
    <s v="ORD02750"/>
    <d v="2026-07-27T00:00:00"/>
    <s v="C1264"/>
    <s v="Keyboard"/>
    <x v="3"/>
    <n v="2"/>
    <n v="1999"/>
    <n v="0.05"/>
    <s v="South"/>
    <s v="COD"/>
    <x v="0"/>
    <n v="23745.25"/>
  </r>
  <r>
    <s v="ORD02751"/>
    <d v="2026-08-28T00:00:00"/>
    <s v="C1391"/>
    <s v="Mechanical Keyboard"/>
    <x v="3"/>
    <n v="3"/>
    <n v="7999"/>
    <n v="0.05"/>
    <s v="South"/>
    <s v="Debit Card"/>
    <x v="2"/>
    <n v="3798.1"/>
  </r>
  <r>
    <s v="ORD02752"/>
    <d v="2026-05-25T00:00:00"/>
    <s v="C1498"/>
    <s v="Bluetooth Speaker"/>
    <x v="1"/>
    <n v="2"/>
    <n v="599"/>
    <n v="0.1"/>
    <s v="North"/>
    <s v="Net Banking"/>
    <x v="2"/>
    <n v="22797.149999999998"/>
  </r>
  <r>
    <s v="ORD02753"/>
    <d v="2026-05-21T00:00:00"/>
    <s v="C1780"/>
    <s v="Bluetooth Speaker"/>
    <x v="4"/>
    <n v="4"/>
    <n v="1999"/>
    <n v="0.15"/>
    <s v="South"/>
    <s v="UPI"/>
    <x v="2"/>
    <n v="1078.2"/>
  </r>
  <r>
    <s v="ORD02754"/>
    <d v="2026-06-13T00:00:00"/>
    <s v="C1546"/>
    <s v="Keyboard"/>
    <x v="0"/>
    <n v="3"/>
    <n v="7999"/>
    <n v="0.15"/>
    <s v="East"/>
    <s v="Net Banking"/>
    <x v="0"/>
    <n v="6796.5999999999995"/>
  </r>
  <r>
    <s v="ORD02755"/>
    <d v="2026-08-10T00:00:00"/>
    <s v="C1656"/>
    <s v="Keyboard"/>
    <x v="1"/>
    <n v="5"/>
    <n v="1299"/>
    <n v="0.15"/>
    <s v="North"/>
    <s v="Net Banking"/>
    <x v="0"/>
    <n v="20397.45"/>
  </r>
  <r>
    <s v="ORD02756"/>
    <d v="2026-09-09T00:00:00"/>
    <s v="C1548"/>
    <s v="Power Bank"/>
    <x v="3"/>
    <n v="4"/>
    <n v="499"/>
    <n v="0.15"/>
    <s v="Central"/>
    <s v="COD"/>
    <x v="0"/>
    <n v="5520.75"/>
  </r>
  <r>
    <s v="ORD02757"/>
    <d v="2026-05-05T00:00:00"/>
    <s v="C1270"/>
    <s v="Keyboard"/>
    <x v="2"/>
    <n v="4"/>
    <n v="999"/>
    <n v="0.15"/>
    <s v="West"/>
    <s v="Net Banking"/>
    <x v="1"/>
    <n v="1696.6"/>
  </r>
  <r>
    <s v="ORD02758"/>
    <d v="2026-08-22T00:00:00"/>
    <s v="C1488"/>
    <s v="Webcam"/>
    <x v="2"/>
    <n v="2"/>
    <n v="999"/>
    <n v="0"/>
    <s v="South"/>
    <s v="Net Banking"/>
    <x v="0"/>
    <n v="3396.6"/>
  </r>
  <r>
    <s v="ORD02759"/>
    <d v="2026-09-10T00:00:00"/>
    <s v="C1718"/>
    <s v="Keyboard"/>
    <x v="0"/>
    <n v="5"/>
    <n v="599"/>
    <n v="0.15"/>
    <s v="West"/>
    <s v="COD"/>
    <x v="0"/>
    <n v="1998"/>
  </r>
  <r>
    <s v="ORD02760"/>
    <d v="2026-06-25T00:00:00"/>
    <s v="C1174"/>
    <s v="Webcam"/>
    <x v="0"/>
    <n v="2"/>
    <n v="2499"/>
    <n v="0"/>
    <s v="East"/>
    <s v="UPI"/>
    <x v="1"/>
    <n v="2545.75"/>
  </r>
  <r>
    <s v="ORD02761"/>
    <d v="2026-05-01T00:00:00"/>
    <s v="C1650"/>
    <s v="Headphones"/>
    <x v="0"/>
    <n v="5"/>
    <n v="1499"/>
    <n v="0.15"/>
    <s v="South"/>
    <s v="Debit Card"/>
    <x v="1"/>
    <n v="4998"/>
  </r>
  <r>
    <s v="ORD02762"/>
    <d v="2026-09-27T00:00:00"/>
    <s v="C1645"/>
    <s v="Webcam"/>
    <x v="0"/>
    <n v="5"/>
    <n v="599"/>
    <n v="0.05"/>
    <s v="West"/>
    <s v="Debit Card"/>
    <x v="2"/>
    <n v="6370.75"/>
  </r>
  <r>
    <s v="ORD02763"/>
    <d v="2026-05-14T00:00:00"/>
    <s v="C1761"/>
    <s v="Laptop Stand"/>
    <x v="2"/>
    <n v="5"/>
    <n v="7999"/>
    <n v="0"/>
    <s v="East"/>
    <s v="Net Banking"/>
    <x v="1"/>
    <n v="2845.25"/>
  </r>
  <r>
    <s v="ORD02764"/>
    <d v="2026-08-25T00:00:00"/>
    <s v="C1060"/>
    <s v="Keyboard"/>
    <x v="3"/>
    <n v="5"/>
    <n v="1299"/>
    <n v="0"/>
    <s v="North"/>
    <s v="UPI"/>
    <x v="0"/>
    <n v="39995"/>
  </r>
  <r>
    <s v="ORD02765"/>
    <d v="2026-08-26T00:00:00"/>
    <s v="C1501"/>
    <s v="Bluetooth Speaker"/>
    <x v="4"/>
    <n v="4"/>
    <n v="7999"/>
    <n v="0"/>
    <s v="West"/>
    <s v="UPI"/>
    <x v="2"/>
    <n v="6495"/>
  </r>
  <r>
    <s v="ORD02766"/>
    <d v="2026-07-21T00:00:00"/>
    <s v="C1752"/>
    <s v="USB-C Hub"/>
    <x v="3"/>
    <n v="5"/>
    <n v="799"/>
    <n v="0"/>
    <s v="South"/>
    <s v="UPI"/>
    <x v="0"/>
    <n v="31996"/>
  </r>
  <r>
    <s v="ORD02767"/>
    <d v="2026-01-29T00:00:00"/>
    <s v="C1685"/>
    <s v="Headphones"/>
    <x v="1"/>
    <n v="4"/>
    <n v="499"/>
    <n v="0.15"/>
    <s v="South"/>
    <s v="UPI"/>
    <x v="1"/>
    <n v="3995"/>
  </r>
  <r>
    <s v="ORD02768"/>
    <d v="2026-08-20T00:00:00"/>
    <s v="C1165"/>
    <s v="Mechanical Keyboard"/>
    <x v="3"/>
    <n v="2"/>
    <n v="499"/>
    <n v="0"/>
    <s v="Central"/>
    <s v="UPI"/>
    <x v="0"/>
    <n v="1696.6"/>
  </r>
  <r>
    <s v="ORD02769"/>
    <d v="2026-04-23T00:00:00"/>
    <s v="C1527"/>
    <s v="Mechanical Keyboard"/>
    <x v="4"/>
    <n v="5"/>
    <n v="1999"/>
    <n v="0.05"/>
    <s v="South"/>
    <s v="UPI"/>
    <x v="0"/>
    <n v="998"/>
  </r>
  <r>
    <s v="ORD02770"/>
    <d v="2026-04-22T00:00:00"/>
    <s v="C1407"/>
    <s v="Mechanical Keyboard"/>
    <x v="2"/>
    <n v="1"/>
    <n v="4999"/>
    <n v="0.05"/>
    <s v="South"/>
    <s v="Net Banking"/>
    <x v="0"/>
    <n v="9495.25"/>
  </r>
  <r>
    <s v="ORD02771"/>
    <d v="2026-03-06T00:00:00"/>
    <s v="C1550"/>
    <s v="USB-C Hub"/>
    <x v="4"/>
    <n v="2"/>
    <n v="499"/>
    <n v="0.15"/>
    <s v="North"/>
    <s v="Net Banking"/>
    <x v="0"/>
    <n v="4749.05"/>
  </r>
  <r>
    <s v="ORD02772"/>
    <d v="2026-02-14T00:00:00"/>
    <s v="C1252"/>
    <s v="Headphones"/>
    <x v="2"/>
    <n v="4"/>
    <n v="1299"/>
    <n v="0.05"/>
    <s v="Central"/>
    <s v="Net Banking"/>
    <x v="0"/>
    <n v="848.3"/>
  </r>
  <r>
    <s v="ORD02773"/>
    <d v="2026-01-17T00:00:00"/>
    <s v="C1761"/>
    <s v="Keyboard"/>
    <x v="1"/>
    <n v="5"/>
    <n v="1999"/>
    <n v="0"/>
    <s v="West"/>
    <s v="Debit Card"/>
    <x v="0"/>
    <n v="4936.2"/>
  </r>
  <r>
    <s v="ORD02774"/>
    <d v="2026-01-23T00:00:00"/>
    <s v="C1017"/>
    <s v="Power Bank"/>
    <x v="3"/>
    <n v="3"/>
    <n v="999"/>
    <n v="0"/>
    <s v="East"/>
    <s v="UPI"/>
    <x v="0"/>
    <n v="9995"/>
  </r>
  <r>
    <s v="ORD02775"/>
    <d v="2026-04-01T00:00:00"/>
    <s v="C1397"/>
    <s v="Bluetooth Speaker"/>
    <x v="2"/>
    <n v="3"/>
    <n v="1999"/>
    <n v="0.1"/>
    <s v="South"/>
    <s v="Net Banking"/>
    <x v="0"/>
    <n v="2997"/>
  </r>
  <r>
    <s v="ORD02776"/>
    <d v="2026-02-23T00:00:00"/>
    <s v="C1054"/>
    <s v="USB-C Hub"/>
    <x v="2"/>
    <n v="2"/>
    <n v="999"/>
    <n v="0.05"/>
    <s v="South"/>
    <s v="Debit Card"/>
    <x v="2"/>
    <n v="5397.3"/>
  </r>
  <r>
    <s v="ORD02777"/>
    <d v="2026-01-09T00:00:00"/>
    <s v="C1707"/>
    <s v="Mechanical Keyboard"/>
    <x v="4"/>
    <n v="3"/>
    <n v="599"/>
    <n v="0.1"/>
    <s v="West"/>
    <s v="UPI"/>
    <x v="0"/>
    <n v="1898.1"/>
  </r>
  <r>
    <s v="ORD02778"/>
    <d v="2026-09-29T00:00:00"/>
    <s v="C1002"/>
    <s v="Monitor"/>
    <x v="1"/>
    <n v="4"/>
    <n v="4999"/>
    <n v="0.15"/>
    <s v="East"/>
    <s v="UPI"/>
    <x v="1"/>
    <n v="1617.3"/>
  </r>
  <r>
    <s v="ORD02779"/>
    <d v="2026-05-16T00:00:00"/>
    <s v="C1190"/>
    <s v="Webcam"/>
    <x v="2"/>
    <n v="2"/>
    <n v="799"/>
    <n v="0.05"/>
    <s v="North"/>
    <s v="UPI"/>
    <x v="0"/>
    <n v="16996.599999999999"/>
  </r>
  <r>
    <s v="ORD02780"/>
    <d v="2026-05-25T00:00:00"/>
    <s v="C1800"/>
    <s v="Headphones"/>
    <x v="3"/>
    <n v="2"/>
    <n v="2499"/>
    <n v="0"/>
    <s v="Central"/>
    <s v="COD"/>
    <x v="0"/>
    <n v="1518.1"/>
  </r>
  <r>
    <s v="ORD02781"/>
    <d v="2026-05-16T00:00:00"/>
    <s v="C1097"/>
    <s v="Bluetooth Speaker"/>
    <x v="4"/>
    <n v="4"/>
    <n v="1999"/>
    <n v="0"/>
    <s v="Central"/>
    <s v="COD"/>
    <x v="2"/>
    <n v="4998"/>
  </r>
  <r>
    <s v="ORD02782"/>
    <d v="2026-07-03T00:00:00"/>
    <s v="C1060"/>
    <s v="Headphones"/>
    <x v="0"/>
    <n v="3"/>
    <n v="499"/>
    <n v="0"/>
    <s v="East"/>
    <s v="COD"/>
    <x v="2"/>
    <n v="7996"/>
  </r>
  <r>
    <s v="ORD02783"/>
    <d v="2026-01-21T00:00:00"/>
    <s v="C1364"/>
    <s v="Wireless Mouse"/>
    <x v="2"/>
    <n v="5"/>
    <n v="1999"/>
    <n v="0.05"/>
    <s v="East"/>
    <s v="COD"/>
    <x v="0"/>
    <n v="1497"/>
  </r>
  <r>
    <s v="ORD02784"/>
    <d v="2026-06-12T00:00:00"/>
    <s v="C1242"/>
    <s v="Mechanical Keyboard"/>
    <x v="2"/>
    <n v="4"/>
    <n v="499"/>
    <n v="0.05"/>
    <s v="East"/>
    <s v="COD"/>
    <x v="0"/>
    <n v="9495.25"/>
  </r>
  <r>
    <s v="ORD02785"/>
    <d v="2026-03-22T00:00:00"/>
    <s v="C1211"/>
    <s v="Headphones"/>
    <x v="3"/>
    <n v="3"/>
    <n v="999"/>
    <n v="0.15"/>
    <s v="North"/>
    <s v="Net Banking"/>
    <x v="1"/>
    <n v="1896.1999999999998"/>
  </r>
  <r>
    <s v="ORD02786"/>
    <d v="2026-02-03T00:00:00"/>
    <s v="C1733"/>
    <s v="Power Bank"/>
    <x v="0"/>
    <n v="4"/>
    <n v="1299"/>
    <n v="0.05"/>
    <s v="East"/>
    <s v="COD"/>
    <x v="0"/>
    <n v="2547.4499999999998"/>
  </r>
  <r>
    <s v="ORD02787"/>
    <d v="2026-04-23T00:00:00"/>
    <s v="C1134"/>
    <s v="Headphones"/>
    <x v="4"/>
    <n v="3"/>
    <n v="1499"/>
    <n v="0.05"/>
    <s v="West"/>
    <s v="UPI"/>
    <x v="0"/>
    <n v="4936.2"/>
  </r>
  <r>
    <s v="ORD02788"/>
    <d v="2026-03-19T00:00:00"/>
    <s v="C1090"/>
    <s v="Keyboard"/>
    <x v="3"/>
    <n v="2"/>
    <n v="1499"/>
    <n v="0"/>
    <s v="East"/>
    <s v="COD"/>
    <x v="2"/>
    <n v="4272.1499999999996"/>
  </r>
  <r>
    <s v="ORD02789"/>
    <d v="2026-05-06T00:00:00"/>
    <s v="C1743"/>
    <s v="Monitor"/>
    <x v="1"/>
    <n v="5"/>
    <n v="1499"/>
    <n v="0.05"/>
    <s v="Central"/>
    <s v="UPI"/>
    <x v="0"/>
    <n v="2998"/>
  </r>
  <r>
    <s v="ORD02790"/>
    <d v="2026-07-11T00:00:00"/>
    <s v="C1051"/>
    <s v="Headphones"/>
    <x v="2"/>
    <n v="1"/>
    <n v="2499"/>
    <n v="0.1"/>
    <s v="South"/>
    <s v="COD"/>
    <x v="1"/>
    <n v="7120.25"/>
  </r>
  <r>
    <s v="ORD02791"/>
    <d v="2026-05-12T00:00:00"/>
    <s v="C1448"/>
    <s v="Laptop Stand"/>
    <x v="1"/>
    <n v="1"/>
    <n v="1499"/>
    <n v="0.15"/>
    <s v="North"/>
    <s v="Net Banking"/>
    <x v="1"/>
    <n v="2249.1"/>
  </r>
  <r>
    <s v="ORD02792"/>
    <d v="2026-01-24T00:00:00"/>
    <s v="C1386"/>
    <s v="Bluetooth Speaker"/>
    <x v="1"/>
    <n v="4"/>
    <n v="999"/>
    <n v="0.15"/>
    <s v="North"/>
    <s v="UPI"/>
    <x v="1"/>
    <n v="1274.1499999999999"/>
  </r>
  <r>
    <s v="ORD02793"/>
    <d v="2026-06-19T00:00:00"/>
    <s v="C1082"/>
    <s v="Wireless Mouse"/>
    <x v="1"/>
    <n v="2"/>
    <n v="599"/>
    <n v="0.05"/>
    <s v="West"/>
    <s v="Debit Card"/>
    <x v="0"/>
    <n v="3396.6"/>
  </r>
  <r>
    <s v="ORD02794"/>
    <d v="2026-03-24T00:00:00"/>
    <s v="C1440"/>
    <s v="Mechanical Keyboard"/>
    <x v="2"/>
    <n v="3"/>
    <n v="799"/>
    <n v="0"/>
    <s v="West"/>
    <s v="UPI"/>
    <x v="0"/>
    <n v="1138.0999999999999"/>
  </r>
  <r>
    <s v="ORD02795"/>
    <d v="2026-08-27T00:00:00"/>
    <s v="C1013"/>
    <s v="USB-C Hub"/>
    <x v="1"/>
    <n v="5"/>
    <n v="1999"/>
    <n v="0.15"/>
    <s v="East"/>
    <s v="Net Banking"/>
    <x v="0"/>
    <n v="2397"/>
  </r>
  <r>
    <s v="ORD02796"/>
    <d v="2026-01-22T00:00:00"/>
    <s v="C1105"/>
    <s v="Bluetooth Speaker"/>
    <x v="2"/>
    <n v="3"/>
    <n v="1499"/>
    <n v="0.15"/>
    <s v="Central"/>
    <s v="Debit Card"/>
    <x v="0"/>
    <n v="8495.75"/>
  </r>
  <r>
    <s v="ORD02797"/>
    <d v="2026-09-12T00:00:00"/>
    <s v="C1585"/>
    <s v="Keyboard"/>
    <x v="2"/>
    <n v="4"/>
    <n v="1999"/>
    <n v="0.15"/>
    <s v="North"/>
    <s v="UPI"/>
    <x v="1"/>
    <n v="3822.45"/>
  </r>
  <r>
    <s v="ORD02798"/>
    <d v="2026-07-14T00:00:00"/>
    <s v="C1351"/>
    <s v="Power Bank"/>
    <x v="1"/>
    <n v="5"/>
    <n v="499"/>
    <n v="0"/>
    <s v="West"/>
    <s v="Net Banking"/>
    <x v="1"/>
    <n v="6796.5999999999995"/>
  </r>
  <r>
    <s v="ORD02799"/>
    <d v="2026-08-18T00:00:00"/>
    <s v="C1528"/>
    <s v="Webcam"/>
    <x v="1"/>
    <n v="3"/>
    <n v="1499"/>
    <n v="0.1"/>
    <s v="Central"/>
    <s v="COD"/>
    <x v="0"/>
    <n v="2495"/>
  </r>
  <r>
    <s v="ORD02800"/>
    <d v="2026-01-26T00:00:00"/>
    <s v="C1299"/>
    <s v="Wireless Mouse"/>
    <x v="3"/>
    <n v="5"/>
    <n v="499"/>
    <n v="0.15"/>
    <s v="North"/>
    <s v="COD"/>
    <x v="0"/>
    <n v="4047.3"/>
  </r>
  <r>
    <s v="ORD02801"/>
    <d v="2026-04-14T00:00:00"/>
    <s v="C1626"/>
    <s v="Mechanical Keyboard"/>
    <x v="0"/>
    <n v="4"/>
    <n v="2499"/>
    <n v="0"/>
    <s v="East"/>
    <s v="UPI"/>
    <x v="0"/>
    <n v="2120.75"/>
  </r>
  <r>
    <s v="ORD02802"/>
    <d v="2026-09-14T00:00:00"/>
    <s v="C1793"/>
    <s v="Power Bank"/>
    <x v="0"/>
    <n v="2"/>
    <n v="7999"/>
    <n v="0"/>
    <s v="North"/>
    <s v="COD"/>
    <x v="0"/>
    <n v="9996"/>
  </r>
  <r>
    <s v="ORD02803"/>
    <d v="2026-09-27T00:00:00"/>
    <s v="C1176"/>
    <s v="Headphones"/>
    <x v="1"/>
    <n v="5"/>
    <n v="599"/>
    <n v="0"/>
    <s v="East"/>
    <s v="UPI"/>
    <x v="0"/>
    <n v="15998"/>
  </r>
  <r>
    <s v="ORD02804"/>
    <d v="2026-05-27T00:00:00"/>
    <s v="C1238"/>
    <s v="Laptop Stand"/>
    <x v="3"/>
    <n v="2"/>
    <n v="1499"/>
    <n v="0.1"/>
    <s v="West"/>
    <s v="Credit Card"/>
    <x v="0"/>
    <n v="2995"/>
  </r>
  <r>
    <s v="ORD02805"/>
    <d v="2026-02-03T00:00:00"/>
    <s v="C1246"/>
    <s v="Bluetooth Speaker"/>
    <x v="3"/>
    <n v="5"/>
    <n v="1999"/>
    <n v="0"/>
    <s v="North"/>
    <s v="Credit Card"/>
    <x v="1"/>
    <n v="2698.2000000000003"/>
  </r>
  <r>
    <s v="ORD02806"/>
    <d v="2026-03-27T00:00:00"/>
    <s v="C1708"/>
    <s v="USB-C Hub"/>
    <x v="2"/>
    <n v="3"/>
    <n v="4999"/>
    <n v="0"/>
    <s v="Central"/>
    <s v="Credit Card"/>
    <x v="0"/>
    <n v="9995"/>
  </r>
  <r>
    <s v="ORD02807"/>
    <d v="2026-05-21T00:00:00"/>
    <s v="C1513"/>
    <s v="Wireless Mouse"/>
    <x v="0"/>
    <n v="3"/>
    <n v="1999"/>
    <n v="0"/>
    <s v="West"/>
    <s v="COD"/>
    <x v="0"/>
    <n v="14997"/>
  </r>
  <r>
    <s v="ORD02808"/>
    <d v="2026-03-29T00:00:00"/>
    <s v="C1312"/>
    <s v="Monitor"/>
    <x v="3"/>
    <n v="1"/>
    <n v="2499"/>
    <n v="0.05"/>
    <s v="North"/>
    <s v="UPI"/>
    <x v="0"/>
    <n v="5997"/>
  </r>
  <r>
    <s v="ORD02809"/>
    <d v="2026-09-02T00:00:00"/>
    <s v="C1538"/>
    <s v="Monitor"/>
    <x v="1"/>
    <n v="2"/>
    <n v="1999"/>
    <n v="0"/>
    <s v="West"/>
    <s v="Credit Card"/>
    <x v="2"/>
    <n v="2374.0499999999997"/>
  </r>
  <r>
    <s v="ORD02810"/>
    <d v="2026-05-27T00:00:00"/>
    <s v="C1673"/>
    <s v="Mechanical Keyboard"/>
    <x v="0"/>
    <n v="5"/>
    <n v="2499"/>
    <n v="0.1"/>
    <s v="South"/>
    <s v="Credit Card"/>
    <x v="0"/>
    <n v="3998"/>
  </r>
  <r>
    <s v="ORD02811"/>
    <d v="2026-09-01T00:00:00"/>
    <s v="C1205"/>
    <s v="Keyboard"/>
    <x v="1"/>
    <n v="2"/>
    <n v="1499"/>
    <n v="0.1"/>
    <s v="South"/>
    <s v="Debit Card"/>
    <x v="0"/>
    <n v="11245.5"/>
  </r>
  <r>
    <s v="ORD02812"/>
    <d v="2026-08-05T00:00:00"/>
    <s v="C1191"/>
    <s v="Power Bank"/>
    <x v="4"/>
    <n v="2"/>
    <n v="799"/>
    <n v="0.1"/>
    <s v="East"/>
    <s v="Credit Card"/>
    <x v="0"/>
    <n v="2698.2000000000003"/>
  </r>
  <r>
    <s v="ORD02813"/>
    <d v="2026-04-21T00:00:00"/>
    <s v="C1472"/>
    <s v="USB-C Hub"/>
    <x v="0"/>
    <n v="1"/>
    <n v="599"/>
    <n v="0"/>
    <s v="West"/>
    <s v="Credit Card"/>
    <x v="0"/>
    <n v="1438.2"/>
  </r>
  <r>
    <s v="ORD02814"/>
    <d v="2026-05-17T00:00:00"/>
    <s v="C1480"/>
    <s v="Monitor"/>
    <x v="0"/>
    <n v="3"/>
    <n v="2499"/>
    <n v="0.15"/>
    <s v="South"/>
    <s v="Credit Card"/>
    <x v="1"/>
    <n v="599"/>
  </r>
  <r>
    <s v="ORD02815"/>
    <d v="2026-05-29T00:00:00"/>
    <s v="C1579"/>
    <s v="Laptop Stand"/>
    <x v="4"/>
    <n v="1"/>
    <n v="599"/>
    <n v="0.1"/>
    <s v="East"/>
    <s v="Net Banking"/>
    <x v="0"/>
    <n v="6372.45"/>
  </r>
  <r>
    <s v="ORD02816"/>
    <d v="2026-02-13T00:00:00"/>
    <s v="C1142"/>
    <s v="Monitor"/>
    <x v="3"/>
    <n v="5"/>
    <n v="799"/>
    <n v="0"/>
    <s v="Central"/>
    <s v="COD"/>
    <x v="0"/>
    <n v="539.1"/>
  </r>
  <r>
    <s v="ORD02817"/>
    <d v="2026-04-12T00:00:00"/>
    <s v="C1311"/>
    <s v="Bluetooth Speaker"/>
    <x v="3"/>
    <n v="5"/>
    <n v="999"/>
    <n v="0.15"/>
    <s v="West"/>
    <s v="Credit Card"/>
    <x v="0"/>
    <n v="3995"/>
  </r>
  <r>
    <s v="ORD02818"/>
    <d v="2026-01-25T00:00:00"/>
    <s v="C1442"/>
    <s v="Power Bank"/>
    <x v="2"/>
    <n v="1"/>
    <n v="999"/>
    <n v="0.05"/>
    <s v="South"/>
    <s v="Credit Card"/>
    <x v="1"/>
    <n v="4245.75"/>
  </r>
  <r>
    <s v="ORD02819"/>
    <d v="2026-06-04T00:00:00"/>
    <s v="C1018"/>
    <s v="USB-C Hub"/>
    <x v="0"/>
    <n v="4"/>
    <n v="2499"/>
    <n v="0.15"/>
    <s v="North"/>
    <s v="Debit Card"/>
    <x v="0"/>
    <n v="949.05"/>
  </r>
  <r>
    <s v="ORD02820"/>
    <d v="2026-02-22T00:00:00"/>
    <s v="C1375"/>
    <s v="Mechanical Keyboard"/>
    <x v="0"/>
    <n v="3"/>
    <n v="599"/>
    <n v="0.15"/>
    <s v="North"/>
    <s v="UPI"/>
    <x v="1"/>
    <n v="8496.6"/>
  </r>
  <r>
    <s v="ORD02821"/>
    <d v="2026-05-20T00:00:00"/>
    <s v="C1273"/>
    <s v="Laptop Stand"/>
    <x v="3"/>
    <n v="3"/>
    <n v="4999"/>
    <n v="0"/>
    <s v="East"/>
    <s v="Credit Card"/>
    <x v="0"/>
    <n v="1527.45"/>
  </r>
  <r>
    <s v="ORD02822"/>
    <d v="2026-08-11T00:00:00"/>
    <s v="C1779"/>
    <s v="Webcam"/>
    <x v="3"/>
    <n v="3"/>
    <n v="1299"/>
    <n v="0.15"/>
    <s v="West"/>
    <s v="Debit Card"/>
    <x v="0"/>
    <n v="14997"/>
  </r>
  <r>
    <s v="ORD02823"/>
    <d v="2026-03-25T00:00:00"/>
    <s v="C1670"/>
    <s v="Mechanical Keyboard"/>
    <x v="0"/>
    <n v="1"/>
    <n v="799"/>
    <n v="0.1"/>
    <s v="East"/>
    <s v="UPI"/>
    <x v="0"/>
    <n v="3312.45"/>
  </r>
  <r>
    <s v="ORD02824"/>
    <d v="2026-05-23T00:00:00"/>
    <s v="C1180"/>
    <s v="Headphones"/>
    <x v="4"/>
    <n v="3"/>
    <n v="4999"/>
    <n v="0.1"/>
    <s v="East"/>
    <s v="COD"/>
    <x v="0"/>
    <n v="719.1"/>
  </r>
  <r>
    <s v="ORD02825"/>
    <d v="2026-06-06T00:00:00"/>
    <s v="C1154"/>
    <s v="Power Bank"/>
    <x v="2"/>
    <n v="5"/>
    <n v="599"/>
    <n v="0.15"/>
    <s v="West"/>
    <s v="COD"/>
    <x v="2"/>
    <n v="13497.300000000001"/>
  </r>
  <r>
    <s v="ORD02826"/>
    <d v="2026-09-05T00:00:00"/>
    <s v="C1130"/>
    <s v="Wireless Mouse"/>
    <x v="2"/>
    <n v="1"/>
    <n v="599"/>
    <n v="0.1"/>
    <s v="West"/>
    <s v="COD"/>
    <x v="2"/>
    <n v="2545.75"/>
  </r>
  <r>
    <s v="ORD02827"/>
    <d v="2026-09-13T00:00:00"/>
    <s v="C1405"/>
    <s v="Keyboard"/>
    <x v="4"/>
    <n v="1"/>
    <n v="4999"/>
    <n v="0"/>
    <s v="North"/>
    <s v="Credit Card"/>
    <x v="1"/>
    <n v="539.1"/>
  </r>
  <r>
    <s v="ORD02828"/>
    <d v="2026-02-11T00:00:00"/>
    <s v="C1229"/>
    <s v="Mechanical Keyboard"/>
    <x v="2"/>
    <n v="3"/>
    <n v="4999"/>
    <n v="0"/>
    <s v="Central"/>
    <s v="Net Banking"/>
    <x v="0"/>
    <n v="4999"/>
  </r>
  <r>
    <s v="ORD02829"/>
    <d v="2026-05-27T00:00:00"/>
    <s v="C1234"/>
    <s v="Wireless Mouse"/>
    <x v="4"/>
    <n v="3"/>
    <n v="799"/>
    <n v="0"/>
    <s v="East"/>
    <s v="Net Banking"/>
    <x v="0"/>
    <n v="14997"/>
  </r>
  <r>
    <s v="ORD02830"/>
    <d v="2026-08-30T00:00:00"/>
    <s v="C1242"/>
    <s v="Webcam"/>
    <x v="3"/>
    <n v="5"/>
    <n v="1299"/>
    <n v="0.1"/>
    <s v="South"/>
    <s v="Credit Card"/>
    <x v="1"/>
    <n v="2397"/>
  </r>
  <r>
    <s v="ORD02831"/>
    <d v="2026-07-28T00:00:00"/>
    <s v="C1089"/>
    <s v="Wireless Mouse"/>
    <x v="2"/>
    <n v="3"/>
    <n v="1499"/>
    <n v="0"/>
    <s v="East"/>
    <s v="Debit Card"/>
    <x v="0"/>
    <n v="5845.5"/>
  </r>
  <r>
    <s v="ORD02832"/>
    <d v="2026-05-02T00:00:00"/>
    <s v="C1049"/>
    <s v="Bluetooth Speaker"/>
    <x v="4"/>
    <n v="3"/>
    <n v="799"/>
    <n v="0.15"/>
    <s v="East"/>
    <s v="UPI"/>
    <x v="2"/>
    <n v="4497"/>
  </r>
  <r>
    <s v="ORD02833"/>
    <d v="2026-06-21T00:00:00"/>
    <s v="C1466"/>
    <s v="Monitor"/>
    <x v="4"/>
    <n v="1"/>
    <n v="1999"/>
    <n v="0"/>
    <s v="South"/>
    <s v="Credit Card"/>
    <x v="1"/>
    <n v="2037.45"/>
  </r>
  <r>
    <s v="ORD02834"/>
    <d v="2026-08-08T00:00:00"/>
    <s v="C1128"/>
    <s v="Headphones"/>
    <x v="4"/>
    <n v="4"/>
    <n v="1999"/>
    <n v="0"/>
    <s v="East"/>
    <s v="COD"/>
    <x v="0"/>
    <n v="1999"/>
  </r>
  <r>
    <s v="ORD02835"/>
    <d v="2026-09-08T00:00:00"/>
    <s v="C1075"/>
    <s v="Laptop Stand"/>
    <x v="4"/>
    <n v="1"/>
    <n v="1999"/>
    <n v="0"/>
    <s v="West"/>
    <s v="Net Banking"/>
    <x v="0"/>
    <n v="7996"/>
  </r>
  <r>
    <s v="ORD02836"/>
    <d v="2026-05-04T00:00:00"/>
    <s v="C1735"/>
    <s v="Bluetooth Speaker"/>
    <x v="2"/>
    <n v="2"/>
    <n v="1499"/>
    <n v="0"/>
    <s v="East"/>
    <s v="Credit Card"/>
    <x v="2"/>
    <n v="1999"/>
  </r>
  <r>
    <s v="ORD02837"/>
    <d v="2026-06-28T00:00:00"/>
    <s v="C1414"/>
    <s v="Webcam"/>
    <x v="4"/>
    <n v="2"/>
    <n v="1499"/>
    <n v="0.05"/>
    <s v="South"/>
    <s v="Credit Card"/>
    <x v="0"/>
    <n v="2998"/>
  </r>
  <r>
    <s v="ORD02838"/>
    <d v="2026-08-15T00:00:00"/>
    <s v="C1709"/>
    <s v="Webcam"/>
    <x v="2"/>
    <n v="2"/>
    <n v="499"/>
    <n v="0"/>
    <s v="East"/>
    <s v="Net Banking"/>
    <x v="0"/>
    <n v="2848.1"/>
  </r>
  <r>
    <s v="ORD02839"/>
    <d v="2026-06-23T00:00:00"/>
    <s v="C1654"/>
    <s v="USB-C Hub"/>
    <x v="3"/>
    <n v="5"/>
    <n v="999"/>
    <n v="0.05"/>
    <s v="North"/>
    <s v="UPI"/>
    <x v="1"/>
    <n v="998"/>
  </r>
  <r>
    <s v="ORD02840"/>
    <d v="2026-08-31T00:00:00"/>
    <s v="C1167"/>
    <s v="Headphones"/>
    <x v="3"/>
    <n v="3"/>
    <n v="1499"/>
    <n v="0"/>
    <s v="South"/>
    <s v="COD"/>
    <x v="0"/>
    <n v="4745.25"/>
  </r>
  <r>
    <s v="ORD02841"/>
    <d v="2026-06-30T00:00:00"/>
    <s v="C1339"/>
    <s v="Wireless Mouse"/>
    <x v="4"/>
    <n v="4"/>
    <n v="599"/>
    <n v="0.1"/>
    <s v="North"/>
    <s v="Net Banking"/>
    <x v="1"/>
    <n v="4497"/>
  </r>
  <r>
    <s v="ORD02842"/>
    <d v="2026-03-20T00:00:00"/>
    <s v="C1707"/>
    <s v="USB-C Hub"/>
    <x v="0"/>
    <n v="3"/>
    <n v="1299"/>
    <n v="0.15"/>
    <s v="North"/>
    <s v="COD"/>
    <x v="0"/>
    <n v="2156.4"/>
  </r>
  <r>
    <s v="ORD02843"/>
    <d v="2026-09-12T00:00:00"/>
    <s v="C1472"/>
    <s v="Power Bank"/>
    <x v="0"/>
    <n v="2"/>
    <n v="7999"/>
    <n v="0.15"/>
    <s v="East"/>
    <s v="Debit Card"/>
    <x v="0"/>
    <n v="3312.45"/>
  </r>
  <r>
    <s v="ORD02844"/>
    <d v="2026-09-05T00:00:00"/>
    <s v="C1386"/>
    <s v="Power Bank"/>
    <x v="1"/>
    <n v="3"/>
    <n v="599"/>
    <n v="0.1"/>
    <s v="East"/>
    <s v="Net Banking"/>
    <x v="0"/>
    <n v="13598.3"/>
  </r>
  <r>
    <s v="ORD02845"/>
    <d v="2026-08-24T00:00:00"/>
    <s v="C1513"/>
    <s v="Bluetooth Speaker"/>
    <x v="3"/>
    <n v="2"/>
    <n v="7999"/>
    <n v="0.1"/>
    <s v="East"/>
    <s v="COD"/>
    <x v="0"/>
    <n v="1617.3"/>
  </r>
  <r>
    <s v="ORD02846"/>
    <d v="2026-09-01T00:00:00"/>
    <s v="C1192"/>
    <s v="Monitor"/>
    <x v="1"/>
    <n v="2"/>
    <n v="7999"/>
    <n v="0.15"/>
    <s v="West"/>
    <s v="Net Banking"/>
    <x v="1"/>
    <n v="14398.2"/>
  </r>
  <r>
    <s v="ORD02847"/>
    <d v="2026-05-14T00:00:00"/>
    <s v="C1454"/>
    <s v="Wireless Mouse"/>
    <x v="3"/>
    <n v="3"/>
    <n v="799"/>
    <n v="0.15"/>
    <s v="South"/>
    <s v="COD"/>
    <x v="0"/>
    <n v="13598.3"/>
  </r>
  <r>
    <s v="ORD02848"/>
    <d v="2026-09-08T00:00:00"/>
    <s v="C1400"/>
    <s v="Wireless Mouse"/>
    <x v="0"/>
    <n v="4"/>
    <n v="999"/>
    <n v="0"/>
    <s v="Central"/>
    <s v="Debit Card"/>
    <x v="2"/>
    <n v="2037.45"/>
  </r>
  <r>
    <s v="ORD02849"/>
    <d v="2026-01-29T00:00:00"/>
    <s v="C1513"/>
    <s v="Power Bank"/>
    <x v="1"/>
    <n v="1"/>
    <n v="1499"/>
    <n v="0"/>
    <s v="Central"/>
    <s v="Credit Card"/>
    <x v="2"/>
    <n v="3996"/>
  </r>
  <r>
    <s v="ORD02850"/>
    <d v="2026-01-31T00:00:00"/>
    <s v="C1564"/>
    <s v="Laptop Stand"/>
    <x v="0"/>
    <n v="1"/>
    <n v="4999"/>
    <n v="0.05"/>
    <s v="East"/>
    <s v="Debit Card"/>
    <x v="0"/>
    <n v="1499"/>
  </r>
  <r>
    <s v="ORD02851"/>
    <d v="2026-04-10T00:00:00"/>
    <s v="C1690"/>
    <s v="Mechanical Keyboard"/>
    <x v="4"/>
    <n v="5"/>
    <n v="1499"/>
    <n v="0.05"/>
    <s v="South"/>
    <s v="Net Banking"/>
    <x v="2"/>
    <n v="4749.05"/>
  </r>
  <r>
    <s v="ORD02852"/>
    <d v="2026-06-28T00:00:00"/>
    <s v="C1042"/>
    <s v="Headphones"/>
    <x v="0"/>
    <n v="1"/>
    <n v="1999"/>
    <n v="0.05"/>
    <s v="Central"/>
    <s v="Net Banking"/>
    <x v="1"/>
    <n v="7120.25"/>
  </r>
  <r>
    <s v="ORD02853"/>
    <d v="2026-02-16T00:00:00"/>
    <s v="C1661"/>
    <s v="Mechanical Keyboard"/>
    <x v="3"/>
    <n v="1"/>
    <n v="599"/>
    <n v="0.05"/>
    <s v="Central"/>
    <s v="UPI"/>
    <x v="2"/>
    <n v="1899.05"/>
  </r>
  <r>
    <s v="ORD02854"/>
    <d v="2026-06-25T00:00:00"/>
    <s v="C1119"/>
    <s v="Power Bank"/>
    <x v="1"/>
    <n v="1"/>
    <n v="799"/>
    <n v="0"/>
    <s v="South"/>
    <s v="UPI"/>
    <x v="0"/>
    <n v="569.04999999999995"/>
  </r>
  <r>
    <s v="ORD02855"/>
    <d v="2026-08-11T00:00:00"/>
    <s v="C1587"/>
    <s v="Power Bank"/>
    <x v="2"/>
    <n v="4"/>
    <n v="999"/>
    <n v="0"/>
    <s v="Central"/>
    <s v="UPI"/>
    <x v="0"/>
    <n v="799"/>
  </r>
  <r>
    <s v="ORD02856"/>
    <d v="2026-07-20T00:00:00"/>
    <s v="C1090"/>
    <s v="Headphones"/>
    <x v="3"/>
    <n v="3"/>
    <n v="999"/>
    <n v="0.1"/>
    <s v="North"/>
    <s v="UPI"/>
    <x v="1"/>
    <n v="3996"/>
  </r>
  <r>
    <s v="ORD02857"/>
    <d v="2026-08-12T00:00:00"/>
    <s v="C1268"/>
    <s v="Headphones"/>
    <x v="2"/>
    <n v="4"/>
    <n v="1499"/>
    <n v="0.15"/>
    <s v="South"/>
    <s v="UPI"/>
    <x v="2"/>
    <n v="2697.3"/>
  </r>
  <r>
    <s v="ORD02858"/>
    <d v="2026-02-23T00:00:00"/>
    <s v="C1600"/>
    <s v="Power Bank"/>
    <x v="1"/>
    <n v="3"/>
    <n v="599"/>
    <n v="0"/>
    <s v="North"/>
    <s v="Debit Card"/>
    <x v="2"/>
    <n v="5096.5999999999995"/>
  </r>
  <r>
    <s v="ORD02859"/>
    <d v="2026-08-25T00:00:00"/>
    <s v="C1064"/>
    <s v="Power Bank"/>
    <x v="1"/>
    <n v="2"/>
    <n v="499"/>
    <n v="0.15"/>
    <s v="Central"/>
    <s v="Net Banking"/>
    <x v="0"/>
    <n v="1797"/>
  </r>
  <r>
    <s v="ORD02860"/>
    <d v="2026-06-06T00:00:00"/>
    <s v="C1198"/>
    <s v="USB-C Hub"/>
    <x v="0"/>
    <n v="3"/>
    <n v="499"/>
    <n v="0"/>
    <s v="Central"/>
    <s v="Debit Card"/>
    <x v="0"/>
    <n v="848.3"/>
  </r>
  <r>
    <s v="ORD02861"/>
    <d v="2026-05-13T00:00:00"/>
    <s v="C1480"/>
    <s v="Wireless Mouse"/>
    <x v="1"/>
    <n v="4"/>
    <n v="999"/>
    <n v="0.1"/>
    <s v="Central"/>
    <s v="Credit Card"/>
    <x v="0"/>
    <n v="1497"/>
  </r>
  <r>
    <s v="ORD02862"/>
    <d v="2026-01-03T00:00:00"/>
    <s v="C1577"/>
    <s v="Mechanical Keyboard"/>
    <x v="0"/>
    <n v="4"/>
    <n v="599"/>
    <n v="0.15"/>
    <s v="East"/>
    <s v="UPI"/>
    <x v="0"/>
    <n v="3596.4"/>
  </r>
  <r>
    <s v="ORD02863"/>
    <d v="2026-01-03T00:00:00"/>
    <s v="C1027"/>
    <s v="Wireless Mouse"/>
    <x v="1"/>
    <n v="4"/>
    <n v="799"/>
    <n v="0"/>
    <s v="West"/>
    <s v="COD"/>
    <x v="1"/>
    <n v="2036.6"/>
  </r>
  <r>
    <s v="ORD02864"/>
    <d v="2026-07-06T00:00:00"/>
    <s v="C1003"/>
    <s v="Webcam"/>
    <x v="4"/>
    <n v="1"/>
    <n v="999"/>
    <n v="0.15"/>
    <s v="West"/>
    <s v="Net Banking"/>
    <x v="2"/>
    <n v="3196"/>
  </r>
  <r>
    <s v="ORD02865"/>
    <d v="2026-07-20T00:00:00"/>
    <s v="C1576"/>
    <s v="Laptop Stand"/>
    <x v="0"/>
    <n v="5"/>
    <n v="1999"/>
    <n v="0"/>
    <s v="North"/>
    <s v="Net Banking"/>
    <x v="0"/>
    <n v="849.15"/>
  </r>
  <r>
    <s v="ORD02866"/>
    <d v="2026-06-23T00:00:00"/>
    <s v="C1689"/>
    <s v="USB-C Hub"/>
    <x v="3"/>
    <n v="2"/>
    <n v="599"/>
    <n v="0.05"/>
    <s v="East"/>
    <s v="Credit Card"/>
    <x v="1"/>
    <n v="9995"/>
  </r>
  <r>
    <s v="ORD02867"/>
    <d v="2026-04-19T00:00:00"/>
    <s v="C1197"/>
    <s v="Mechanical Keyboard"/>
    <x v="3"/>
    <n v="2"/>
    <n v="1299"/>
    <n v="0.1"/>
    <s v="East"/>
    <s v="Debit Card"/>
    <x v="0"/>
    <n v="1138.0999999999999"/>
  </r>
  <r>
    <s v="ORD02868"/>
    <d v="2026-04-09T00:00:00"/>
    <s v="C1286"/>
    <s v="Bluetooth Speaker"/>
    <x v="3"/>
    <n v="2"/>
    <n v="1499"/>
    <n v="0"/>
    <s v="East"/>
    <s v="Credit Card"/>
    <x v="2"/>
    <n v="2338.2000000000003"/>
  </r>
  <r>
    <s v="ORD02869"/>
    <d v="2026-04-14T00:00:00"/>
    <s v="C1257"/>
    <s v="Mechanical Keyboard"/>
    <x v="4"/>
    <n v="2"/>
    <n v="1299"/>
    <n v="0.1"/>
    <s v="South"/>
    <s v="Credit Card"/>
    <x v="0"/>
    <n v="2998"/>
  </r>
  <r>
    <s v="ORD02870"/>
    <d v="2026-01-19T00:00:00"/>
    <s v="C1243"/>
    <s v="Laptop Stand"/>
    <x v="3"/>
    <n v="5"/>
    <n v="1299"/>
    <n v="0.05"/>
    <s v="East"/>
    <s v="COD"/>
    <x v="0"/>
    <n v="2338.2000000000003"/>
  </r>
  <r>
    <s v="ORD02871"/>
    <d v="2026-04-13T00:00:00"/>
    <s v="C1455"/>
    <s v="Webcam"/>
    <x v="4"/>
    <n v="4"/>
    <n v="799"/>
    <n v="0"/>
    <s v="Central"/>
    <s v="UPI"/>
    <x v="2"/>
    <n v="6170.25"/>
  </r>
  <r>
    <s v="ORD02872"/>
    <d v="2026-07-05T00:00:00"/>
    <s v="C1635"/>
    <s v="Keyboard"/>
    <x v="4"/>
    <n v="4"/>
    <n v="1299"/>
    <n v="0"/>
    <s v="South"/>
    <s v="Debit Card"/>
    <x v="1"/>
    <n v="3196"/>
  </r>
  <r>
    <s v="ORD02873"/>
    <d v="2026-09-25T00:00:00"/>
    <s v="C1542"/>
    <s v="Wireless Mouse"/>
    <x v="1"/>
    <n v="2"/>
    <n v="499"/>
    <n v="0"/>
    <s v="West"/>
    <s v="Net Banking"/>
    <x v="0"/>
    <n v="5196"/>
  </r>
  <r>
    <s v="ORD02874"/>
    <d v="2026-07-10T00:00:00"/>
    <s v="C1203"/>
    <s v="Webcam"/>
    <x v="2"/>
    <n v="5"/>
    <n v="2499"/>
    <n v="0.1"/>
    <s v="East"/>
    <s v="UPI"/>
    <x v="1"/>
    <n v="998"/>
  </r>
  <r>
    <s v="ORD02875"/>
    <d v="2026-08-17T00:00:00"/>
    <s v="C1542"/>
    <s v="Bluetooth Speaker"/>
    <x v="4"/>
    <n v="5"/>
    <n v="4999"/>
    <n v="0"/>
    <s v="North"/>
    <s v="Debit Card"/>
    <x v="1"/>
    <n v="11245.5"/>
  </r>
  <r>
    <s v="ORD02876"/>
    <d v="2026-04-16T00:00:00"/>
    <s v="C1605"/>
    <s v="Headphones"/>
    <x v="1"/>
    <n v="1"/>
    <n v="799"/>
    <n v="0.15"/>
    <s v="West"/>
    <s v="COD"/>
    <x v="1"/>
    <n v="24995"/>
  </r>
  <r>
    <s v="ORD02877"/>
    <d v="2026-07-27T00:00:00"/>
    <s v="C1761"/>
    <s v="Wireless Mouse"/>
    <x v="3"/>
    <n v="2"/>
    <n v="499"/>
    <n v="0"/>
    <s v="Central"/>
    <s v="Credit Card"/>
    <x v="0"/>
    <n v="679.15"/>
  </r>
  <r>
    <s v="ORD02878"/>
    <d v="2026-09-10T00:00:00"/>
    <s v="C1686"/>
    <s v="Laptop Stand"/>
    <x v="1"/>
    <n v="5"/>
    <n v="499"/>
    <n v="0"/>
    <s v="West"/>
    <s v="UPI"/>
    <x v="0"/>
    <n v="998"/>
  </r>
  <r>
    <s v="ORD02879"/>
    <d v="2026-02-15T00:00:00"/>
    <s v="C1040"/>
    <s v="Power Bank"/>
    <x v="1"/>
    <n v="5"/>
    <n v="2499"/>
    <n v="0"/>
    <s v="West"/>
    <s v="Net Banking"/>
    <x v="1"/>
    <n v="2495"/>
  </r>
  <r>
    <s v="ORD02880"/>
    <d v="2026-03-15T00:00:00"/>
    <s v="C1535"/>
    <s v="USB-C Hub"/>
    <x v="2"/>
    <n v="3"/>
    <n v="1999"/>
    <n v="0.15"/>
    <s v="South"/>
    <s v="Net Banking"/>
    <x v="0"/>
    <n v="12495"/>
  </r>
  <r>
    <s v="ORD02881"/>
    <d v="2026-07-15T00:00:00"/>
    <s v="C1453"/>
    <s v="Laptop Stand"/>
    <x v="0"/>
    <n v="5"/>
    <n v="2499"/>
    <n v="0"/>
    <s v="West"/>
    <s v="Net Banking"/>
    <x v="0"/>
    <n v="5097.45"/>
  </r>
  <r>
    <s v="ORD02882"/>
    <d v="2026-07-05T00:00:00"/>
    <s v="C1581"/>
    <s v="Wireless Mouse"/>
    <x v="4"/>
    <n v="1"/>
    <n v="1999"/>
    <n v="0"/>
    <s v="South"/>
    <s v="Net Banking"/>
    <x v="0"/>
    <n v="12495"/>
  </r>
  <r>
    <s v="ORD02883"/>
    <d v="2026-09-21T00:00:00"/>
    <s v="C1168"/>
    <s v="Wireless Mouse"/>
    <x v="3"/>
    <n v="3"/>
    <n v="599"/>
    <n v="0.1"/>
    <s v="East"/>
    <s v="Debit Card"/>
    <x v="0"/>
    <n v="1999"/>
  </r>
  <r>
    <s v="ORD02884"/>
    <d v="2026-09-12T00:00:00"/>
    <s v="C1724"/>
    <s v="Monitor"/>
    <x v="1"/>
    <n v="1"/>
    <n v="1499"/>
    <n v="0"/>
    <s v="West"/>
    <s v="COD"/>
    <x v="2"/>
    <n v="1617.3"/>
  </r>
  <r>
    <s v="ORD02885"/>
    <d v="2026-05-14T00:00:00"/>
    <s v="C1255"/>
    <s v="Keyboard"/>
    <x v="2"/>
    <n v="1"/>
    <n v="1999"/>
    <n v="0.05"/>
    <s v="North"/>
    <s v="UPI"/>
    <x v="0"/>
    <n v="1499"/>
  </r>
  <r>
    <s v="ORD02886"/>
    <d v="2026-04-14T00:00:00"/>
    <s v="C1313"/>
    <s v="Wireless Mouse"/>
    <x v="2"/>
    <n v="1"/>
    <n v="599"/>
    <n v="0"/>
    <s v="Central"/>
    <s v="Net Banking"/>
    <x v="0"/>
    <n v="1899.05"/>
  </r>
  <r>
    <s v="ORD02887"/>
    <d v="2026-04-11T00:00:00"/>
    <s v="C1152"/>
    <s v="Power Bank"/>
    <x v="4"/>
    <n v="1"/>
    <n v="599"/>
    <n v="0.1"/>
    <s v="East"/>
    <s v="Net Banking"/>
    <x v="2"/>
    <n v="599"/>
  </r>
  <r>
    <s v="ORD02888"/>
    <d v="2026-02-10T00:00:00"/>
    <s v="C1569"/>
    <s v="Headphones"/>
    <x v="2"/>
    <n v="5"/>
    <n v="1499"/>
    <n v="0"/>
    <s v="Central"/>
    <s v="Credit Card"/>
    <x v="1"/>
    <n v="539.1"/>
  </r>
  <r>
    <s v="ORD02889"/>
    <d v="2026-08-23T00:00:00"/>
    <s v="C1192"/>
    <s v="Power Bank"/>
    <x v="4"/>
    <n v="3"/>
    <n v="1299"/>
    <n v="0.05"/>
    <s v="Central"/>
    <s v="COD"/>
    <x v="0"/>
    <n v="7495"/>
  </r>
  <r>
    <s v="ORD02890"/>
    <d v="2026-04-22T00:00:00"/>
    <s v="C1584"/>
    <s v="USB-C Hub"/>
    <x v="3"/>
    <n v="1"/>
    <n v="1299"/>
    <n v="0.05"/>
    <s v="East"/>
    <s v="Credit Card"/>
    <x v="1"/>
    <n v="3702.1499999999996"/>
  </r>
  <r>
    <s v="ORD02891"/>
    <d v="2026-07-18T00:00:00"/>
    <s v="C1113"/>
    <s v="Wireless Mouse"/>
    <x v="4"/>
    <n v="4"/>
    <n v="599"/>
    <n v="0"/>
    <s v="North"/>
    <s v="Debit Card"/>
    <x v="1"/>
    <n v="1234.05"/>
  </r>
  <r>
    <s v="ORD02892"/>
    <d v="2026-07-01T00:00:00"/>
    <s v="C1050"/>
    <s v="Bluetooth Speaker"/>
    <x v="0"/>
    <n v="1"/>
    <n v="4999"/>
    <n v="0"/>
    <s v="South"/>
    <s v="Net Banking"/>
    <x v="0"/>
    <n v="2396"/>
  </r>
  <r>
    <s v="ORD02893"/>
    <d v="2026-01-18T00:00:00"/>
    <s v="C1449"/>
    <s v="Wireless Mouse"/>
    <x v="4"/>
    <n v="4"/>
    <n v="599"/>
    <n v="0.1"/>
    <s v="South"/>
    <s v="Net Banking"/>
    <x v="1"/>
    <n v="4999"/>
  </r>
  <r>
    <s v="ORD02894"/>
    <d v="2026-03-05T00:00:00"/>
    <s v="C1754"/>
    <s v="Bluetooth Speaker"/>
    <x v="3"/>
    <n v="2"/>
    <n v="4999"/>
    <n v="0.05"/>
    <s v="South"/>
    <s v="UPI"/>
    <x v="0"/>
    <n v="2156.4"/>
  </r>
  <r>
    <s v="ORD02895"/>
    <d v="2026-09-19T00:00:00"/>
    <s v="C1614"/>
    <s v="Keyboard"/>
    <x v="2"/>
    <n v="3"/>
    <n v="7999"/>
    <n v="0.05"/>
    <s v="South"/>
    <s v="Credit Card"/>
    <x v="0"/>
    <n v="9498.1"/>
  </r>
  <r>
    <s v="ORD02896"/>
    <d v="2026-08-14T00:00:00"/>
    <s v="C1174"/>
    <s v="Power Bank"/>
    <x v="2"/>
    <n v="5"/>
    <n v="999"/>
    <n v="0.05"/>
    <s v="North"/>
    <s v="COD"/>
    <x v="2"/>
    <n v="22797.149999999998"/>
  </r>
  <r>
    <s v="ORD02897"/>
    <d v="2026-06-10T00:00:00"/>
    <s v="C1164"/>
    <s v="Laptop Stand"/>
    <x v="0"/>
    <n v="2"/>
    <n v="4999"/>
    <n v="0.15"/>
    <s v="West"/>
    <s v="Debit Card"/>
    <x v="2"/>
    <n v="4745.25"/>
  </r>
  <r>
    <s v="ORD02898"/>
    <d v="2026-08-15T00:00:00"/>
    <s v="C1198"/>
    <s v="Wireless Mouse"/>
    <x v="1"/>
    <n v="3"/>
    <n v="1299"/>
    <n v="0.15"/>
    <s v="West"/>
    <s v="COD"/>
    <x v="0"/>
    <n v="8498.2999999999993"/>
  </r>
  <r>
    <s v="ORD02899"/>
    <d v="2026-03-17T00:00:00"/>
    <s v="C1236"/>
    <s v="Power Bank"/>
    <x v="2"/>
    <n v="3"/>
    <n v="499"/>
    <n v="0"/>
    <s v="Central"/>
    <s v="UPI"/>
    <x v="1"/>
    <n v="3312.45"/>
  </r>
  <r>
    <s v="ORD02900"/>
    <d v="2026-07-08T00:00:00"/>
    <s v="C1278"/>
    <s v="Monitor"/>
    <x v="4"/>
    <n v="5"/>
    <n v="7999"/>
    <n v="0.15"/>
    <s v="South"/>
    <s v="Debit Card"/>
    <x v="0"/>
    <n v="1497"/>
  </r>
  <r>
    <s v="ORD02901"/>
    <d v="2026-05-01T00:00:00"/>
    <s v="C1253"/>
    <s v="Wireless Mouse"/>
    <x v="1"/>
    <n v="5"/>
    <n v="1499"/>
    <n v="0"/>
    <s v="North"/>
    <s v="Net Banking"/>
    <x v="1"/>
    <n v="33995.75"/>
  </r>
  <r>
    <s v="ORD02902"/>
    <d v="2026-09-06T00:00:00"/>
    <s v="C1520"/>
    <s v="USB-C Hub"/>
    <x v="1"/>
    <n v="1"/>
    <n v="1999"/>
    <n v="0.15"/>
    <s v="East"/>
    <s v="Credit Card"/>
    <x v="0"/>
    <n v="7495"/>
  </r>
  <r>
    <s v="ORD02903"/>
    <d v="2026-05-03T00:00:00"/>
    <s v="C1127"/>
    <s v="Laptop Stand"/>
    <x v="0"/>
    <n v="1"/>
    <n v="1299"/>
    <n v="0.05"/>
    <s v="East"/>
    <s v="Net Banking"/>
    <x v="0"/>
    <n v="1699.1499999999999"/>
  </r>
  <r>
    <s v="ORD02904"/>
    <d v="2026-04-28T00:00:00"/>
    <s v="C1258"/>
    <s v="Keyboard"/>
    <x v="3"/>
    <n v="2"/>
    <n v="1299"/>
    <n v="0"/>
    <s v="West"/>
    <s v="Net Banking"/>
    <x v="1"/>
    <n v="1234.05"/>
  </r>
  <r>
    <s v="ORD02905"/>
    <d v="2026-08-25T00:00:00"/>
    <s v="C1233"/>
    <s v="Bluetooth Speaker"/>
    <x v="1"/>
    <n v="4"/>
    <n v="499"/>
    <n v="0.1"/>
    <s v="East"/>
    <s v="COD"/>
    <x v="0"/>
    <n v="2598"/>
  </r>
  <r>
    <s v="ORD02906"/>
    <d v="2026-07-30T00:00:00"/>
    <s v="C1664"/>
    <s v="Headphones"/>
    <x v="2"/>
    <n v="5"/>
    <n v="4999"/>
    <n v="0"/>
    <s v="Central"/>
    <s v="Credit Card"/>
    <x v="0"/>
    <n v="1796.4"/>
  </r>
  <r>
    <s v="ORD02907"/>
    <d v="2026-08-16T00:00:00"/>
    <s v="C1075"/>
    <s v="Wireless Mouse"/>
    <x v="0"/>
    <n v="1"/>
    <n v="1299"/>
    <n v="0"/>
    <s v="North"/>
    <s v="COD"/>
    <x v="0"/>
    <n v="24995"/>
  </r>
  <r>
    <s v="ORD02908"/>
    <d v="2026-03-13T00:00:00"/>
    <s v="C1414"/>
    <s v="Bluetooth Speaker"/>
    <x v="1"/>
    <n v="4"/>
    <n v="2499"/>
    <n v="0.15"/>
    <s v="South"/>
    <s v="UPI"/>
    <x v="0"/>
    <n v="1299"/>
  </r>
  <r>
    <s v="ORD02909"/>
    <d v="2026-07-31T00:00:00"/>
    <s v="C1299"/>
    <s v="Headphones"/>
    <x v="1"/>
    <n v="3"/>
    <n v="599"/>
    <n v="0.15"/>
    <s v="South"/>
    <s v="COD"/>
    <x v="0"/>
    <n v="8496.6"/>
  </r>
  <r>
    <s v="ORD02910"/>
    <d v="2026-09-10T00:00:00"/>
    <s v="C1540"/>
    <s v="Wireless Mouse"/>
    <x v="2"/>
    <n v="4"/>
    <n v="999"/>
    <n v="0"/>
    <s v="North"/>
    <s v="Debit Card"/>
    <x v="0"/>
    <n v="1527.45"/>
  </r>
  <r>
    <s v="ORD02911"/>
    <d v="2026-06-12T00:00:00"/>
    <s v="C1735"/>
    <s v="Bluetooth Speaker"/>
    <x v="4"/>
    <n v="1"/>
    <n v="1499"/>
    <n v="0.1"/>
    <s v="South"/>
    <s v="COD"/>
    <x v="1"/>
    <n v="3996"/>
  </r>
  <r>
    <s v="ORD02912"/>
    <d v="2026-08-21T00:00:00"/>
    <s v="C1244"/>
    <s v="Mechanical Keyboard"/>
    <x v="3"/>
    <n v="2"/>
    <n v="1999"/>
    <n v="0.05"/>
    <s v="West"/>
    <s v="Net Banking"/>
    <x v="0"/>
    <n v="1349.1000000000001"/>
  </r>
  <r>
    <s v="ORD02913"/>
    <d v="2026-02-10T00:00:00"/>
    <s v="C1288"/>
    <s v="Laptop Stand"/>
    <x v="3"/>
    <n v="1"/>
    <n v="1999"/>
    <n v="0.05"/>
    <s v="Central"/>
    <s v="Net Banking"/>
    <x v="0"/>
    <n v="3798.1"/>
  </r>
  <r>
    <s v="ORD02914"/>
    <d v="2026-07-09T00:00:00"/>
    <s v="C1010"/>
    <s v="USB-C Hub"/>
    <x v="4"/>
    <n v="3"/>
    <n v="7999"/>
    <n v="0.1"/>
    <s v="West"/>
    <s v="UPI"/>
    <x v="2"/>
    <n v="1899.05"/>
  </r>
  <r>
    <s v="ORD02915"/>
    <d v="2026-04-26T00:00:00"/>
    <s v="C1051"/>
    <s v="Wireless Mouse"/>
    <x v="2"/>
    <n v="3"/>
    <n v="2499"/>
    <n v="0.15"/>
    <s v="Central"/>
    <s v="UPI"/>
    <x v="0"/>
    <n v="21597.3"/>
  </r>
  <r>
    <s v="ORD02916"/>
    <d v="2026-09-24T00:00:00"/>
    <s v="C1416"/>
    <s v="Power Bank"/>
    <x v="1"/>
    <n v="2"/>
    <n v="1299"/>
    <n v="0.15"/>
    <s v="West"/>
    <s v="Credit Card"/>
    <x v="2"/>
    <n v="6372.45"/>
  </r>
  <r>
    <s v="ORD02917"/>
    <d v="2026-08-08T00:00:00"/>
    <s v="C1339"/>
    <s v="Laptop Stand"/>
    <x v="4"/>
    <n v="2"/>
    <n v="499"/>
    <n v="0.15"/>
    <s v="East"/>
    <s v="Net Banking"/>
    <x v="0"/>
    <n v="2208.2999999999997"/>
  </r>
  <r>
    <s v="ORD02918"/>
    <d v="2026-08-07T00:00:00"/>
    <s v="C1122"/>
    <s v="Bluetooth Speaker"/>
    <x v="0"/>
    <n v="4"/>
    <n v="7999"/>
    <n v="0.05"/>
    <s v="North"/>
    <s v="Net Banking"/>
    <x v="2"/>
    <n v="848.3"/>
  </r>
  <r>
    <s v="ORD02919"/>
    <d v="2026-02-15T00:00:00"/>
    <s v="C1143"/>
    <s v="Mechanical Keyboard"/>
    <x v="2"/>
    <n v="5"/>
    <n v="7999"/>
    <n v="0.1"/>
    <s v="East"/>
    <s v="UPI"/>
    <x v="0"/>
    <n v="30396.199999999997"/>
  </r>
  <r>
    <s v="ORD02920"/>
    <d v="2026-06-08T00:00:00"/>
    <s v="C1387"/>
    <s v="Headphones"/>
    <x v="0"/>
    <n v="1"/>
    <n v="599"/>
    <n v="0.1"/>
    <s v="West"/>
    <s v="UPI"/>
    <x v="0"/>
    <n v="35995.5"/>
  </r>
  <r>
    <s v="ORD02921"/>
    <d v="2026-01-30T00:00:00"/>
    <s v="C1529"/>
    <s v="Wireless Mouse"/>
    <x v="4"/>
    <n v="1"/>
    <n v="799"/>
    <n v="0"/>
    <s v="East"/>
    <s v="Net Banking"/>
    <x v="2"/>
    <n v="539.1"/>
  </r>
  <r>
    <s v="ORD02922"/>
    <d v="2026-03-05T00:00:00"/>
    <s v="C1670"/>
    <s v="Keyboard"/>
    <x v="2"/>
    <n v="1"/>
    <n v="599"/>
    <n v="0"/>
    <s v="South"/>
    <s v="Net Banking"/>
    <x v="0"/>
    <n v="799"/>
  </r>
  <r>
    <s v="ORD02923"/>
    <d v="2026-06-09T00:00:00"/>
    <s v="C1303"/>
    <s v="Bluetooth Speaker"/>
    <x v="2"/>
    <n v="1"/>
    <n v="1499"/>
    <n v="0.05"/>
    <s v="Central"/>
    <s v="Net Banking"/>
    <x v="0"/>
    <n v="599"/>
  </r>
  <r>
    <s v="ORD02924"/>
    <d v="2026-09-27T00:00:00"/>
    <s v="C1552"/>
    <s v="Headphones"/>
    <x v="2"/>
    <n v="5"/>
    <n v="1499"/>
    <n v="0"/>
    <s v="East"/>
    <s v="Credit Card"/>
    <x v="0"/>
    <n v="1424.05"/>
  </r>
  <r>
    <s v="ORD02925"/>
    <d v="2026-07-03T00:00:00"/>
    <s v="C1333"/>
    <s v="Webcam"/>
    <x v="1"/>
    <n v="5"/>
    <n v="2499"/>
    <n v="0"/>
    <s v="West"/>
    <s v="Debit Card"/>
    <x v="2"/>
    <n v="7495"/>
  </r>
  <r>
    <s v="ORD02926"/>
    <d v="2026-01-13T00:00:00"/>
    <s v="C1597"/>
    <s v="Keyboard"/>
    <x v="4"/>
    <n v="2"/>
    <n v="1999"/>
    <n v="0.1"/>
    <s v="South"/>
    <s v="Net Banking"/>
    <x v="0"/>
    <n v="12495"/>
  </r>
  <r>
    <s v="ORD02927"/>
    <d v="2026-08-12T00:00:00"/>
    <s v="C1527"/>
    <s v="Headphones"/>
    <x v="0"/>
    <n v="5"/>
    <n v="1499"/>
    <n v="0"/>
    <s v="South"/>
    <s v="Credit Card"/>
    <x v="0"/>
    <n v="3598.2000000000003"/>
  </r>
  <r>
    <s v="ORD02928"/>
    <d v="2026-09-14T00:00:00"/>
    <s v="C1676"/>
    <s v="Bluetooth Speaker"/>
    <x v="4"/>
    <n v="3"/>
    <n v="599"/>
    <n v="0"/>
    <s v="North"/>
    <s v="Credit Card"/>
    <x v="1"/>
    <n v="7495"/>
  </r>
  <r>
    <s v="ORD02929"/>
    <d v="2026-05-08T00:00:00"/>
    <s v="C1629"/>
    <s v="Power Bank"/>
    <x v="4"/>
    <n v="5"/>
    <n v="499"/>
    <n v="0.1"/>
    <s v="East"/>
    <s v="UPI"/>
    <x v="0"/>
    <n v="1797"/>
  </r>
  <r>
    <s v="ORD02930"/>
    <d v="2026-08-28T00:00:00"/>
    <s v="C1512"/>
    <s v="Keyboard"/>
    <x v="0"/>
    <n v="4"/>
    <n v="1499"/>
    <n v="0.05"/>
    <s v="North"/>
    <s v="Net Banking"/>
    <x v="1"/>
    <n v="2245.5"/>
  </r>
  <r>
    <s v="ORD02931"/>
    <d v="2026-06-25T00:00:00"/>
    <s v="C1130"/>
    <s v="Mechanical Keyboard"/>
    <x v="4"/>
    <n v="5"/>
    <n v="1299"/>
    <n v="0.1"/>
    <s v="Central"/>
    <s v="Net Banking"/>
    <x v="0"/>
    <n v="5696.2"/>
  </r>
  <r>
    <s v="ORD02932"/>
    <d v="2026-03-20T00:00:00"/>
    <s v="C1567"/>
    <s v="Monitor"/>
    <x v="4"/>
    <n v="3"/>
    <n v="2499"/>
    <n v="0"/>
    <s v="North"/>
    <s v="Debit Card"/>
    <x v="0"/>
    <n v="5845.5"/>
  </r>
  <r>
    <s v="ORD02933"/>
    <d v="2026-03-19T00:00:00"/>
    <s v="C1492"/>
    <s v="Monitor"/>
    <x v="3"/>
    <n v="3"/>
    <n v="1499"/>
    <n v="0.05"/>
    <s v="North"/>
    <s v="Credit Card"/>
    <x v="0"/>
    <n v="7497"/>
  </r>
  <r>
    <s v="ORD02934"/>
    <d v="2026-05-05T00:00:00"/>
    <s v="C1372"/>
    <s v="Power Bank"/>
    <x v="3"/>
    <n v="5"/>
    <n v="1299"/>
    <n v="0.15"/>
    <s v="North"/>
    <s v="Net Banking"/>
    <x v="0"/>
    <n v="4272.1499999999996"/>
  </r>
  <r>
    <s v="ORD02935"/>
    <d v="2026-08-11T00:00:00"/>
    <s v="C1483"/>
    <s v="Mechanical Keyboard"/>
    <x v="0"/>
    <n v="5"/>
    <n v="4999"/>
    <n v="0.15"/>
    <s v="South"/>
    <s v="UPI"/>
    <x v="1"/>
    <n v="5520.75"/>
  </r>
  <r>
    <s v="ORD02936"/>
    <d v="2026-02-28T00:00:00"/>
    <s v="C1601"/>
    <s v="Laptop Stand"/>
    <x v="4"/>
    <n v="5"/>
    <n v="1499"/>
    <n v="0"/>
    <s v="Central"/>
    <s v="Net Banking"/>
    <x v="0"/>
    <n v="21245.75"/>
  </r>
  <r>
    <s v="ORD02937"/>
    <d v="2026-04-17T00:00:00"/>
    <s v="C1763"/>
    <s v="USB-C Hub"/>
    <x v="4"/>
    <n v="3"/>
    <n v="1999"/>
    <n v="0.05"/>
    <s v="East"/>
    <s v="UPI"/>
    <x v="1"/>
    <n v="7495"/>
  </r>
  <r>
    <s v="ORD02938"/>
    <d v="2026-02-21T00:00:00"/>
    <s v="C1529"/>
    <s v="Monitor"/>
    <x v="2"/>
    <n v="5"/>
    <n v="1999"/>
    <n v="0"/>
    <s v="North"/>
    <s v="Net Banking"/>
    <x v="0"/>
    <n v="5697.15"/>
  </r>
  <r>
    <s v="ORD02939"/>
    <d v="2026-02-24T00:00:00"/>
    <s v="C1777"/>
    <s v="Headphones"/>
    <x v="2"/>
    <n v="3"/>
    <n v="1999"/>
    <n v="0.05"/>
    <s v="West"/>
    <s v="Credit Card"/>
    <x v="0"/>
    <n v="9995"/>
  </r>
  <r>
    <s v="ORD02940"/>
    <d v="2026-08-01T00:00:00"/>
    <s v="C1158"/>
    <s v="Mechanical Keyboard"/>
    <x v="0"/>
    <n v="1"/>
    <n v="599"/>
    <n v="0.05"/>
    <s v="East"/>
    <s v="UPI"/>
    <x v="0"/>
    <n v="5697.15"/>
  </r>
  <r>
    <s v="ORD02941"/>
    <d v="2026-02-20T00:00:00"/>
    <s v="C1776"/>
    <s v="Webcam"/>
    <x v="4"/>
    <n v="2"/>
    <n v="1299"/>
    <n v="0"/>
    <s v="East"/>
    <s v="UPI"/>
    <x v="0"/>
    <n v="569.04999999999995"/>
  </r>
  <r>
    <s v="ORD02942"/>
    <d v="2026-02-23T00:00:00"/>
    <s v="C1432"/>
    <s v="Keyboard"/>
    <x v="4"/>
    <n v="3"/>
    <n v="999"/>
    <n v="0"/>
    <s v="South"/>
    <s v="Credit Card"/>
    <x v="2"/>
    <n v="2598"/>
  </r>
  <r>
    <s v="ORD02943"/>
    <d v="2026-04-20T00:00:00"/>
    <s v="C1254"/>
    <s v="Laptop Stand"/>
    <x v="4"/>
    <n v="2"/>
    <n v="1499"/>
    <n v="0"/>
    <s v="Central"/>
    <s v="Credit Card"/>
    <x v="0"/>
    <n v="2997"/>
  </r>
  <r>
    <s v="ORD02944"/>
    <d v="2026-03-26T00:00:00"/>
    <s v="C1648"/>
    <s v="Laptop Stand"/>
    <x v="0"/>
    <n v="2"/>
    <n v="2499"/>
    <n v="0"/>
    <s v="East"/>
    <s v="Debit Card"/>
    <x v="0"/>
    <n v="2998"/>
  </r>
  <r>
    <s v="ORD02945"/>
    <d v="2026-04-14T00:00:00"/>
    <s v="C1669"/>
    <s v="Monitor"/>
    <x v="4"/>
    <n v="3"/>
    <n v="799"/>
    <n v="0"/>
    <s v="South"/>
    <s v="Net Banking"/>
    <x v="1"/>
    <n v="4998"/>
  </r>
  <r>
    <s v="ORD02946"/>
    <d v="2026-01-28T00:00:00"/>
    <s v="C1620"/>
    <s v="Bluetooth Speaker"/>
    <x v="0"/>
    <n v="4"/>
    <n v="999"/>
    <n v="0.15"/>
    <s v="West"/>
    <s v="Credit Card"/>
    <x v="2"/>
    <n v="2397"/>
  </r>
  <r>
    <s v="ORD02947"/>
    <d v="2026-01-19T00:00:00"/>
    <s v="C1393"/>
    <s v="Keyboard"/>
    <x v="0"/>
    <n v="4"/>
    <n v="499"/>
    <n v="0.15"/>
    <s v="Central"/>
    <s v="Debit Card"/>
    <x v="0"/>
    <n v="3396.6"/>
  </r>
  <r>
    <s v="ORD02948"/>
    <d v="2026-03-06T00:00:00"/>
    <s v="C1264"/>
    <s v="Mechanical Keyboard"/>
    <x v="2"/>
    <n v="3"/>
    <n v="499"/>
    <n v="0.1"/>
    <s v="Central"/>
    <s v="Debit Card"/>
    <x v="2"/>
    <n v="1696.6"/>
  </r>
  <r>
    <s v="ORD02949"/>
    <d v="2026-01-23T00:00:00"/>
    <s v="C1173"/>
    <s v="Mechanical Keyboard"/>
    <x v="1"/>
    <n v="5"/>
    <n v="599"/>
    <n v="0"/>
    <s v="South"/>
    <s v="Net Banking"/>
    <x v="0"/>
    <n v="1347.3"/>
  </r>
  <r>
    <s v="ORD02950"/>
    <d v="2026-08-25T00:00:00"/>
    <s v="C1747"/>
    <s v="Laptop Stand"/>
    <x v="2"/>
    <n v="1"/>
    <n v="1999"/>
    <n v="0"/>
    <s v="East"/>
    <s v="Debit Card"/>
    <x v="1"/>
    <n v="2995"/>
  </r>
  <r>
    <s v="ORD02951"/>
    <d v="2026-04-15T00:00:00"/>
    <s v="C1327"/>
    <s v="Power Bank"/>
    <x v="2"/>
    <n v="3"/>
    <n v="1499"/>
    <n v="0.05"/>
    <s v="Central"/>
    <s v="Debit Card"/>
    <x v="2"/>
    <n v="1999"/>
  </r>
  <r>
    <s v="ORD02952"/>
    <d v="2026-06-05T00:00:00"/>
    <s v="C1717"/>
    <s v="Wireless Mouse"/>
    <x v="1"/>
    <n v="3"/>
    <n v="4999"/>
    <n v="0"/>
    <s v="West"/>
    <s v="Debit Card"/>
    <x v="1"/>
    <n v="4272.1499999999996"/>
  </r>
  <r>
    <s v="ORD02953"/>
    <d v="2026-06-11T00:00:00"/>
    <s v="C1119"/>
    <s v="Keyboard"/>
    <x v="2"/>
    <n v="4"/>
    <n v="999"/>
    <n v="0.15"/>
    <s v="Central"/>
    <s v="UPI"/>
    <x v="1"/>
    <n v="14997"/>
  </r>
  <r>
    <s v="ORD02954"/>
    <d v="2026-07-13T00:00:00"/>
    <s v="C1029"/>
    <s v="Monitor"/>
    <x v="4"/>
    <n v="3"/>
    <n v="499"/>
    <n v="0"/>
    <s v="East"/>
    <s v="UPI"/>
    <x v="0"/>
    <n v="3396.6"/>
  </r>
  <r>
    <s v="ORD02955"/>
    <d v="2026-02-07T00:00:00"/>
    <s v="C1773"/>
    <s v="Laptop Stand"/>
    <x v="0"/>
    <n v="1"/>
    <n v="1299"/>
    <n v="0.15"/>
    <s v="Central"/>
    <s v="Credit Card"/>
    <x v="0"/>
    <n v="1497"/>
  </r>
  <r>
    <s v="ORD02956"/>
    <d v="2026-06-14T00:00:00"/>
    <s v="C1114"/>
    <s v="USB-C Hub"/>
    <x v="4"/>
    <n v="4"/>
    <n v="1499"/>
    <n v="0.1"/>
    <s v="North"/>
    <s v="COD"/>
    <x v="2"/>
    <n v="1104.1499999999999"/>
  </r>
  <r>
    <s v="ORD02957"/>
    <d v="2026-06-10T00:00:00"/>
    <s v="C1263"/>
    <s v="Laptop Stand"/>
    <x v="2"/>
    <n v="1"/>
    <n v="499"/>
    <n v="0.05"/>
    <s v="South"/>
    <s v="COD"/>
    <x v="0"/>
    <n v="5396.4000000000005"/>
  </r>
  <r>
    <s v="ORD02958"/>
    <d v="2026-01-24T00:00:00"/>
    <s v="C1037"/>
    <s v="Laptop Stand"/>
    <x v="1"/>
    <n v="2"/>
    <n v="4999"/>
    <n v="0.1"/>
    <s v="South"/>
    <s v="UPI"/>
    <x v="0"/>
    <n v="474.04999999999995"/>
  </r>
  <r>
    <s v="ORD02959"/>
    <d v="2026-09-05T00:00:00"/>
    <s v="C1485"/>
    <s v="Laptop Stand"/>
    <x v="0"/>
    <n v="1"/>
    <n v="599"/>
    <n v="0.05"/>
    <s v="West"/>
    <s v="UPI"/>
    <x v="0"/>
    <n v="8998.2000000000007"/>
  </r>
  <r>
    <s v="ORD02960"/>
    <d v="2026-01-16T00:00:00"/>
    <s v="C1363"/>
    <s v="Webcam"/>
    <x v="4"/>
    <n v="3"/>
    <n v="999"/>
    <n v="0"/>
    <s v="South"/>
    <s v="Credit Card"/>
    <x v="2"/>
    <n v="569.04999999999995"/>
  </r>
  <r>
    <s v="ORD02961"/>
    <d v="2026-05-08T00:00:00"/>
    <s v="C1472"/>
    <s v="Wireless Mouse"/>
    <x v="3"/>
    <n v="3"/>
    <n v="1999"/>
    <n v="0"/>
    <s v="East"/>
    <s v="UPI"/>
    <x v="0"/>
    <n v="2997"/>
  </r>
  <r>
    <s v="ORD02962"/>
    <d v="2026-06-03T00:00:00"/>
    <s v="C1371"/>
    <s v="Wireless Mouse"/>
    <x v="3"/>
    <n v="1"/>
    <n v="999"/>
    <n v="0.1"/>
    <s v="West"/>
    <s v="Credit Card"/>
    <x v="2"/>
    <n v="5997"/>
  </r>
  <r>
    <s v="ORD02963"/>
    <d v="2026-02-08T00:00:00"/>
    <s v="C1017"/>
    <s v="Webcam"/>
    <x v="1"/>
    <n v="2"/>
    <n v="799"/>
    <n v="0"/>
    <s v="Central"/>
    <s v="UPI"/>
    <x v="1"/>
    <n v="899.1"/>
  </r>
  <r>
    <s v="ORD02964"/>
    <d v="2026-08-05T00:00:00"/>
    <s v="C1355"/>
    <s v="Wireless Mouse"/>
    <x v="2"/>
    <n v="5"/>
    <n v="599"/>
    <n v="0.05"/>
    <s v="West"/>
    <s v="Debit Card"/>
    <x v="0"/>
    <n v="1598"/>
  </r>
  <r>
    <s v="ORD02965"/>
    <d v="2026-06-15T00:00:00"/>
    <s v="C1060"/>
    <s v="Keyboard"/>
    <x v="1"/>
    <n v="2"/>
    <n v="1299"/>
    <n v="0"/>
    <s v="East"/>
    <s v="Credit Card"/>
    <x v="0"/>
    <n v="2845.25"/>
  </r>
  <r>
    <s v="ORD02966"/>
    <d v="2026-03-12T00:00:00"/>
    <s v="C1106"/>
    <s v="Headphones"/>
    <x v="3"/>
    <n v="2"/>
    <n v="1299"/>
    <n v="0"/>
    <s v="East"/>
    <s v="Credit Card"/>
    <x v="0"/>
    <n v="2598"/>
  </r>
  <r>
    <s v="ORD02967"/>
    <d v="2026-09-26T00:00:00"/>
    <s v="C1027"/>
    <s v="Webcam"/>
    <x v="2"/>
    <n v="1"/>
    <n v="4999"/>
    <n v="0.15"/>
    <s v="South"/>
    <s v="COD"/>
    <x v="0"/>
    <n v="2598"/>
  </r>
  <r>
    <s v="ORD02968"/>
    <d v="2026-02-10T00:00:00"/>
    <s v="C1170"/>
    <s v="Bluetooth Speaker"/>
    <x v="1"/>
    <n v="2"/>
    <n v="7999"/>
    <n v="0"/>
    <s v="South"/>
    <s v="Credit Card"/>
    <x v="0"/>
    <n v="4249.1499999999996"/>
  </r>
  <r>
    <s v="ORD02969"/>
    <d v="2026-09-20T00:00:00"/>
    <s v="C1473"/>
    <s v="Mechanical Keyboard"/>
    <x v="1"/>
    <n v="2"/>
    <n v="1299"/>
    <n v="0.1"/>
    <s v="Central"/>
    <s v="Credit Card"/>
    <x v="1"/>
    <n v="15998"/>
  </r>
  <r>
    <s v="ORD02970"/>
    <d v="2026-08-28T00:00:00"/>
    <s v="C1347"/>
    <s v="Keyboard"/>
    <x v="2"/>
    <n v="3"/>
    <n v="4999"/>
    <n v="0.05"/>
    <s v="South"/>
    <s v="Credit Card"/>
    <x v="0"/>
    <n v="2338.2000000000003"/>
  </r>
  <r>
    <s v="ORD02971"/>
    <d v="2026-09-30T00:00:00"/>
    <s v="C1063"/>
    <s v="Laptop Stand"/>
    <x v="0"/>
    <n v="5"/>
    <n v="1999"/>
    <n v="0.15"/>
    <s v="East"/>
    <s v="COD"/>
    <x v="1"/>
    <n v="14247.15"/>
  </r>
  <r>
    <s v="ORD02972"/>
    <d v="2026-02-03T00:00:00"/>
    <s v="C1237"/>
    <s v="Power Bank"/>
    <x v="1"/>
    <n v="4"/>
    <n v="7999"/>
    <n v="0.1"/>
    <s v="Central"/>
    <s v="COD"/>
    <x v="2"/>
    <n v="8495.75"/>
  </r>
  <r>
    <s v="ORD02973"/>
    <d v="2026-09-23T00:00:00"/>
    <s v="C1262"/>
    <s v="Bluetooth Speaker"/>
    <x v="3"/>
    <n v="3"/>
    <n v="7999"/>
    <n v="0.15"/>
    <s v="Central"/>
    <s v="UPI"/>
    <x v="0"/>
    <n v="28796.400000000001"/>
  </r>
  <r>
    <s v="ORD02974"/>
    <d v="2026-05-18T00:00:00"/>
    <s v="C1488"/>
    <s v="Webcam"/>
    <x v="1"/>
    <n v="5"/>
    <n v="599"/>
    <n v="0"/>
    <s v="West"/>
    <s v="Credit Card"/>
    <x v="2"/>
    <n v="20397.45"/>
  </r>
  <r>
    <s v="ORD02975"/>
    <d v="2026-09-09T00:00:00"/>
    <s v="C1168"/>
    <s v="Bluetooth Speaker"/>
    <x v="0"/>
    <n v="2"/>
    <n v="1999"/>
    <n v="0.05"/>
    <s v="Central"/>
    <s v="Debit Card"/>
    <x v="0"/>
    <n v="2995"/>
  </r>
  <r>
    <s v="ORD02976"/>
    <d v="2026-01-24T00:00:00"/>
    <s v="C1083"/>
    <s v="Mechanical Keyboard"/>
    <x v="4"/>
    <n v="1"/>
    <n v="1499"/>
    <n v="0.15"/>
    <s v="West"/>
    <s v="Credit Card"/>
    <x v="2"/>
    <n v="3798.1"/>
  </r>
  <r>
    <s v="ORD02977"/>
    <d v="2026-09-14T00:00:00"/>
    <s v="C1550"/>
    <s v="Mechanical Keyboard"/>
    <x v="2"/>
    <n v="5"/>
    <n v="799"/>
    <n v="0.1"/>
    <s v="West"/>
    <s v="UPI"/>
    <x v="0"/>
    <n v="1274.1499999999999"/>
  </r>
  <r>
    <s v="ORD02978"/>
    <d v="2026-05-25T00:00:00"/>
    <s v="C1423"/>
    <s v="Wireless Mouse"/>
    <x v="2"/>
    <n v="2"/>
    <n v="599"/>
    <n v="0.15"/>
    <s v="East"/>
    <s v="Debit Card"/>
    <x v="2"/>
    <n v="3595.5"/>
  </r>
  <r>
    <s v="ORD02979"/>
    <d v="2026-01-15T00:00:00"/>
    <s v="C1518"/>
    <s v="Power Bank"/>
    <x v="2"/>
    <n v="3"/>
    <n v="499"/>
    <n v="0.15"/>
    <s v="North"/>
    <s v="COD"/>
    <x v="2"/>
    <n v="1018.3"/>
  </r>
  <r>
    <s v="ORD02980"/>
    <d v="2026-03-22T00:00:00"/>
    <s v="C1443"/>
    <s v="Bluetooth Speaker"/>
    <x v="2"/>
    <n v="4"/>
    <n v="999"/>
    <n v="0.1"/>
    <s v="South"/>
    <s v="Debit Card"/>
    <x v="1"/>
    <n v="1272.45"/>
  </r>
  <r>
    <s v="ORD02981"/>
    <d v="2026-02-06T00:00:00"/>
    <s v="C1553"/>
    <s v="Bluetooth Speaker"/>
    <x v="0"/>
    <n v="3"/>
    <n v="799"/>
    <n v="0.1"/>
    <s v="Central"/>
    <s v="UPI"/>
    <x v="0"/>
    <n v="3596.4"/>
  </r>
  <r>
    <s v="ORD02982"/>
    <d v="2026-01-18T00:00:00"/>
    <s v="C1357"/>
    <s v="Wireless Mouse"/>
    <x v="4"/>
    <n v="5"/>
    <n v="1299"/>
    <n v="0"/>
    <s v="East"/>
    <s v="Net Banking"/>
    <x v="2"/>
    <n v="2157.3000000000002"/>
  </r>
  <r>
    <s v="ORD02983"/>
    <d v="2026-09-06T00:00:00"/>
    <s v="C1203"/>
    <s v="Keyboard"/>
    <x v="4"/>
    <n v="5"/>
    <n v="2499"/>
    <n v="0.05"/>
    <s v="South"/>
    <s v="COD"/>
    <x v="0"/>
    <n v="6495"/>
  </r>
  <r>
    <s v="ORD02984"/>
    <d v="2026-08-02T00:00:00"/>
    <s v="C1138"/>
    <s v="Power Bank"/>
    <x v="0"/>
    <n v="4"/>
    <n v="1299"/>
    <n v="0.05"/>
    <s v="South"/>
    <s v="Net Banking"/>
    <x v="0"/>
    <n v="11870.25"/>
  </r>
  <r>
    <s v="ORD02985"/>
    <d v="2026-02-16T00:00:00"/>
    <s v="C1102"/>
    <s v="Bluetooth Speaker"/>
    <x v="0"/>
    <n v="3"/>
    <n v="1299"/>
    <n v="0"/>
    <s v="East"/>
    <s v="Debit Card"/>
    <x v="2"/>
    <n v="4936.2"/>
  </r>
  <r>
    <s v="ORD02986"/>
    <d v="2026-02-05T00:00:00"/>
    <s v="C1113"/>
    <s v="USB-C Hub"/>
    <x v="2"/>
    <n v="3"/>
    <n v="2499"/>
    <n v="0"/>
    <s v="Central"/>
    <s v="UPI"/>
    <x v="0"/>
    <n v="3897"/>
  </r>
  <r>
    <s v="ORD02987"/>
    <d v="2026-08-17T00:00:00"/>
    <s v="C1479"/>
    <s v="Headphones"/>
    <x v="3"/>
    <n v="4"/>
    <n v="1499"/>
    <n v="0.05"/>
    <s v="Central"/>
    <s v="COD"/>
    <x v="0"/>
    <n v="7497"/>
  </r>
  <r>
    <s v="ORD02988"/>
    <d v="2026-08-03T00:00:00"/>
    <s v="C1111"/>
    <s v="Headphones"/>
    <x v="3"/>
    <n v="2"/>
    <n v="7999"/>
    <n v="0"/>
    <s v="East"/>
    <s v="Credit Card"/>
    <x v="0"/>
    <n v="5696.2"/>
  </r>
  <r>
    <s v="ORD02989"/>
    <d v="2026-04-02T00:00:00"/>
    <s v="C1492"/>
    <s v="Power Bank"/>
    <x v="4"/>
    <n v="5"/>
    <n v="599"/>
    <n v="0.15"/>
    <s v="South"/>
    <s v="Net Banking"/>
    <x v="0"/>
    <n v="15998"/>
  </r>
  <r>
    <s v="ORD02990"/>
    <d v="2026-02-25T00:00:00"/>
    <s v="C1673"/>
    <s v="Mechanical Keyboard"/>
    <x v="2"/>
    <n v="1"/>
    <n v="1299"/>
    <n v="0.15"/>
    <s v="North"/>
    <s v="Credit Card"/>
    <x v="0"/>
    <n v="2545.75"/>
  </r>
  <r>
    <s v="ORD02991"/>
    <d v="2026-04-04T00:00:00"/>
    <s v="C1782"/>
    <s v="Laptop Stand"/>
    <x v="4"/>
    <n v="2"/>
    <n v="4999"/>
    <n v="0"/>
    <s v="West"/>
    <s v="Credit Card"/>
    <x v="1"/>
    <n v="1104.1499999999999"/>
  </r>
  <r>
    <s v="ORD02992"/>
    <d v="2026-05-07T00:00:00"/>
    <s v="C1190"/>
    <s v="Wireless Mouse"/>
    <x v="1"/>
    <n v="5"/>
    <n v="799"/>
    <n v="0.15"/>
    <s v="Central"/>
    <s v="Net Banking"/>
    <x v="0"/>
    <n v="9998"/>
  </r>
  <r>
    <s v="ORD02993"/>
    <d v="2026-05-06T00:00:00"/>
    <s v="C1589"/>
    <s v="Bluetooth Speaker"/>
    <x v="4"/>
    <n v="2"/>
    <n v="1999"/>
    <n v="0.15"/>
    <s v="East"/>
    <s v="UPI"/>
    <x v="1"/>
    <n v="3395.75"/>
  </r>
  <r>
    <s v="ORD02994"/>
    <d v="2026-03-16T00:00:00"/>
    <s v="C1265"/>
    <s v="Webcam"/>
    <x v="2"/>
    <n v="5"/>
    <n v="4999"/>
    <n v="0"/>
    <s v="North"/>
    <s v="COD"/>
    <x v="2"/>
    <n v="3398.2999999999997"/>
  </r>
  <r>
    <s v="ORD02995"/>
    <d v="2026-07-23T00:00:00"/>
    <s v="C1418"/>
    <s v="Webcam"/>
    <x v="1"/>
    <n v="3"/>
    <n v="799"/>
    <n v="0.15"/>
    <s v="South"/>
    <s v="COD"/>
    <x v="0"/>
    <n v="24995"/>
  </r>
  <r>
    <s v="ORD02996"/>
    <d v="2026-08-16T00:00:00"/>
    <s v="C1783"/>
    <s v="Laptop Stand"/>
    <x v="0"/>
    <n v="3"/>
    <n v="4999"/>
    <n v="0.1"/>
    <s v="East"/>
    <s v="Credit Card"/>
    <x v="2"/>
    <n v="2037.45"/>
  </r>
  <r>
    <s v="ORD02997"/>
    <d v="2026-09-25T00:00:00"/>
    <s v="C1470"/>
    <s v="Headphones"/>
    <x v="2"/>
    <n v="3"/>
    <n v="499"/>
    <n v="0.1"/>
    <s v="North"/>
    <s v="Debit Card"/>
    <x v="2"/>
    <n v="13497.300000000001"/>
  </r>
  <r>
    <s v="ORD02998"/>
    <d v="2026-02-16T00:00:00"/>
    <s v="C1710"/>
    <s v="Laptop Stand"/>
    <x v="3"/>
    <n v="1"/>
    <n v="499"/>
    <n v="0"/>
    <s v="South"/>
    <s v="Debit Card"/>
    <x v="2"/>
    <n v="1347.3"/>
  </r>
  <r>
    <s v="ORD02999"/>
    <d v="2026-07-16T00:00:00"/>
    <s v="C1301"/>
    <s v="Laptop Stand"/>
    <x v="3"/>
    <n v="2"/>
    <n v="1499"/>
    <n v="0"/>
    <s v="South"/>
    <s v="Credit Card"/>
    <x v="1"/>
    <n v="499"/>
  </r>
  <r>
    <s v="ORD03000"/>
    <d v="2026-01-28T00:00:00"/>
    <s v="C1600"/>
    <s v="Power Bank"/>
    <x v="0"/>
    <n v="4"/>
    <n v="7999"/>
    <n v="0"/>
    <s v="North"/>
    <s v="Credit Card"/>
    <x v="0"/>
    <n v="2998"/>
  </r>
  <r>
    <s v="ORD03001"/>
    <d v="2026-05-13T00:00:00"/>
    <s v="C1275"/>
    <s v="Laptop Stand"/>
    <x v="1"/>
    <n v="4"/>
    <n v="4999"/>
    <n v="0.1"/>
    <s v="North"/>
    <s v="COD"/>
    <x v="0"/>
    <n v="31996"/>
  </r>
  <r>
    <s v="ORD03002"/>
    <d v="2026-05-14T00:00:00"/>
    <s v="C1255"/>
    <s v="Power Bank"/>
    <x v="3"/>
    <n v="1"/>
    <n v="999"/>
    <n v="0"/>
    <s v="South"/>
    <s v="Credit Card"/>
    <x v="0"/>
    <n v="17996.400000000001"/>
  </r>
  <r>
    <s v="ORD03003"/>
    <d v="2026-02-26T00:00:00"/>
    <s v="C1576"/>
    <s v="Webcam"/>
    <x v="3"/>
    <n v="4"/>
    <n v="799"/>
    <n v="0.1"/>
    <s v="West"/>
    <s v="Credit Card"/>
    <x v="0"/>
    <n v="999"/>
  </r>
  <r>
    <s v="ORD03004"/>
    <d v="2026-03-29T00:00:00"/>
    <s v="C1547"/>
    <s v="Keyboard"/>
    <x v="1"/>
    <n v="5"/>
    <n v="599"/>
    <n v="0.15"/>
    <s v="East"/>
    <s v="UPI"/>
    <x v="2"/>
    <n v="2876.4"/>
  </r>
  <r>
    <s v="ORD03005"/>
    <d v="2026-03-05T00:00:00"/>
    <s v="C1567"/>
    <s v="Bluetooth Speaker"/>
    <x v="3"/>
    <n v="3"/>
    <n v="499"/>
    <n v="0.1"/>
    <s v="West"/>
    <s v="Net Banking"/>
    <x v="0"/>
    <n v="2545.75"/>
  </r>
  <r>
    <s v="ORD03006"/>
    <d v="2026-05-11T00:00:00"/>
    <s v="C1650"/>
    <s v="Webcam"/>
    <x v="2"/>
    <n v="1"/>
    <n v="999"/>
    <n v="0.15"/>
    <s v="South"/>
    <s v="Debit Card"/>
    <x v="0"/>
    <n v="1347.3"/>
  </r>
  <r>
    <s v="ORD03007"/>
    <d v="2026-07-04T00:00:00"/>
    <s v="C1258"/>
    <s v="Headphones"/>
    <x v="2"/>
    <n v="3"/>
    <n v="1999"/>
    <n v="0"/>
    <s v="West"/>
    <s v="COD"/>
    <x v="0"/>
    <n v="849.15"/>
  </r>
  <r>
    <s v="ORD03008"/>
    <d v="2026-04-18T00:00:00"/>
    <s v="C1552"/>
    <s v="Webcam"/>
    <x v="2"/>
    <n v="2"/>
    <n v="1999"/>
    <n v="0.05"/>
    <s v="Central"/>
    <s v="UPI"/>
    <x v="0"/>
    <n v="5997"/>
  </r>
  <r>
    <s v="ORD03009"/>
    <d v="2026-05-22T00:00:00"/>
    <s v="C1051"/>
    <s v="Headphones"/>
    <x v="0"/>
    <n v="4"/>
    <n v="4999"/>
    <n v="0"/>
    <s v="Central"/>
    <s v="COD"/>
    <x v="0"/>
    <n v="3798.1"/>
  </r>
  <r>
    <s v="ORD03010"/>
    <d v="2026-04-19T00:00:00"/>
    <s v="C1618"/>
    <s v="USB-C Hub"/>
    <x v="0"/>
    <n v="1"/>
    <n v="599"/>
    <n v="0.15"/>
    <s v="West"/>
    <s v="Credit Card"/>
    <x v="0"/>
    <n v="19996"/>
  </r>
  <r>
    <s v="ORD03011"/>
    <d v="2026-06-21T00:00:00"/>
    <s v="C1665"/>
    <s v="Laptop Stand"/>
    <x v="0"/>
    <n v="2"/>
    <n v="999"/>
    <n v="0"/>
    <s v="East"/>
    <s v="Debit Card"/>
    <x v="0"/>
    <n v="509.15"/>
  </r>
  <r>
    <s v="ORD03012"/>
    <d v="2026-06-13T00:00:00"/>
    <s v="C1632"/>
    <s v="Mechanical Keyboard"/>
    <x v="3"/>
    <n v="4"/>
    <n v="1999"/>
    <n v="0"/>
    <s v="East"/>
    <s v="Net Banking"/>
    <x v="0"/>
    <n v="1998"/>
  </r>
  <r>
    <s v="ORD03013"/>
    <d v="2026-04-18T00:00:00"/>
    <s v="C1390"/>
    <s v="Power Bank"/>
    <x v="3"/>
    <n v="4"/>
    <n v="999"/>
    <n v="0.15"/>
    <s v="East"/>
    <s v="Credit Card"/>
    <x v="0"/>
    <n v="7996"/>
  </r>
  <r>
    <s v="ORD03014"/>
    <d v="2026-09-23T00:00:00"/>
    <s v="C1234"/>
    <s v="Power Bank"/>
    <x v="2"/>
    <n v="4"/>
    <n v="999"/>
    <n v="0.15"/>
    <s v="South"/>
    <s v="Debit Card"/>
    <x v="1"/>
    <n v="3396.6"/>
  </r>
  <r>
    <s v="ORD03015"/>
    <d v="2026-01-23T00:00:00"/>
    <s v="C1625"/>
    <s v="Keyboard"/>
    <x v="1"/>
    <n v="4"/>
    <n v="999"/>
    <n v="0.1"/>
    <s v="South"/>
    <s v="COD"/>
    <x v="0"/>
    <n v="3396.6"/>
  </r>
  <r>
    <s v="ORD03016"/>
    <d v="2026-03-15T00:00:00"/>
    <s v="C1038"/>
    <s v="Power Bank"/>
    <x v="3"/>
    <n v="1"/>
    <n v="499"/>
    <n v="0.1"/>
    <s v="West"/>
    <s v="Net Banking"/>
    <x v="0"/>
    <n v="3596.4"/>
  </r>
  <r>
    <s v="ORD03017"/>
    <d v="2026-03-30T00:00:00"/>
    <s v="C1399"/>
    <s v="Power Bank"/>
    <x v="4"/>
    <n v="3"/>
    <n v="499"/>
    <n v="0.15"/>
    <s v="North"/>
    <s v="Credit Card"/>
    <x v="2"/>
    <n v="449.1"/>
  </r>
  <r>
    <s v="ORD03018"/>
    <d v="2026-08-14T00:00:00"/>
    <s v="C1693"/>
    <s v="Mechanical Keyboard"/>
    <x v="0"/>
    <n v="2"/>
    <n v="799"/>
    <n v="0.15"/>
    <s v="Central"/>
    <s v="Debit Card"/>
    <x v="1"/>
    <n v="1272.45"/>
  </r>
  <r>
    <s v="ORD03019"/>
    <d v="2026-04-30T00:00:00"/>
    <s v="C1068"/>
    <s v="Power Bank"/>
    <x v="4"/>
    <n v="3"/>
    <n v="499"/>
    <n v="0.1"/>
    <s v="South"/>
    <s v="Credit Card"/>
    <x v="0"/>
    <n v="1358.3"/>
  </r>
  <r>
    <s v="ORD03020"/>
    <d v="2026-09-12T00:00:00"/>
    <s v="C1470"/>
    <s v="Laptop Stand"/>
    <x v="0"/>
    <n v="1"/>
    <n v="1999"/>
    <n v="0"/>
    <s v="West"/>
    <s v="Debit Card"/>
    <x v="1"/>
    <n v="1347.3"/>
  </r>
  <r>
    <s v="ORD03021"/>
    <d v="2026-03-31T00:00:00"/>
    <s v="C1487"/>
    <s v="Mechanical Keyboard"/>
    <x v="2"/>
    <n v="4"/>
    <n v="499"/>
    <n v="0"/>
    <s v="West"/>
    <s v="Debit Card"/>
    <x v="0"/>
    <n v="1999"/>
  </r>
  <r>
    <s v="ORD03022"/>
    <d v="2026-08-28T00:00:00"/>
    <s v="C1703"/>
    <s v="Laptop Stand"/>
    <x v="2"/>
    <n v="1"/>
    <n v="599"/>
    <n v="0"/>
    <s v="North"/>
    <s v="Credit Card"/>
    <x v="2"/>
    <n v="1996"/>
  </r>
  <r>
    <s v="ORD03023"/>
    <d v="2026-02-03T00:00:00"/>
    <s v="C1607"/>
    <s v="Laptop Stand"/>
    <x v="0"/>
    <n v="1"/>
    <n v="1299"/>
    <n v="0.1"/>
    <s v="North"/>
    <s v="UPI"/>
    <x v="1"/>
    <n v="599"/>
  </r>
  <r>
    <s v="ORD03024"/>
    <d v="2026-04-01T00:00:00"/>
    <s v="C1093"/>
    <s v="Wireless Mouse"/>
    <x v="0"/>
    <n v="2"/>
    <n v="999"/>
    <n v="0.05"/>
    <s v="North"/>
    <s v="COD"/>
    <x v="0"/>
    <n v="1169.1000000000001"/>
  </r>
  <r>
    <s v="ORD03025"/>
    <d v="2026-03-14T00:00:00"/>
    <s v="C1123"/>
    <s v="Wireless Mouse"/>
    <x v="2"/>
    <n v="5"/>
    <n v="599"/>
    <n v="0"/>
    <s v="East"/>
    <s v="Credit Card"/>
    <x v="0"/>
    <n v="1898.1"/>
  </r>
  <r>
    <s v="ORD03026"/>
    <d v="2026-05-06T00:00:00"/>
    <s v="C1199"/>
    <s v="Wireless Mouse"/>
    <x v="4"/>
    <n v="3"/>
    <n v="499"/>
    <n v="0.05"/>
    <s v="East"/>
    <s v="Debit Card"/>
    <x v="0"/>
    <n v="2995"/>
  </r>
  <r>
    <s v="ORD03027"/>
    <d v="2026-07-11T00:00:00"/>
    <s v="C1431"/>
    <s v="Headphones"/>
    <x v="4"/>
    <n v="4"/>
    <n v="1499"/>
    <n v="0.05"/>
    <s v="Central"/>
    <s v="COD"/>
    <x v="0"/>
    <n v="1422.1499999999999"/>
  </r>
  <r>
    <s v="ORD03028"/>
    <d v="2026-04-23T00:00:00"/>
    <s v="C1317"/>
    <s v="Keyboard"/>
    <x v="3"/>
    <n v="3"/>
    <n v="7999"/>
    <n v="0.05"/>
    <s v="West"/>
    <s v="Debit Card"/>
    <x v="0"/>
    <n v="5696.2"/>
  </r>
  <r>
    <s v="ORD03029"/>
    <d v="2026-01-11T00:00:00"/>
    <s v="C1236"/>
    <s v="Webcam"/>
    <x v="2"/>
    <n v="3"/>
    <n v="1499"/>
    <n v="0"/>
    <s v="North"/>
    <s v="COD"/>
    <x v="0"/>
    <n v="22797.149999999998"/>
  </r>
  <r>
    <s v="ORD03030"/>
    <d v="2026-06-28T00:00:00"/>
    <s v="C1229"/>
    <s v="Headphones"/>
    <x v="2"/>
    <n v="1"/>
    <n v="4999"/>
    <n v="0"/>
    <s v="West"/>
    <s v="Credit Card"/>
    <x v="0"/>
    <n v="4497"/>
  </r>
  <r>
    <s v="ORD03031"/>
    <d v="2026-03-28T00:00:00"/>
    <s v="C1353"/>
    <s v="Keyboard"/>
    <x v="1"/>
    <n v="5"/>
    <n v="1299"/>
    <n v="0.15"/>
    <s v="Central"/>
    <s v="COD"/>
    <x v="1"/>
    <n v="4999"/>
  </r>
  <r>
    <s v="ORD03032"/>
    <d v="2026-01-12T00:00:00"/>
    <s v="C1067"/>
    <s v="Headphones"/>
    <x v="3"/>
    <n v="3"/>
    <n v="999"/>
    <n v="0.15"/>
    <s v="South"/>
    <s v="UPI"/>
    <x v="2"/>
    <n v="5520.75"/>
  </r>
  <r>
    <s v="ORD03033"/>
    <d v="2026-04-27T00:00:00"/>
    <s v="C1300"/>
    <s v="Headphones"/>
    <x v="0"/>
    <n v="3"/>
    <n v="499"/>
    <n v="0"/>
    <s v="North"/>
    <s v="Credit Card"/>
    <x v="0"/>
    <n v="2547.4499999999998"/>
  </r>
  <r>
    <s v="ORD03034"/>
    <d v="2026-07-21T00:00:00"/>
    <s v="C1148"/>
    <s v="Headphones"/>
    <x v="3"/>
    <n v="5"/>
    <n v="2499"/>
    <n v="0.05"/>
    <s v="North"/>
    <s v="UPI"/>
    <x v="0"/>
    <n v="1497"/>
  </r>
  <r>
    <s v="ORD03035"/>
    <d v="2026-08-03T00:00:00"/>
    <s v="C1673"/>
    <s v="Headphones"/>
    <x v="3"/>
    <n v="2"/>
    <n v="499"/>
    <n v="0.1"/>
    <s v="East"/>
    <s v="UPI"/>
    <x v="0"/>
    <n v="11870.25"/>
  </r>
  <r>
    <s v="ORD03036"/>
    <d v="2026-08-06T00:00:00"/>
    <s v="C1083"/>
    <s v="Bluetooth Speaker"/>
    <x v="0"/>
    <n v="1"/>
    <n v="7999"/>
    <n v="0.05"/>
    <s v="North"/>
    <s v="UPI"/>
    <x v="0"/>
    <n v="898.2"/>
  </r>
  <r>
    <s v="ORD03037"/>
    <d v="2026-06-13T00:00:00"/>
    <s v="C1626"/>
    <s v="Headphones"/>
    <x v="0"/>
    <n v="3"/>
    <n v="499"/>
    <n v="0"/>
    <s v="Central"/>
    <s v="Net Banking"/>
    <x v="0"/>
    <n v="7599.0499999999993"/>
  </r>
  <r>
    <s v="ORD03038"/>
    <d v="2026-01-19T00:00:00"/>
    <s v="C1404"/>
    <s v="Monitor"/>
    <x v="3"/>
    <n v="4"/>
    <n v="799"/>
    <n v="0"/>
    <s v="North"/>
    <s v="Debit Card"/>
    <x v="0"/>
    <n v="1497"/>
  </r>
  <r>
    <s v="ORD03039"/>
    <d v="2026-01-12T00:00:00"/>
    <s v="C1604"/>
    <s v="Power Bank"/>
    <x v="3"/>
    <n v="4"/>
    <n v="999"/>
    <n v="0.1"/>
    <s v="North"/>
    <s v="Net Banking"/>
    <x v="0"/>
    <n v="3196"/>
  </r>
  <r>
    <s v="ORD03040"/>
    <d v="2026-05-27T00:00:00"/>
    <s v="C1635"/>
    <s v="USB-C Hub"/>
    <x v="0"/>
    <n v="1"/>
    <n v="499"/>
    <n v="0.05"/>
    <s v="East"/>
    <s v="Net Banking"/>
    <x v="2"/>
    <n v="3596.4"/>
  </r>
  <r>
    <s v="ORD03041"/>
    <d v="2026-05-01T00:00:00"/>
    <s v="C1110"/>
    <s v="USB-C Hub"/>
    <x v="3"/>
    <n v="2"/>
    <n v="1499"/>
    <n v="0.15"/>
    <s v="South"/>
    <s v="Credit Card"/>
    <x v="2"/>
    <n v="474.04999999999995"/>
  </r>
  <r>
    <s v="ORD03042"/>
    <d v="2026-09-24T00:00:00"/>
    <s v="C1048"/>
    <s v="Webcam"/>
    <x v="4"/>
    <n v="2"/>
    <n v="2499"/>
    <n v="0"/>
    <s v="Central"/>
    <s v="Credit Card"/>
    <x v="2"/>
    <n v="2548.2999999999997"/>
  </r>
  <r>
    <s v="ORD03043"/>
    <d v="2026-02-11T00:00:00"/>
    <s v="C1451"/>
    <s v="Bluetooth Speaker"/>
    <x v="4"/>
    <n v="5"/>
    <n v="7999"/>
    <n v="0.15"/>
    <s v="North"/>
    <s v="COD"/>
    <x v="1"/>
    <n v="4998"/>
  </r>
  <r>
    <s v="ORD03044"/>
    <d v="2026-02-17T00:00:00"/>
    <s v="C1202"/>
    <s v="USB-C Hub"/>
    <x v="3"/>
    <n v="4"/>
    <n v="7999"/>
    <n v="0.15"/>
    <s v="South"/>
    <s v="Credit Card"/>
    <x v="2"/>
    <n v="33995.75"/>
  </r>
  <r>
    <s v="ORD03045"/>
    <d v="2026-02-11T00:00:00"/>
    <s v="C1623"/>
    <s v="Power Bank"/>
    <x v="2"/>
    <n v="2"/>
    <n v="4999"/>
    <n v="0.1"/>
    <s v="North"/>
    <s v="Net Banking"/>
    <x v="0"/>
    <n v="27196.6"/>
  </r>
  <r>
    <s v="ORD03046"/>
    <d v="2026-01-28T00:00:00"/>
    <s v="C1288"/>
    <s v="Laptop Stand"/>
    <x v="4"/>
    <n v="4"/>
    <n v="1299"/>
    <n v="0"/>
    <s v="North"/>
    <s v="UPI"/>
    <x v="0"/>
    <n v="8998.2000000000007"/>
  </r>
  <r>
    <s v="ORD03047"/>
    <d v="2026-08-25T00:00:00"/>
    <s v="C1245"/>
    <s v="Webcam"/>
    <x v="4"/>
    <n v="1"/>
    <n v="2499"/>
    <n v="0.15"/>
    <s v="North"/>
    <s v="COD"/>
    <x v="1"/>
    <n v="5196"/>
  </r>
  <r>
    <s v="ORD03048"/>
    <d v="2026-02-01T00:00:00"/>
    <s v="C1286"/>
    <s v="Bluetooth Speaker"/>
    <x v="4"/>
    <n v="2"/>
    <n v="799"/>
    <n v="0.05"/>
    <s v="Central"/>
    <s v="UPI"/>
    <x v="0"/>
    <n v="2124.15"/>
  </r>
  <r>
    <s v="ORD03049"/>
    <d v="2026-04-28T00:00:00"/>
    <s v="C1147"/>
    <s v="USB-C Hub"/>
    <x v="2"/>
    <n v="4"/>
    <n v="1299"/>
    <n v="0"/>
    <s v="Central"/>
    <s v="COD"/>
    <x v="0"/>
    <n v="1518.1"/>
  </r>
  <r>
    <s v="ORD03050"/>
    <d v="2026-06-16T00:00:00"/>
    <s v="C1679"/>
    <s v="Monitor"/>
    <x v="0"/>
    <n v="3"/>
    <n v="799"/>
    <n v="0.05"/>
    <s v="East"/>
    <s v="Credit Card"/>
    <x v="0"/>
    <n v="5196"/>
  </r>
  <r>
    <s v="ORD03051"/>
    <d v="2026-08-16T00:00:00"/>
    <s v="C1082"/>
    <s v="Monitor"/>
    <x v="0"/>
    <n v="1"/>
    <n v="1499"/>
    <n v="0.15"/>
    <s v="North"/>
    <s v="Debit Card"/>
    <x v="2"/>
    <n v="2277.15"/>
  </r>
  <r>
    <s v="ORD03052"/>
    <d v="2026-06-13T00:00:00"/>
    <s v="C1110"/>
    <s v="Wireless Mouse"/>
    <x v="0"/>
    <n v="4"/>
    <n v="4999"/>
    <n v="0"/>
    <s v="South"/>
    <s v="COD"/>
    <x v="0"/>
    <n v="1274.1499999999999"/>
  </r>
  <r>
    <s v="ORD03053"/>
    <d v="2026-02-17T00:00:00"/>
    <s v="C1213"/>
    <s v="Laptop Stand"/>
    <x v="4"/>
    <n v="1"/>
    <n v="999"/>
    <n v="0.1"/>
    <s v="Central"/>
    <s v="Debit Card"/>
    <x v="2"/>
    <n v="19996"/>
  </r>
  <r>
    <s v="ORD03054"/>
    <d v="2026-07-29T00:00:00"/>
    <s v="C1561"/>
    <s v="Keyboard"/>
    <x v="2"/>
    <n v="3"/>
    <n v="1999"/>
    <n v="0"/>
    <s v="South"/>
    <s v="UPI"/>
    <x v="2"/>
    <n v="899.1"/>
  </r>
  <r>
    <s v="ORD03055"/>
    <d v="2026-08-24T00:00:00"/>
    <s v="C1289"/>
    <s v="Keyboard"/>
    <x v="0"/>
    <n v="2"/>
    <n v="4999"/>
    <n v="0"/>
    <s v="East"/>
    <s v="Credit Card"/>
    <x v="1"/>
    <n v="5997"/>
  </r>
  <r>
    <s v="ORD03056"/>
    <d v="2026-09-17T00:00:00"/>
    <s v="C1645"/>
    <s v="Monitor"/>
    <x v="3"/>
    <n v="1"/>
    <n v="1499"/>
    <n v="0.15"/>
    <s v="East"/>
    <s v="Net Banking"/>
    <x v="1"/>
    <n v="9998"/>
  </r>
  <r>
    <s v="ORD03057"/>
    <d v="2026-08-01T00:00:00"/>
    <s v="C1500"/>
    <s v="Bluetooth Speaker"/>
    <x v="2"/>
    <n v="4"/>
    <n v="999"/>
    <n v="0.15"/>
    <s v="West"/>
    <s v="COD"/>
    <x v="1"/>
    <n v="1274.1499999999999"/>
  </r>
  <r>
    <s v="ORD03058"/>
    <d v="2026-06-29T00:00:00"/>
    <s v="C1173"/>
    <s v="Laptop Stand"/>
    <x v="1"/>
    <n v="4"/>
    <n v="499"/>
    <n v="0.15"/>
    <s v="Central"/>
    <s v="Net Banking"/>
    <x v="0"/>
    <n v="3396.6"/>
  </r>
  <r>
    <s v="ORD03059"/>
    <d v="2026-01-21T00:00:00"/>
    <s v="C1789"/>
    <s v="Mechanical Keyboard"/>
    <x v="0"/>
    <n v="5"/>
    <n v="799"/>
    <n v="0"/>
    <s v="West"/>
    <s v="COD"/>
    <x v="0"/>
    <n v="1696.6"/>
  </r>
  <r>
    <s v="ORD03060"/>
    <d v="2026-06-13T00:00:00"/>
    <s v="C1005"/>
    <s v="Power Bank"/>
    <x v="1"/>
    <n v="5"/>
    <n v="499"/>
    <n v="0.05"/>
    <s v="Central"/>
    <s v="Debit Card"/>
    <x v="1"/>
    <n v="3995"/>
  </r>
  <r>
    <s v="ORD03061"/>
    <d v="2026-03-22T00:00:00"/>
    <s v="C1762"/>
    <s v="USB-C Hub"/>
    <x v="4"/>
    <n v="2"/>
    <n v="4999"/>
    <n v="0.15"/>
    <s v="East"/>
    <s v="UPI"/>
    <x v="2"/>
    <n v="2370.25"/>
  </r>
  <r>
    <s v="ORD03062"/>
    <d v="2026-08-27T00:00:00"/>
    <s v="C1163"/>
    <s v="Webcam"/>
    <x v="1"/>
    <n v="2"/>
    <n v="999"/>
    <n v="0"/>
    <s v="East"/>
    <s v="COD"/>
    <x v="0"/>
    <n v="8498.2999999999993"/>
  </r>
  <r>
    <s v="ORD03063"/>
    <d v="2026-08-02T00:00:00"/>
    <s v="C1721"/>
    <s v="Laptop Stand"/>
    <x v="3"/>
    <n v="3"/>
    <n v="799"/>
    <n v="0"/>
    <s v="East"/>
    <s v="Debit Card"/>
    <x v="0"/>
    <n v="1998"/>
  </r>
  <r>
    <s v="ORD03064"/>
    <d v="2026-02-16T00:00:00"/>
    <s v="C1748"/>
    <s v="Headphones"/>
    <x v="2"/>
    <n v="5"/>
    <n v="599"/>
    <n v="0.05"/>
    <s v="East"/>
    <s v="UPI"/>
    <x v="0"/>
    <n v="2397"/>
  </r>
  <r>
    <s v="ORD03065"/>
    <d v="2026-02-19T00:00:00"/>
    <s v="C1466"/>
    <s v="Keyboard"/>
    <x v="2"/>
    <n v="5"/>
    <n v="2499"/>
    <n v="0.05"/>
    <s v="Central"/>
    <s v="Debit Card"/>
    <x v="0"/>
    <n v="2845.25"/>
  </r>
  <r>
    <s v="ORD03066"/>
    <d v="2026-02-14T00:00:00"/>
    <s v="C1714"/>
    <s v="Bluetooth Speaker"/>
    <x v="1"/>
    <n v="3"/>
    <n v="1299"/>
    <n v="0"/>
    <s v="East"/>
    <s v="Debit Card"/>
    <x v="0"/>
    <n v="11870.25"/>
  </r>
  <r>
    <s v="ORD03067"/>
    <d v="2026-05-14T00:00:00"/>
    <s v="C1712"/>
    <s v="Monitor"/>
    <x v="3"/>
    <n v="5"/>
    <n v="799"/>
    <n v="0.15"/>
    <s v="West"/>
    <s v="Debit Card"/>
    <x v="2"/>
    <n v="3897"/>
  </r>
  <r>
    <s v="ORD03068"/>
    <d v="2026-06-11T00:00:00"/>
    <s v="C1456"/>
    <s v="Wireless Mouse"/>
    <x v="4"/>
    <n v="5"/>
    <n v="999"/>
    <n v="0.15"/>
    <s v="North"/>
    <s v="COD"/>
    <x v="0"/>
    <n v="3395.75"/>
  </r>
  <r>
    <s v="ORD03069"/>
    <d v="2026-08-30T00:00:00"/>
    <s v="C1175"/>
    <s v="Wireless Mouse"/>
    <x v="0"/>
    <n v="5"/>
    <n v="799"/>
    <n v="0.15"/>
    <s v="North"/>
    <s v="UPI"/>
    <x v="0"/>
    <n v="4245.75"/>
  </r>
  <r>
    <s v="ORD03070"/>
    <d v="2026-05-03T00:00:00"/>
    <s v="C1565"/>
    <s v="Mechanical Keyboard"/>
    <x v="0"/>
    <n v="4"/>
    <n v="799"/>
    <n v="0.1"/>
    <s v="South"/>
    <s v="Net Banking"/>
    <x v="1"/>
    <n v="3395.75"/>
  </r>
  <r>
    <s v="ORD03071"/>
    <d v="2026-01-08T00:00:00"/>
    <s v="C1175"/>
    <s v="Headphones"/>
    <x v="3"/>
    <n v="1"/>
    <n v="2499"/>
    <n v="0"/>
    <s v="Central"/>
    <s v="Debit Card"/>
    <x v="1"/>
    <n v="2876.4"/>
  </r>
  <r>
    <s v="ORD03072"/>
    <d v="2026-06-04T00:00:00"/>
    <s v="C1294"/>
    <s v="Bluetooth Speaker"/>
    <x v="2"/>
    <n v="1"/>
    <n v="599"/>
    <n v="0"/>
    <s v="Central"/>
    <s v="Credit Card"/>
    <x v="0"/>
    <n v="2499"/>
  </r>
  <r>
    <s v="ORD03073"/>
    <d v="2026-03-14T00:00:00"/>
    <s v="C1134"/>
    <s v="Webcam"/>
    <x v="3"/>
    <n v="2"/>
    <n v="1299"/>
    <n v="0"/>
    <s v="Central"/>
    <s v="Net Banking"/>
    <x v="0"/>
    <n v="599"/>
  </r>
  <r>
    <s v="ORD03074"/>
    <d v="2026-06-28T00:00:00"/>
    <s v="C1606"/>
    <s v="Wireless Mouse"/>
    <x v="3"/>
    <n v="1"/>
    <n v="1999"/>
    <n v="0.1"/>
    <s v="East"/>
    <s v="Debit Card"/>
    <x v="1"/>
    <n v="2598"/>
  </r>
  <r>
    <s v="ORD03075"/>
    <d v="2026-09-21T00:00:00"/>
    <s v="C1233"/>
    <s v="Wireless Mouse"/>
    <x v="4"/>
    <n v="5"/>
    <n v="1999"/>
    <n v="0.15"/>
    <s v="West"/>
    <s v="Net Banking"/>
    <x v="0"/>
    <n v="1799.1000000000001"/>
  </r>
  <r>
    <s v="ORD03076"/>
    <d v="2026-03-25T00:00:00"/>
    <s v="C1032"/>
    <s v="Webcam"/>
    <x v="0"/>
    <n v="2"/>
    <n v="999"/>
    <n v="0.1"/>
    <s v="South"/>
    <s v="Credit Card"/>
    <x v="0"/>
    <n v="8495.75"/>
  </r>
  <r>
    <s v="ORD03077"/>
    <d v="2026-06-29T00:00:00"/>
    <s v="C1044"/>
    <s v="Webcam"/>
    <x v="4"/>
    <n v="3"/>
    <n v="799"/>
    <n v="0.1"/>
    <s v="North"/>
    <s v="Debit Card"/>
    <x v="0"/>
    <n v="1798.2"/>
  </r>
  <r>
    <s v="ORD03078"/>
    <d v="2026-05-01T00:00:00"/>
    <s v="C1144"/>
    <s v="Wireless Mouse"/>
    <x v="3"/>
    <n v="4"/>
    <n v="499"/>
    <n v="0.1"/>
    <s v="Central"/>
    <s v="UPI"/>
    <x v="2"/>
    <n v="2157.3000000000002"/>
  </r>
  <r>
    <s v="ORD03079"/>
    <d v="2026-06-19T00:00:00"/>
    <s v="C1195"/>
    <s v="Monitor"/>
    <x v="0"/>
    <n v="2"/>
    <n v="999"/>
    <n v="0.05"/>
    <s v="South"/>
    <s v="Credit Card"/>
    <x v="1"/>
    <n v="1796.4"/>
  </r>
  <r>
    <s v="ORD03080"/>
    <d v="2026-02-06T00:00:00"/>
    <s v="C1113"/>
    <s v="Wireless Mouse"/>
    <x v="0"/>
    <n v="2"/>
    <n v="1999"/>
    <n v="0.15"/>
    <s v="North"/>
    <s v="Net Banking"/>
    <x v="2"/>
    <n v="1898.1"/>
  </r>
  <r>
    <s v="ORD03081"/>
    <d v="2026-04-05T00:00:00"/>
    <s v="C1221"/>
    <s v="Laptop Stand"/>
    <x v="2"/>
    <n v="5"/>
    <n v="1499"/>
    <n v="0.1"/>
    <s v="West"/>
    <s v="UPI"/>
    <x v="0"/>
    <n v="3398.2999999999997"/>
  </r>
  <r>
    <s v="ORD03082"/>
    <d v="2026-02-17T00:00:00"/>
    <s v="C1155"/>
    <s v="Keyboard"/>
    <x v="1"/>
    <n v="4"/>
    <n v="599"/>
    <n v="0.05"/>
    <s v="East"/>
    <s v="Credit Card"/>
    <x v="1"/>
    <n v="6745.5"/>
  </r>
  <r>
    <s v="ORD03083"/>
    <d v="2026-07-08T00:00:00"/>
    <s v="C1507"/>
    <s v="Headphones"/>
    <x v="4"/>
    <n v="2"/>
    <n v="499"/>
    <n v="0.15"/>
    <s v="North"/>
    <s v="Debit Card"/>
    <x v="0"/>
    <n v="2276.1999999999998"/>
  </r>
  <r>
    <s v="ORD03084"/>
    <d v="2026-03-24T00:00:00"/>
    <s v="C1532"/>
    <s v="Wireless Mouse"/>
    <x v="0"/>
    <n v="5"/>
    <n v="999"/>
    <n v="0"/>
    <s v="West"/>
    <s v="Debit Card"/>
    <x v="0"/>
    <n v="848.3"/>
  </r>
  <r>
    <s v="ORD03085"/>
    <d v="2026-03-13T00:00:00"/>
    <s v="C1049"/>
    <s v="USB-C Hub"/>
    <x v="4"/>
    <n v="5"/>
    <n v="1999"/>
    <n v="0.15"/>
    <s v="South"/>
    <s v="Net Banking"/>
    <x v="2"/>
    <n v="4995"/>
  </r>
  <r>
    <s v="ORD03086"/>
    <d v="2026-01-26T00:00:00"/>
    <s v="C1705"/>
    <s v="Bluetooth Speaker"/>
    <x v="1"/>
    <n v="3"/>
    <n v="499"/>
    <n v="0"/>
    <s v="North"/>
    <s v="COD"/>
    <x v="0"/>
    <n v="8495.75"/>
  </r>
  <r>
    <s v="ORD03087"/>
    <d v="2026-03-16T00:00:00"/>
    <s v="C1759"/>
    <s v="Mechanical Keyboard"/>
    <x v="3"/>
    <n v="5"/>
    <n v="1499"/>
    <n v="0.15"/>
    <s v="West"/>
    <s v="UPI"/>
    <x v="0"/>
    <n v="1497"/>
  </r>
  <r>
    <s v="ORD03088"/>
    <d v="2026-04-29T00:00:00"/>
    <s v="C1285"/>
    <s v="Power Bank"/>
    <x v="1"/>
    <n v="3"/>
    <n v="499"/>
    <n v="0.05"/>
    <s v="South"/>
    <s v="Credit Card"/>
    <x v="0"/>
    <n v="6370.75"/>
  </r>
  <r>
    <s v="ORD03089"/>
    <d v="2026-07-26T00:00:00"/>
    <s v="C1359"/>
    <s v="Mechanical Keyboard"/>
    <x v="0"/>
    <n v="4"/>
    <n v="7999"/>
    <n v="0"/>
    <s v="Central"/>
    <s v="Credit Card"/>
    <x v="2"/>
    <n v="1422.1499999999999"/>
  </r>
  <r>
    <s v="ORD03090"/>
    <d v="2026-05-23T00:00:00"/>
    <s v="C1603"/>
    <s v="Power Bank"/>
    <x v="1"/>
    <n v="4"/>
    <n v="499"/>
    <n v="0"/>
    <s v="East"/>
    <s v="Debit Card"/>
    <x v="2"/>
    <n v="31996"/>
  </r>
  <r>
    <s v="ORD03091"/>
    <d v="2026-08-05T00:00:00"/>
    <s v="C1558"/>
    <s v="Monitor"/>
    <x v="0"/>
    <n v="2"/>
    <n v="1999"/>
    <n v="0.15"/>
    <s v="Central"/>
    <s v="Credit Card"/>
    <x v="0"/>
    <n v="1996"/>
  </r>
  <r>
    <s v="ORD03092"/>
    <d v="2026-01-03T00:00:00"/>
    <s v="C1243"/>
    <s v="Wireless Mouse"/>
    <x v="3"/>
    <n v="1"/>
    <n v="499"/>
    <n v="0.05"/>
    <s v="North"/>
    <s v="UPI"/>
    <x v="0"/>
    <n v="3398.2999999999997"/>
  </r>
  <r>
    <s v="ORD03093"/>
    <d v="2026-09-22T00:00:00"/>
    <s v="C1379"/>
    <s v="Mechanical Keyboard"/>
    <x v="1"/>
    <n v="1"/>
    <n v="999"/>
    <n v="0.1"/>
    <s v="East"/>
    <s v="Net Banking"/>
    <x v="1"/>
    <n v="474.04999999999995"/>
  </r>
  <r>
    <s v="ORD03094"/>
    <d v="2026-09-01T00:00:00"/>
    <s v="C1626"/>
    <s v="Headphones"/>
    <x v="4"/>
    <n v="3"/>
    <n v="1499"/>
    <n v="0.1"/>
    <s v="South"/>
    <s v="Credit Card"/>
    <x v="0"/>
    <n v="899.1"/>
  </r>
  <r>
    <s v="ORD03095"/>
    <d v="2026-07-05T00:00:00"/>
    <s v="C1691"/>
    <s v="Wireless Mouse"/>
    <x v="0"/>
    <n v="1"/>
    <n v="999"/>
    <n v="0.1"/>
    <s v="Central"/>
    <s v="Debit Card"/>
    <x v="2"/>
    <n v="4047.3"/>
  </r>
  <r>
    <s v="ORD03096"/>
    <d v="2026-07-25T00:00:00"/>
    <s v="C1398"/>
    <s v="Wireless Mouse"/>
    <x v="0"/>
    <n v="2"/>
    <n v="1999"/>
    <n v="0"/>
    <s v="North"/>
    <s v="Debit Card"/>
    <x v="0"/>
    <n v="899.1"/>
  </r>
  <r>
    <s v="ORD03097"/>
    <d v="2026-06-20T00:00:00"/>
    <s v="C1228"/>
    <s v="Mechanical Keyboard"/>
    <x v="3"/>
    <n v="4"/>
    <n v="4999"/>
    <n v="0"/>
    <s v="Central"/>
    <s v="UPI"/>
    <x v="1"/>
    <n v="3998"/>
  </r>
  <r>
    <s v="ORD03098"/>
    <d v="2026-05-24T00:00:00"/>
    <s v="C1341"/>
    <s v="Headphones"/>
    <x v="4"/>
    <n v="4"/>
    <n v="1299"/>
    <n v="0.15"/>
    <s v="South"/>
    <s v="Credit Card"/>
    <x v="0"/>
    <n v="19996"/>
  </r>
  <r>
    <s v="ORD03099"/>
    <d v="2026-07-02T00:00:00"/>
    <s v="C1178"/>
    <s v="Bluetooth Speaker"/>
    <x v="3"/>
    <n v="1"/>
    <n v="1999"/>
    <n v="0"/>
    <s v="North"/>
    <s v="Net Banking"/>
    <x v="0"/>
    <n v="4416.5999999999995"/>
  </r>
  <r>
    <s v="ORD03100"/>
    <d v="2026-01-05T00:00:00"/>
    <s v="C1174"/>
    <s v="Mechanical Keyboard"/>
    <x v="1"/>
    <n v="2"/>
    <n v="599"/>
    <n v="0"/>
    <s v="Central"/>
    <s v="Net Banking"/>
    <x v="0"/>
    <n v="1999"/>
  </r>
  <r>
    <s v="ORD03101"/>
    <d v="2026-09-24T00:00:00"/>
    <s v="C1015"/>
    <s v="Mechanical Keyboard"/>
    <x v="1"/>
    <n v="5"/>
    <n v="2499"/>
    <n v="0.15"/>
    <s v="Central"/>
    <s v="UPI"/>
    <x v="0"/>
    <n v="1198"/>
  </r>
  <r>
    <s v="ORD03102"/>
    <d v="2026-04-12T00:00:00"/>
    <s v="C1560"/>
    <s v="Headphones"/>
    <x v="1"/>
    <n v="2"/>
    <n v="1499"/>
    <n v="0.1"/>
    <s v="Central"/>
    <s v="Credit Card"/>
    <x v="0"/>
    <n v="10620.75"/>
  </r>
  <r>
    <s v="ORD03103"/>
    <d v="2026-04-23T00:00:00"/>
    <s v="C1540"/>
    <s v="Power Bank"/>
    <x v="2"/>
    <n v="2"/>
    <n v="1999"/>
    <n v="0.15"/>
    <s v="North"/>
    <s v="UPI"/>
    <x v="2"/>
    <n v="2698.2000000000003"/>
  </r>
  <r>
    <s v="ORD03104"/>
    <d v="2026-07-11T00:00:00"/>
    <s v="C1595"/>
    <s v="Bluetooth Speaker"/>
    <x v="3"/>
    <n v="3"/>
    <n v="4999"/>
    <n v="0.1"/>
    <s v="South"/>
    <s v="UPI"/>
    <x v="0"/>
    <n v="3398.2999999999997"/>
  </r>
  <r>
    <s v="ORD03105"/>
    <d v="2026-09-25T00:00:00"/>
    <s v="C1448"/>
    <s v="Mechanical Keyboard"/>
    <x v="1"/>
    <n v="3"/>
    <n v="999"/>
    <n v="0.05"/>
    <s v="South"/>
    <s v="COD"/>
    <x v="0"/>
    <n v="13497.300000000001"/>
  </r>
  <r>
    <s v="ORD03106"/>
    <d v="2026-02-24T00:00:00"/>
    <s v="C1618"/>
    <s v="Headphones"/>
    <x v="4"/>
    <n v="5"/>
    <n v="499"/>
    <n v="0.1"/>
    <s v="West"/>
    <s v="Debit Card"/>
    <x v="0"/>
    <n v="2847.15"/>
  </r>
  <r>
    <s v="ORD03107"/>
    <d v="2026-03-27T00:00:00"/>
    <s v="C1097"/>
    <s v="Laptop Stand"/>
    <x v="2"/>
    <n v="2"/>
    <n v="999"/>
    <n v="0.15"/>
    <s v="West"/>
    <s v="Net Banking"/>
    <x v="2"/>
    <n v="2245.5"/>
  </r>
  <r>
    <s v="ORD03108"/>
    <d v="2026-07-06T00:00:00"/>
    <s v="C1442"/>
    <s v="USB-C Hub"/>
    <x v="2"/>
    <n v="5"/>
    <n v="2499"/>
    <n v="0.1"/>
    <s v="South"/>
    <s v="COD"/>
    <x v="0"/>
    <n v="1698.3"/>
  </r>
  <r>
    <s v="ORD03109"/>
    <d v="2026-01-08T00:00:00"/>
    <s v="C1547"/>
    <s v="Headphones"/>
    <x v="2"/>
    <n v="5"/>
    <n v="1299"/>
    <n v="0.15"/>
    <s v="East"/>
    <s v="Debit Card"/>
    <x v="2"/>
    <n v="11245.5"/>
  </r>
  <r>
    <s v="ORD03110"/>
    <d v="2026-05-03T00:00:00"/>
    <s v="C1112"/>
    <s v="Keyboard"/>
    <x v="4"/>
    <n v="3"/>
    <n v="1299"/>
    <n v="0.05"/>
    <s v="West"/>
    <s v="Debit Card"/>
    <x v="0"/>
    <n v="5520.75"/>
  </r>
  <r>
    <s v="ORD03111"/>
    <d v="2026-07-07T00:00:00"/>
    <s v="C1487"/>
    <s v="Wireless Mouse"/>
    <x v="4"/>
    <n v="1"/>
    <n v="1299"/>
    <n v="0"/>
    <s v="North"/>
    <s v="UPI"/>
    <x v="2"/>
    <n v="3702.1499999999996"/>
  </r>
  <r>
    <s v="ORD03112"/>
    <d v="2026-02-04T00:00:00"/>
    <s v="C1385"/>
    <s v="USB-C Hub"/>
    <x v="3"/>
    <n v="5"/>
    <n v="7999"/>
    <n v="0.05"/>
    <s v="South"/>
    <s v="Credit Card"/>
    <x v="2"/>
    <n v="1299"/>
  </r>
  <r>
    <s v="ORD03113"/>
    <d v="2026-06-03T00:00:00"/>
    <s v="C1425"/>
    <s v="Webcam"/>
    <x v="3"/>
    <n v="1"/>
    <n v="499"/>
    <n v="0.15"/>
    <s v="North"/>
    <s v="COD"/>
    <x v="2"/>
    <n v="37995.25"/>
  </r>
  <r>
    <s v="ORD03114"/>
    <d v="2026-09-08T00:00:00"/>
    <s v="C1539"/>
    <s v="Laptop Stand"/>
    <x v="2"/>
    <n v="3"/>
    <n v="1499"/>
    <n v="0.15"/>
    <s v="West"/>
    <s v="Net Banking"/>
    <x v="2"/>
    <n v="424.15"/>
  </r>
  <r>
    <s v="ORD03115"/>
    <d v="2026-06-06T00:00:00"/>
    <s v="C1662"/>
    <s v="USB-C Hub"/>
    <x v="0"/>
    <n v="4"/>
    <n v="599"/>
    <n v="0.1"/>
    <s v="South"/>
    <s v="Net Banking"/>
    <x v="0"/>
    <n v="3822.45"/>
  </r>
  <r>
    <s v="ORD03116"/>
    <d v="2026-03-13T00:00:00"/>
    <s v="C1216"/>
    <s v="USB-C Hub"/>
    <x v="2"/>
    <n v="2"/>
    <n v="1499"/>
    <n v="0.1"/>
    <s v="Central"/>
    <s v="Debit Card"/>
    <x v="0"/>
    <n v="2156.4"/>
  </r>
  <r>
    <s v="ORD03117"/>
    <d v="2026-05-09T00:00:00"/>
    <s v="C1152"/>
    <s v="Webcam"/>
    <x v="3"/>
    <n v="1"/>
    <n v="1999"/>
    <n v="0"/>
    <s v="West"/>
    <s v="COD"/>
    <x v="1"/>
    <n v="2698.2000000000003"/>
  </r>
  <r>
    <s v="ORD03118"/>
    <d v="2026-07-12T00:00:00"/>
    <s v="C1596"/>
    <s v="Laptop Stand"/>
    <x v="3"/>
    <n v="4"/>
    <n v="1499"/>
    <n v="0.05"/>
    <s v="West"/>
    <s v="Credit Card"/>
    <x v="1"/>
    <n v="1999"/>
  </r>
  <r>
    <s v="ORD03119"/>
    <d v="2026-03-20T00:00:00"/>
    <s v="C1242"/>
    <s v="Headphones"/>
    <x v="0"/>
    <n v="1"/>
    <n v="2499"/>
    <n v="0"/>
    <s v="North"/>
    <s v="Credit Card"/>
    <x v="0"/>
    <n v="5696.2"/>
  </r>
  <r>
    <s v="ORD03120"/>
    <d v="2026-08-23T00:00:00"/>
    <s v="C1082"/>
    <s v="Laptop Stand"/>
    <x v="0"/>
    <n v="3"/>
    <n v="599"/>
    <n v="0"/>
    <s v="East"/>
    <s v="COD"/>
    <x v="0"/>
    <n v="2499"/>
  </r>
  <r>
    <s v="ORD03121"/>
    <d v="2026-01-15T00:00:00"/>
    <s v="C1415"/>
    <s v="Webcam"/>
    <x v="4"/>
    <n v="4"/>
    <n v="499"/>
    <n v="0"/>
    <s v="East"/>
    <s v="UPI"/>
    <x v="0"/>
    <n v="1797"/>
  </r>
  <r>
    <s v="ORD03122"/>
    <d v="2026-09-19T00:00:00"/>
    <s v="C1300"/>
    <s v="Wireless Mouse"/>
    <x v="3"/>
    <n v="5"/>
    <n v="7999"/>
    <n v="0.05"/>
    <s v="South"/>
    <s v="Debit Card"/>
    <x v="2"/>
    <n v="1996"/>
  </r>
  <r>
    <s v="ORD03123"/>
    <d v="2026-07-21T00:00:00"/>
    <s v="C1471"/>
    <s v="Headphones"/>
    <x v="1"/>
    <n v="3"/>
    <n v="1299"/>
    <n v="0.05"/>
    <s v="East"/>
    <s v="COD"/>
    <x v="0"/>
    <n v="37995.25"/>
  </r>
  <r>
    <s v="ORD03124"/>
    <d v="2026-08-15T00:00:00"/>
    <s v="C1003"/>
    <s v="USB-C Hub"/>
    <x v="2"/>
    <n v="4"/>
    <n v="999"/>
    <n v="0.05"/>
    <s v="South"/>
    <s v="Debit Card"/>
    <x v="2"/>
    <n v="3702.1499999999996"/>
  </r>
  <r>
    <s v="ORD03125"/>
    <d v="2026-07-12T00:00:00"/>
    <s v="C1698"/>
    <s v="Headphones"/>
    <x v="4"/>
    <n v="1"/>
    <n v="599"/>
    <n v="0.1"/>
    <s v="North"/>
    <s v="Credit Card"/>
    <x v="0"/>
    <n v="3796.2"/>
  </r>
  <r>
    <s v="ORD03126"/>
    <d v="2026-08-30T00:00:00"/>
    <s v="C1080"/>
    <s v="USB-C Hub"/>
    <x v="3"/>
    <n v="3"/>
    <n v="499"/>
    <n v="0.15"/>
    <s v="West"/>
    <s v="Credit Card"/>
    <x v="2"/>
    <n v="539.1"/>
  </r>
  <r>
    <s v="ORD03127"/>
    <d v="2026-02-09T00:00:00"/>
    <s v="C1157"/>
    <s v="Webcam"/>
    <x v="4"/>
    <n v="2"/>
    <n v="499"/>
    <n v="0.1"/>
    <s v="East"/>
    <s v="Credit Card"/>
    <x v="0"/>
    <n v="1272.45"/>
  </r>
  <r>
    <s v="ORD03128"/>
    <d v="2026-07-09T00:00:00"/>
    <s v="C1363"/>
    <s v="Mechanical Keyboard"/>
    <x v="1"/>
    <n v="1"/>
    <n v="4999"/>
    <n v="0"/>
    <s v="North"/>
    <s v="COD"/>
    <x v="0"/>
    <n v="898.2"/>
  </r>
  <r>
    <s v="ORD03129"/>
    <d v="2026-09-22T00:00:00"/>
    <s v="C1625"/>
    <s v="Wireless Mouse"/>
    <x v="2"/>
    <n v="1"/>
    <n v="1299"/>
    <n v="0"/>
    <s v="North"/>
    <s v="Credit Card"/>
    <x v="1"/>
    <n v="4999"/>
  </r>
  <r>
    <s v="ORD03130"/>
    <d v="2026-09-24T00:00:00"/>
    <s v="C1795"/>
    <s v="Headphones"/>
    <x v="2"/>
    <n v="3"/>
    <n v="599"/>
    <n v="0"/>
    <s v="South"/>
    <s v="Net Banking"/>
    <x v="0"/>
    <n v="1299"/>
  </r>
  <r>
    <s v="ORD03131"/>
    <d v="2026-04-18T00:00:00"/>
    <s v="C1134"/>
    <s v="Laptop Stand"/>
    <x v="0"/>
    <n v="2"/>
    <n v="799"/>
    <n v="0.1"/>
    <s v="South"/>
    <s v="Credit Card"/>
    <x v="0"/>
    <n v="1797"/>
  </r>
  <r>
    <s v="ORD03132"/>
    <d v="2026-03-01T00:00:00"/>
    <s v="C1797"/>
    <s v="Laptop Stand"/>
    <x v="3"/>
    <n v="5"/>
    <n v="1499"/>
    <n v="0.15"/>
    <s v="Central"/>
    <s v="Credit Card"/>
    <x v="0"/>
    <n v="1438.2"/>
  </r>
  <r>
    <s v="ORD03133"/>
    <d v="2026-02-08T00:00:00"/>
    <s v="C1368"/>
    <s v="Keyboard"/>
    <x v="4"/>
    <n v="2"/>
    <n v="2499"/>
    <n v="0"/>
    <s v="West"/>
    <s v="Credit Card"/>
    <x v="2"/>
    <n v="6370.75"/>
  </r>
  <r>
    <s v="ORD03134"/>
    <d v="2026-06-04T00:00:00"/>
    <s v="C1752"/>
    <s v="Headphones"/>
    <x v="1"/>
    <n v="5"/>
    <n v="2499"/>
    <n v="0.15"/>
    <s v="Central"/>
    <s v="Debit Card"/>
    <x v="1"/>
    <n v="4998"/>
  </r>
  <r>
    <s v="ORD03135"/>
    <d v="2026-08-05T00:00:00"/>
    <s v="C1731"/>
    <s v="Wireless Mouse"/>
    <x v="1"/>
    <n v="4"/>
    <n v="799"/>
    <n v="0"/>
    <s v="South"/>
    <s v="UPI"/>
    <x v="1"/>
    <n v="10620.75"/>
  </r>
  <r>
    <s v="ORD03136"/>
    <d v="2026-03-22T00:00:00"/>
    <s v="C1678"/>
    <s v="Webcam"/>
    <x v="0"/>
    <n v="2"/>
    <n v="799"/>
    <n v="0"/>
    <s v="North"/>
    <s v="COD"/>
    <x v="0"/>
    <n v="3196"/>
  </r>
  <r>
    <s v="ORD03137"/>
    <d v="2026-03-17T00:00:00"/>
    <s v="C1465"/>
    <s v="Wireless Mouse"/>
    <x v="1"/>
    <n v="1"/>
    <n v="499"/>
    <n v="0.05"/>
    <s v="East"/>
    <s v="Credit Card"/>
    <x v="0"/>
    <n v="1598"/>
  </r>
  <r>
    <s v="ORD03138"/>
    <d v="2026-08-25T00:00:00"/>
    <s v="C1345"/>
    <s v="Webcam"/>
    <x v="2"/>
    <n v="4"/>
    <n v="1299"/>
    <n v="0"/>
    <s v="South"/>
    <s v="Net Banking"/>
    <x v="2"/>
    <n v="474.04999999999995"/>
  </r>
  <r>
    <s v="ORD03139"/>
    <d v="2026-01-28T00:00:00"/>
    <s v="C1283"/>
    <s v="Laptop Stand"/>
    <x v="2"/>
    <n v="2"/>
    <n v="599"/>
    <n v="0"/>
    <s v="South"/>
    <s v="UPI"/>
    <x v="0"/>
    <n v="5196"/>
  </r>
  <r>
    <s v="ORD03140"/>
    <d v="2026-02-07T00:00:00"/>
    <s v="C1481"/>
    <s v="Bluetooth Speaker"/>
    <x v="4"/>
    <n v="2"/>
    <n v="1499"/>
    <n v="0"/>
    <s v="West"/>
    <s v="COD"/>
    <x v="1"/>
    <n v="1198"/>
  </r>
  <r>
    <s v="ORD03141"/>
    <d v="2026-07-05T00:00:00"/>
    <s v="C1142"/>
    <s v="Laptop Stand"/>
    <x v="1"/>
    <n v="2"/>
    <n v="499"/>
    <n v="0.15"/>
    <s v="West"/>
    <s v="Debit Card"/>
    <x v="0"/>
    <n v="2998"/>
  </r>
  <r>
    <s v="ORD03142"/>
    <d v="2026-01-16T00:00:00"/>
    <s v="C1638"/>
    <s v="Mechanical Keyboard"/>
    <x v="1"/>
    <n v="3"/>
    <n v="4999"/>
    <n v="0.15"/>
    <s v="West"/>
    <s v="Credit Card"/>
    <x v="0"/>
    <n v="848.3"/>
  </r>
  <r>
    <s v="ORD03143"/>
    <d v="2026-07-23T00:00:00"/>
    <s v="C1485"/>
    <s v="USB-C Hub"/>
    <x v="0"/>
    <n v="3"/>
    <n v="1999"/>
    <n v="0.15"/>
    <s v="East"/>
    <s v="Credit Card"/>
    <x v="2"/>
    <n v="12747.449999999999"/>
  </r>
  <r>
    <s v="ORD03144"/>
    <d v="2026-07-06T00:00:00"/>
    <s v="C1736"/>
    <s v="USB-C Hub"/>
    <x v="1"/>
    <n v="4"/>
    <n v="499"/>
    <n v="0"/>
    <s v="Central"/>
    <s v="Net Banking"/>
    <x v="0"/>
    <n v="5097.45"/>
  </r>
  <r>
    <s v="ORD03145"/>
    <d v="2026-07-11T00:00:00"/>
    <s v="C1176"/>
    <s v="Keyboard"/>
    <x v="3"/>
    <n v="5"/>
    <n v="2499"/>
    <n v="0.1"/>
    <s v="West"/>
    <s v="Debit Card"/>
    <x v="2"/>
    <n v="1996"/>
  </r>
  <r>
    <s v="ORD03146"/>
    <d v="2026-09-20T00:00:00"/>
    <s v="C1080"/>
    <s v="Webcam"/>
    <x v="1"/>
    <n v="5"/>
    <n v="599"/>
    <n v="0.15"/>
    <s v="East"/>
    <s v="Credit Card"/>
    <x v="0"/>
    <n v="11245.5"/>
  </r>
  <r>
    <s v="ORD03147"/>
    <d v="2026-07-23T00:00:00"/>
    <s v="C1337"/>
    <s v="Headphones"/>
    <x v="3"/>
    <n v="3"/>
    <n v="2499"/>
    <n v="0.05"/>
    <s v="North"/>
    <s v="COD"/>
    <x v="0"/>
    <n v="2545.75"/>
  </r>
  <r>
    <s v="ORD03148"/>
    <d v="2026-04-25T00:00:00"/>
    <s v="C1177"/>
    <s v="Keyboard"/>
    <x v="3"/>
    <n v="4"/>
    <n v="999"/>
    <n v="0.15"/>
    <s v="North"/>
    <s v="COD"/>
    <x v="0"/>
    <n v="7122.15"/>
  </r>
  <r>
    <s v="ORD03149"/>
    <d v="2026-02-27T00:00:00"/>
    <s v="C1407"/>
    <s v="Power Bank"/>
    <x v="3"/>
    <n v="1"/>
    <n v="7999"/>
    <n v="0"/>
    <s v="North"/>
    <s v="Credit Card"/>
    <x v="1"/>
    <n v="3396.6"/>
  </r>
  <r>
    <s v="ORD03150"/>
    <d v="2026-09-17T00:00:00"/>
    <s v="C1274"/>
    <s v="USB-C Hub"/>
    <x v="2"/>
    <n v="5"/>
    <n v="1499"/>
    <n v="0"/>
    <s v="West"/>
    <s v="UPI"/>
    <x v="1"/>
    <n v="7999"/>
  </r>
  <r>
    <s v="ORD03151"/>
    <d v="2026-07-06T00:00:00"/>
    <s v="C1102"/>
    <s v="Wireless Mouse"/>
    <x v="4"/>
    <n v="2"/>
    <n v="799"/>
    <n v="0.1"/>
    <s v="East"/>
    <s v="Net Banking"/>
    <x v="1"/>
    <n v="7495"/>
  </r>
  <r>
    <s v="ORD03152"/>
    <d v="2026-09-18T00:00:00"/>
    <s v="C1528"/>
    <s v="Monitor"/>
    <x v="0"/>
    <n v="3"/>
    <n v="499"/>
    <n v="0.15"/>
    <s v="West"/>
    <s v="Net Banking"/>
    <x v="0"/>
    <n v="1438.2"/>
  </r>
  <r>
    <s v="ORD03153"/>
    <d v="2026-03-20T00:00:00"/>
    <s v="C1674"/>
    <s v="Laptop Stand"/>
    <x v="1"/>
    <n v="1"/>
    <n v="999"/>
    <n v="0.15"/>
    <s v="South"/>
    <s v="Net Banking"/>
    <x v="2"/>
    <n v="1272.45"/>
  </r>
  <r>
    <s v="ORD03154"/>
    <d v="2026-02-23T00:00:00"/>
    <s v="C1523"/>
    <s v="Laptop Stand"/>
    <x v="2"/>
    <n v="4"/>
    <n v="2499"/>
    <n v="0"/>
    <s v="East"/>
    <s v="COD"/>
    <x v="0"/>
    <n v="849.15"/>
  </r>
  <r>
    <s v="ORD03155"/>
    <d v="2026-09-01T00:00:00"/>
    <s v="C1171"/>
    <s v="Wireless Mouse"/>
    <x v="1"/>
    <n v="2"/>
    <n v="1299"/>
    <n v="0.1"/>
    <s v="West"/>
    <s v="Net Banking"/>
    <x v="0"/>
    <n v="9996"/>
  </r>
  <r>
    <s v="ORD03156"/>
    <d v="2026-04-17T00:00:00"/>
    <s v="C1658"/>
    <s v="Headphones"/>
    <x v="4"/>
    <n v="1"/>
    <n v="799"/>
    <n v="0.1"/>
    <s v="West"/>
    <s v="Net Banking"/>
    <x v="0"/>
    <n v="2338.2000000000003"/>
  </r>
  <r>
    <s v="ORD03157"/>
    <d v="2026-07-11T00:00:00"/>
    <s v="C1332"/>
    <s v="Monitor"/>
    <x v="0"/>
    <n v="4"/>
    <n v="599"/>
    <n v="0"/>
    <s v="South"/>
    <s v="Net Banking"/>
    <x v="0"/>
    <n v="719.1"/>
  </r>
  <r>
    <s v="ORD03158"/>
    <d v="2026-02-20T00:00:00"/>
    <s v="C1293"/>
    <s v="Power Bank"/>
    <x v="0"/>
    <n v="1"/>
    <n v="799"/>
    <n v="0"/>
    <s v="South"/>
    <s v="Net Banking"/>
    <x v="0"/>
    <n v="2396"/>
  </r>
  <r>
    <s v="ORD03159"/>
    <d v="2026-03-26T00:00:00"/>
    <s v="C1123"/>
    <s v="Wireless Mouse"/>
    <x v="1"/>
    <n v="2"/>
    <n v="599"/>
    <n v="0"/>
    <s v="West"/>
    <s v="Net Banking"/>
    <x v="0"/>
    <n v="799"/>
  </r>
  <r>
    <s v="ORD03160"/>
    <d v="2026-01-23T00:00:00"/>
    <s v="C1526"/>
    <s v="Power Bank"/>
    <x v="4"/>
    <n v="1"/>
    <n v="4999"/>
    <n v="0.1"/>
    <s v="South"/>
    <s v="Credit Card"/>
    <x v="0"/>
    <n v="1198"/>
  </r>
  <r>
    <s v="ORD03161"/>
    <d v="2026-08-14T00:00:00"/>
    <s v="C1564"/>
    <s v="Headphones"/>
    <x v="2"/>
    <n v="4"/>
    <n v="4999"/>
    <n v="0"/>
    <s v="North"/>
    <s v="COD"/>
    <x v="0"/>
    <n v="4499.1000000000004"/>
  </r>
  <r>
    <s v="ORD03162"/>
    <d v="2026-04-08T00:00:00"/>
    <s v="C1373"/>
    <s v="Keyboard"/>
    <x v="1"/>
    <n v="4"/>
    <n v="1499"/>
    <n v="0"/>
    <s v="East"/>
    <s v="Net Banking"/>
    <x v="0"/>
    <n v="19996"/>
  </r>
  <r>
    <s v="ORD03163"/>
    <d v="2026-01-31T00:00:00"/>
    <s v="C1778"/>
    <s v="Wireless Mouse"/>
    <x v="2"/>
    <n v="5"/>
    <n v="1299"/>
    <n v="0.1"/>
    <s v="Central"/>
    <s v="Credit Card"/>
    <x v="2"/>
    <n v="5996"/>
  </r>
  <r>
    <s v="ORD03164"/>
    <d v="2026-03-11T00:00:00"/>
    <s v="C1105"/>
    <s v="Headphones"/>
    <x v="1"/>
    <n v="3"/>
    <n v="999"/>
    <n v="0"/>
    <s v="South"/>
    <s v="COD"/>
    <x v="0"/>
    <n v="5845.5"/>
  </r>
  <r>
    <s v="ORD03165"/>
    <d v="2026-02-09T00:00:00"/>
    <s v="C1516"/>
    <s v="Monitor"/>
    <x v="1"/>
    <n v="5"/>
    <n v="1499"/>
    <n v="0.15"/>
    <s v="East"/>
    <s v="Net Banking"/>
    <x v="0"/>
    <n v="2997"/>
  </r>
  <r>
    <s v="ORD03166"/>
    <d v="2026-02-09T00:00:00"/>
    <s v="C1279"/>
    <s v="Wireless Mouse"/>
    <x v="0"/>
    <n v="2"/>
    <n v="4999"/>
    <n v="0"/>
    <s v="North"/>
    <s v="COD"/>
    <x v="1"/>
    <n v="6370.75"/>
  </r>
  <r>
    <s v="ORD03167"/>
    <d v="2026-01-26T00:00:00"/>
    <s v="C1300"/>
    <s v="Webcam"/>
    <x v="4"/>
    <n v="1"/>
    <n v="499"/>
    <n v="0"/>
    <s v="East"/>
    <s v="Credit Card"/>
    <x v="0"/>
    <n v="9998"/>
  </r>
  <r>
    <s v="ORD03168"/>
    <d v="2026-05-10T00:00:00"/>
    <s v="C1712"/>
    <s v="Monitor"/>
    <x v="4"/>
    <n v="2"/>
    <n v="599"/>
    <n v="0.05"/>
    <s v="West"/>
    <s v="UPI"/>
    <x v="0"/>
    <n v="499"/>
  </r>
  <r>
    <s v="ORD03169"/>
    <d v="2026-07-29T00:00:00"/>
    <s v="C1790"/>
    <s v="Headphones"/>
    <x v="2"/>
    <n v="5"/>
    <n v="799"/>
    <n v="0"/>
    <s v="West"/>
    <s v="Net Banking"/>
    <x v="2"/>
    <n v="1138.0999999999999"/>
  </r>
  <r>
    <s v="ORD03170"/>
    <d v="2026-02-08T00:00:00"/>
    <s v="C1458"/>
    <s v="Headphones"/>
    <x v="2"/>
    <n v="2"/>
    <n v="2499"/>
    <n v="0"/>
    <s v="West"/>
    <s v="COD"/>
    <x v="2"/>
    <n v="3995"/>
  </r>
  <r>
    <s v="ORD03171"/>
    <d v="2026-05-17T00:00:00"/>
    <s v="C1027"/>
    <s v="Monitor"/>
    <x v="1"/>
    <n v="1"/>
    <n v="1999"/>
    <n v="0"/>
    <s v="East"/>
    <s v="COD"/>
    <x v="0"/>
    <n v="4998"/>
  </r>
  <r>
    <s v="ORD03172"/>
    <d v="2026-01-28T00:00:00"/>
    <s v="C1179"/>
    <s v="Power Bank"/>
    <x v="0"/>
    <n v="5"/>
    <n v="7999"/>
    <n v="0"/>
    <s v="North"/>
    <s v="Credit Card"/>
    <x v="0"/>
    <n v="1999"/>
  </r>
  <r>
    <s v="ORD03173"/>
    <d v="2026-07-27T00:00:00"/>
    <s v="C1624"/>
    <s v="Power Bank"/>
    <x v="1"/>
    <n v="2"/>
    <n v="499"/>
    <n v="0.15"/>
    <s v="West"/>
    <s v="UPI"/>
    <x v="0"/>
    <n v="39995"/>
  </r>
  <r>
    <s v="ORD03174"/>
    <d v="2026-07-16T00:00:00"/>
    <s v="C1015"/>
    <s v="Laptop Stand"/>
    <x v="2"/>
    <n v="3"/>
    <n v="4999"/>
    <n v="0.05"/>
    <s v="North"/>
    <s v="UPI"/>
    <x v="0"/>
    <n v="848.3"/>
  </r>
  <r>
    <s v="ORD03175"/>
    <d v="2026-01-16T00:00:00"/>
    <s v="C1068"/>
    <s v="Monitor"/>
    <x v="2"/>
    <n v="3"/>
    <n v="799"/>
    <n v="0"/>
    <s v="Central"/>
    <s v="Net Banking"/>
    <x v="0"/>
    <n v="14247.15"/>
  </r>
  <r>
    <s v="ORD03176"/>
    <d v="2026-05-20T00:00:00"/>
    <s v="C1070"/>
    <s v="Keyboard"/>
    <x v="0"/>
    <n v="4"/>
    <n v="1499"/>
    <n v="0"/>
    <s v="West"/>
    <s v="Debit Card"/>
    <x v="0"/>
    <n v="2397"/>
  </r>
  <r>
    <s v="ORD03177"/>
    <d v="2026-01-29T00:00:00"/>
    <s v="C1015"/>
    <s v="USB-C Hub"/>
    <x v="4"/>
    <n v="2"/>
    <n v="2499"/>
    <n v="0"/>
    <s v="North"/>
    <s v="Net Banking"/>
    <x v="1"/>
    <n v="5996"/>
  </r>
  <r>
    <s v="ORD03178"/>
    <d v="2026-05-13T00:00:00"/>
    <s v="C1544"/>
    <s v="Bluetooth Speaker"/>
    <x v="3"/>
    <n v="3"/>
    <n v="2499"/>
    <n v="0"/>
    <s v="West"/>
    <s v="Credit Card"/>
    <x v="0"/>
    <n v="4998"/>
  </r>
  <r>
    <s v="ORD03179"/>
    <d v="2026-09-28T00:00:00"/>
    <s v="C1039"/>
    <s v="Keyboard"/>
    <x v="1"/>
    <n v="1"/>
    <n v="599"/>
    <n v="0.05"/>
    <s v="West"/>
    <s v="Net Banking"/>
    <x v="0"/>
    <n v="7497"/>
  </r>
  <r>
    <s v="ORD03180"/>
    <d v="2026-09-07T00:00:00"/>
    <s v="C1115"/>
    <s v="Bluetooth Speaker"/>
    <x v="3"/>
    <n v="4"/>
    <n v="1299"/>
    <n v="0.05"/>
    <s v="West"/>
    <s v="COD"/>
    <x v="0"/>
    <n v="569.04999999999995"/>
  </r>
  <r>
    <s v="ORD03181"/>
    <d v="2026-06-09T00:00:00"/>
    <s v="C1054"/>
    <s v="Mechanical Keyboard"/>
    <x v="3"/>
    <n v="1"/>
    <n v="599"/>
    <n v="0.15"/>
    <s v="East"/>
    <s v="Debit Card"/>
    <x v="2"/>
    <n v="4936.2"/>
  </r>
  <r>
    <s v="ORD03182"/>
    <d v="2026-02-19T00:00:00"/>
    <s v="C1037"/>
    <s v="Laptop Stand"/>
    <x v="4"/>
    <n v="2"/>
    <n v="7999"/>
    <n v="0.15"/>
    <s v="West"/>
    <s v="Credit Card"/>
    <x v="2"/>
    <n v="509.15"/>
  </r>
  <r>
    <s v="ORD03183"/>
    <d v="2026-05-31T00:00:00"/>
    <s v="C1478"/>
    <s v="Power Bank"/>
    <x v="4"/>
    <n v="5"/>
    <n v="7999"/>
    <n v="0"/>
    <s v="East"/>
    <s v="Credit Card"/>
    <x v="0"/>
    <n v="13598.3"/>
  </r>
  <r>
    <s v="ORD03184"/>
    <d v="2026-08-15T00:00:00"/>
    <s v="C1333"/>
    <s v="Power Bank"/>
    <x v="2"/>
    <n v="1"/>
    <n v="1999"/>
    <n v="0.05"/>
    <s v="Central"/>
    <s v="Net Banking"/>
    <x v="2"/>
    <n v="39995"/>
  </r>
  <r>
    <s v="ORD03185"/>
    <d v="2026-07-15T00:00:00"/>
    <s v="C1011"/>
    <s v="Headphones"/>
    <x v="0"/>
    <n v="1"/>
    <n v="799"/>
    <n v="0.1"/>
    <s v="East"/>
    <s v="COD"/>
    <x v="0"/>
    <n v="1899.05"/>
  </r>
  <r>
    <s v="ORD03186"/>
    <d v="2026-06-10T00:00:00"/>
    <s v="C1648"/>
    <s v="Laptop Stand"/>
    <x v="4"/>
    <n v="5"/>
    <n v="4999"/>
    <n v="0"/>
    <s v="Central"/>
    <s v="Net Banking"/>
    <x v="1"/>
    <n v="719.1"/>
  </r>
  <r>
    <s v="ORD03187"/>
    <d v="2026-04-21T00:00:00"/>
    <s v="C1255"/>
    <s v="Monitor"/>
    <x v="0"/>
    <n v="5"/>
    <n v="2499"/>
    <n v="0"/>
    <s v="South"/>
    <s v="Debit Card"/>
    <x v="0"/>
    <n v="24995"/>
  </r>
  <r>
    <s v="ORD03188"/>
    <d v="2026-07-03T00:00:00"/>
    <s v="C1463"/>
    <s v="Power Bank"/>
    <x v="4"/>
    <n v="2"/>
    <n v="1999"/>
    <n v="0.15"/>
    <s v="West"/>
    <s v="Debit Card"/>
    <x v="1"/>
    <n v="12495"/>
  </r>
  <r>
    <s v="ORD03189"/>
    <d v="2026-03-08T00:00:00"/>
    <s v="C1315"/>
    <s v="Power Bank"/>
    <x v="0"/>
    <n v="5"/>
    <n v="499"/>
    <n v="0.15"/>
    <s v="East"/>
    <s v="Debit Card"/>
    <x v="1"/>
    <n v="3398.2999999999997"/>
  </r>
  <r>
    <s v="ORD03190"/>
    <d v="2026-06-04T00:00:00"/>
    <s v="C1610"/>
    <s v="Power Bank"/>
    <x v="4"/>
    <n v="1"/>
    <n v="1499"/>
    <n v="0.1"/>
    <s v="East"/>
    <s v="Credit Card"/>
    <x v="1"/>
    <n v="2120.75"/>
  </r>
  <r>
    <s v="ORD03191"/>
    <d v="2026-08-08T00:00:00"/>
    <s v="C1443"/>
    <s v="Keyboard"/>
    <x v="2"/>
    <n v="4"/>
    <n v="799"/>
    <n v="0.15"/>
    <s v="South"/>
    <s v="Debit Card"/>
    <x v="0"/>
    <n v="1349.1000000000001"/>
  </r>
  <r>
    <s v="ORD03192"/>
    <d v="2026-04-26T00:00:00"/>
    <s v="C1289"/>
    <s v="Webcam"/>
    <x v="2"/>
    <n v="2"/>
    <n v="599"/>
    <n v="0"/>
    <s v="North"/>
    <s v="COD"/>
    <x v="1"/>
    <n v="2716.6"/>
  </r>
  <r>
    <s v="ORD03193"/>
    <d v="2026-04-05T00:00:00"/>
    <s v="C1317"/>
    <s v="Headphones"/>
    <x v="0"/>
    <n v="3"/>
    <n v="2499"/>
    <n v="0.1"/>
    <s v="North"/>
    <s v="COD"/>
    <x v="0"/>
    <n v="1198"/>
  </r>
  <r>
    <s v="ORD03194"/>
    <d v="2026-04-02T00:00:00"/>
    <s v="C1656"/>
    <s v="Laptop Stand"/>
    <x v="1"/>
    <n v="2"/>
    <n v="4999"/>
    <n v="0.05"/>
    <s v="East"/>
    <s v="COD"/>
    <x v="1"/>
    <n v="6747.3"/>
  </r>
  <r>
    <s v="ORD03195"/>
    <d v="2026-03-04T00:00:00"/>
    <s v="C1356"/>
    <s v="Mechanical Keyboard"/>
    <x v="3"/>
    <n v="4"/>
    <n v="4999"/>
    <n v="0"/>
    <s v="East"/>
    <s v="Debit Card"/>
    <x v="0"/>
    <n v="9498.1"/>
  </r>
  <r>
    <s v="ORD03196"/>
    <d v="2026-08-07T00:00:00"/>
    <s v="C1796"/>
    <s v="Laptop Stand"/>
    <x v="3"/>
    <n v="5"/>
    <n v="2499"/>
    <n v="0"/>
    <s v="East"/>
    <s v="Net Banking"/>
    <x v="1"/>
    <n v="19996"/>
  </r>
  <r>
    <s v="ORD03197"/>
    <d v="2026-08-07T00:00:00"/>
    <s v="C1637"/>
    <s v="Monitor"/>
    <x v="4"/>
    <n v="5"/>
    <n v="1499"/>
    <n v="0"/>
    <s v="East"/>
    <s v="Net Banking"/>
    <x v="0"/>
    <n v="12495"/>
  </r>
  <r>
    <s v="ORD03198"/>
    <d v="2026-04-17T00:00:00"/>
    <s v="C1327"/>
    <s v="Keyboard"/>
    <x v="4"/>
    <n v="3"/>
    <n v="799"/>
    <n v="0.05"/>
    <s v="South"/>
    <s v="UPI"/>
    <x v="0"/>
    <n v="7495"/>
  </r>
  <r>
    <s v="ORD03199"/>
    <d v="2026-06-03T00:00:00"/>
    <s v="C1311"/>
    <s v="Webcam"/>
    <x v="3"/>
    <n v="1"/>
    <n v="4999"/>
    <n v="0"/>
    <s v="South"/>
    <s v="Credit Card"/>
    <x v="0"/>
    <n v="2277.15"/>
  </r>
  <r>
    <s v="ORD03200"/>
    <d v="2026-03-28T00:00:00"/>
    <s v="C1213"/>
    <s v="USB-C Hub"/>
    <x v="1"/>
    <n v="4"/>
    <n v="2499"/>
    <n v="0.1"/>
    <s v="East"/>
    <s v="Credit Card"/>
    <x v="2"/>
    <n v="4999"/>
  </r>
  <r>
    <s v="ORD03201"/>
    <d v="2026-02-27T00:00:00"/>
    <s v="C1651"/>
    <s v="USB-C Hub"/>
    <x v="2"/>
    <n v="1"/>
    <n v="1999"/>
    <n v="0"/>
    <s v="East"/>
    <s v="COD"/>
    <x v="1"/>
    <n v="8996.4"/>
  </r>
  <r>
    <s v="ORD03202"/>
    <d v="2026-03-23T00:00:00"/>
    <s v="C1093"/>
    <s v="Keyboard"/>
    <x v="2"/>
    <n v="2"/>
    <n v="1299"/>
    <n v="0.1"/>
    <s v="East"/>
    <s v="COD"/>
    <x v="0"/>
    <n v="1999"/>
  </r>
  <r>
    <s v="ORD03203"/>
    <d v="2026-05-16T00:00:00"/>
    <s v="C1656"/>
    <s v="Webcam"/>
    <x v="2"/>
    <n v="1"/>
    <n v="599"/>
    <n v="0"/>
    <s v="East"/>
    <s v="UPI"/>
    <x v="0"/>
    <n v="2338.2000000000003"/>
  </r>
  <r>
    <s v="ORD03204"/>
    <d v="2026-05-27T00:00:00"/>
    <s v="C1453"/>
    <s v="Wireless Mouse"/>
    <x v="4"/>
    <n v="3"/>
    <n v="1499"/>
    <n v="0"/>
    <s v="North"/>
    <s v="Net Banking"/>
    <x v="0"/>
    <n v="599"/>
  </r>
  <r>
    <s v="ORD03205"/>
    <d v="2026-07-10T00:00:00"/>
    <s v="C1142"/>
    <s v="Laptop Stand"/>
    <x v="2"/>
    <n v="5"/>
    <n v="499"/>
    <n v="0.1"/>
    <s v="East"/>
    <s v="UPI"/>
    <x v="0"/>
    <n v="4497"/>
  </r>
  <r>
    <s v="ORD03206"/>
    <d v="2026-04-10T00:00:00"/>
    <s v="C1376"/>
    <s v="Power Bank"/>
    <x v="2"/>
    <n v="2"/>
    <n v="1499"/>
    <n v="0"/>
    <s v="East"/>
    <s v="COD"/>
    <x v="1"/>
    <n v="2245.5"/>
  </r>
  <r>
    <s v="ORD03207"/>
    <d v="2026-07-05T00:00:00"/>
    <s v="C1545"/>
    <s v="Power Bank"/>
    <x v="2"/>
    <n v="4"/>
    <n v="799"/>
    <n v="0.1"/>
    <s v="West"/>
    <s v="Credit Card"/>
    <x v="0"/>
    <n v="2998"/>
  </r>
  <r>
    <s v="ORD03208"/>
    <d v="2026-03-24T00:00:00"/>
    <s v="C1479"/>
    <s v="Keyboard"/>
    <x v="2"/>
    <n v="2"/>
    <n v="1999"/>
    <n v="0.15"/>
    <s v="South"/>
    <s v="Net Banking"/>
    <x v="0"/>
    <n v="2876.4"/>
  </r>
  <r>
    <s v="ORD03209"/>
    <d v="2026-08-01T00:00:00"/>
    <s v="C1752"/>
    <s v="Keyboard"/>
    <x v="3"/>
    <n v="2"/>
    <n v="999"/>
    <n v="0.1"/>
    <s v="North"/>
    <s v="UPI"/>
    <x v="1"/>
    <n v="3398.2999999999997"/>
  </r>
  <r>
    <s v="ORD03210"/>
    <d v="2026-01-14T00:00:00"/>
    <s v="C1422"/>
    <s v="Bluetooth Speaker"/>
    <x v="0"/>
    <n v="3"/>
    <n v="999"/>
    <n v="0"/>
    <s v="North"/>
    <s v="UPI"/>
    <x v="1"/>
    <n v="1798.2"/>
  </r>
  <r>
    <s v="ORD03211"/>
    <d v="2026-08-15T00:00:00"/>
    <s v="C1079"/>
    <s v="Monitor"/>
    <x v="2"/>
    <n v="3"/>
    <n v="799"/>
    <n v="0.1"/>
    <s v="North"/>
    <s v="Net Banking"/>
    <x v="0"/>
    <n v="2997"/>
  </r>
  <r>
    <s v="ORD03212"/>
    <d v="2026-04-22T00:00:00"/>
    <s v="C1141"/>
    <s v="Monitor"/>
    <x v="2"/>
    <n v="5"/>
    <n v="1499"/>
    <n v="0.05"/>
    <s v="South"/>
    <s v="Debit Card"/>
    <x v="0"/>
    <n v="2157.3000000000002"/>
  </r>
  <r>
    <s v="ORD03213"/>
    <d v="2026-01-25T00:00:00"/>
    <s v="C1386"/>
    <s v="Laptop Stand"/>
    <x v="0"/>
    <n v="3"/>
    <n v="2499"/>
    <n v="0.15"/>
    <s v="North"/>
    <s v="COD"/>
    <x v="0"/>
    <n v="7120.25"/>
  </r>
  <r>
    <s v="ORD03214"/>
    <d v="2026-03-08T00:00:00"/>
    <s v="C1065"/>
    <s v="Mechanical Keyboard"/>
    <x v="4"/>
    <n v="2"/>
    <n v="1999"/>
    <n v="0.05"/>
    <s v="Central"/>
    <s v="Net Banking"/>
    <x v="0"/>
    <n v="6372.45"/>
  </r>
  <r>
    <s v="ORD03215"/>
    <d v="2026-05-05T00:00:00"/>
    <s v="C1042"/>
    <s v="Keyboard"/>
    <x v="2"/>
    <n v="2"/>
    <n v="4999"/>
    <n v="0"/>
    <s v="Central"/>
    <s v="Credit Card"/>
    <x v="2"/>
    <n v="3798.1"/>
  </r>
  <r>
    <s v="ORD03216"/>
    <d v="2026-02-07T00:00:00"/>
    <s v="C1083"/>
    <s v="Wireless Mouse"/>
    <x v="3"/>
    <n v="3"/>
    <n v="7999"/>
    <n v="0.15"/>
    <s v="West"/>
    <s v="UPI"/>
    <x v="0"/>
    <n v="9998"/>
  </r>
  <r>
    <s v="ORD03217"/>
    <d v="2026-09-18T00:00:00"/>
    <s v="C1039"/>
    <s v="Mechanical Keyboard"/>
    <x v="0"/>
    <n v="2"/>
    <n v="4999"/>
    <n v="0"/>
    <s v="Central"/>
    <s v="Net Banking"/>
    <x v="0"/>
    <n v="20397.45"/>
  </r>
  <r>
    <s v="ORD03218"/>
    <d v="2026-05-07T00:00:00"/>
    <s v="C1184"/>
    <s v="Webcam"/>
    <x v="0"/>
    <n v="3"/>
    <n v="599"/>
    <n v="0.1"/>
    <s v="South"/>
    <s v="Debit Card"/>
    <x v="2"/>
    <n v="9998"/>
  </r>
  <r>
    <s v="ORD03219"/>
    <d v="2026-01-11T00:00:00"/>
    <s v="C1141"/>
    <s v="Mechanical Keyboard"/>
    <x v="3"/>
    <n v="1"/>
    <n v="799"/>
    <n v="0.1"/>
    <s v="East"/>
    <s v="Net Banking"/>
    <x v="0"/>
    <n v="1617.3"/>
  </r>
  <r>
    <s v="ORD03220"/>
    <d v="2026-05-22T00:00:00"/>
    <s v="C1492"/>
    <s v="Laptop Stand"/>
    <x v="0"/>
    <n v="4"/>
    <n v="4999"/>
    <n v="0.05"/>
    <s v="East"/>
    <s v="COD"/>
    <x v="0"/>
    <n v="719.1"/>
  </r>
  <r>
    <s v="ORD03221"/>
    <d v="2026-02-12T00:00:00"/>
    <s v="C1574"/>
    <s v="Monitor"/>
    <x v="2"/>
    <n v="3"/>
    <n v="4999"/>
    <n v="0.1"/>
    <s v="East"/>
    <s v="Credit Card"/>
    <x v="0"/>
    <n v="18996.2"/>
  </r>
  <r>
    <s v="ORD03222"/>
    <d v="2026-08-10T00:00:00"/>
    <s v="C1251"/>
    <s v="Keyboard"/>
    <x v="2"/>
    <n v="5"/>
    <n v="2499"/>
    <n v="0"/>
    <s v="West"/>
    <s v="Debit Card"/>
    <x v="2"/>
    <n v="13497.300000000001"/>
  </r>
  <r>
    <s v="ORD03223"/>
    <d v="2026-05-23T00:00:00"/>
    <s v="C1299"/>
    <s v="Monitor"/>
    <x v="3"/>
    <n v="3"/>
    <n v="499"/>
    <n v="0.15"/>
    <s v="East"/>
    <s v="COD"/>
    <x v="2"/>
    <n v="12495"/>
  </r>
  <r>
    <s v="ORD03224"/>
    <d v="2026-05-14T00:00:00"/>
    <s v="C1314"/>
    <s v="Laptop Stand"/>
    <x v="4"/>
    <n v="4"/>
    <n v="799"/>
    <n v="0"/>
    <s v="East"/>
    <s v="Debit Card"/>
    <x v="0"/>
    <n v="1272.45"/>
  </r>
  <r>
    <s v="ORD03225"/>
    <d v="2026-06-18T00:00:00"/>
    <s v="C1796"/>
    <s v="Wireless Mouse"/>
    <x v="2"/>
    <n v="5"/>
    <n v="1299"/>
    <n v="0.05"/>
    <s v="East"/>
    <s v="Credit Card"/>
    <x v="2"/>
    <n v="3196"/>
  </r>
  <r>
    <s v="ORD03226"/>
    <d v="2026-05-07T00:00:00"/>
    <s v="C1609"/>
    <s v="USB-C Hub"/>
    <x v="2"/>
    <n v="1"/>
    <n v="799"/>
    <n v="0"/>
    <s v="North"/>
    <s v="Net Banking"/>
    <x v="2"/>
    <n v="6170.25"/>
  </r>
  <r>
    <s v="ORD03227"/>
    <d v="2026-04-22T00:00:00"/>
    <s v="C1662"/>
    <s v="Webcam"/>
    <x v="4"/>
    <n v="3"/>
    <n v="1999"/>
    <n v="0.1"/>
    <s v="South"/>
    <s v="UPI"/>
    <x v="2"/>
    <n v="799"/>
  </r>
  <r>
    <s v="ORD03228"/>
    <d v="2026-03-04T00:00:00"/>
    <s v="C1095"/>
    <s v="Power Bank"/>
    <x v="4"/>
    <n v="1"/>
    <n v="1299"/>
    <n v="0.05"/>
    <s v="South"/>
    <s v="COD"/>
    <x v="0"/>
    <n v="5397.3"/>
  </r>
  <r>
    <s v="ORD03229"/>
    <d v="2026-01-24T00:00:00"/>
    <s v="C1368"/>
    <s v="Laptop Stand"/>
    <x v="1"/>
    <n v="3"/>
    <n v="4999"/>
    <n v="0.05"/>
    <s v="Central"/>
    <s v="Debit Card"/>
    <x v="0"/>
    <n v="1234.05"/>
  </r>
  <r>
    <s v="ORD03230"/>
    <d v="2026-09-20T00:00:00"/>
    <s v="C1675"/>
    <s v="Laptop Stand"/>
    <x v="1"/>
    <n v="3"/>
    <n v="599"/>
    <n v="0.15"/>
    <s v="South"/>
    <s v="COD"/>
    <x v="1"/>
    <n v="14247.15"/>
  </r>
  <r>
    <s v="ORD03231"/>
    <d v="2026-09-29T00:00:00"/>
    <s v="C1254"/>
    <s v="Mechanical Keyboard"/>
    <x v="3"/>
    <n v="5"/>
    <n v="799"/>
    <n v="0"/>
    <s v="East"/>
    <s v="COD"/>
    <x v="0"/>
    <n v="1527.45"/>
  </r>
  <r>
    <s v="ORD03232"/>
    <d v="2026-09-12T00:00:00"/>
    <s v="C1180"/>
    <s v="Webcam"/>
    <x v="3"/>
    <n v="4"/>
    <n v="999"/>
    <n v="0"/>
    <s v="South"/>
    <s v="UPI"/>
    <x v="2"/>
    <n v="3995"/>
  </r>
  <r>
    <s v="ORD03233"/>
    <d v="2026-05-21T00:00:00"/>
    <s v="C1487"/>
    <s v="Keyboard"/>
    <x v="2"/>
    <n v="3"/>
    <n v="1299"/>
    <n v="0.1"/>
    <s v="Central"/>
    <s v="Net Banking"/>
    <x v="2"/>
    <n v="3996"/>
  </r>
  <r>
    <s v="ORD03234"/>
    <d v="2026-05-29T00:00:00"/>
    <s v="C1114"/>
    <s v="Power Bank"/>
    <x v="2"/>
    <n v="5"/>
    <n v="499"/>
    <n v="0.05"/>
    <s v="East"/>
    <s v="Net Banking"/>
    <x v="0"/>
    <n v="3507.3"/>
  </r>
  <r>
    <s v="ORD03235"/>
    <d v="2026-08-18T00:00:00"/>
    <s v="C1454"/>
    <s v="Power Bank"/>
    <x v="3"/>
    <n v="1"/>
    <n v="1999"/>
    <n v="0.1"/>
    <s v="Central"/>
    <s v="Credit Card"/>
    <x v="1"/>
    <n v="2370.25"/>
  </r>
  <r>
    <s v="ORD03236"/>
    <d v="2026-08-16T00:00:00"/>
    <s v="C1796"/>
    <s v="Keyboard"/>
    <x v="4"/>
    <n v="4"/>
    <n v="999"/>
    <n v="0"/>
    <s v="North"/>
    <s v="Debit Card"/>
    <x v="1"/>
    <n v="1799.1000000000001"/>
  </r>
  <r>
    <s v="ORD03237"/>
    <d v="2026-05-18T00:00:00"/>
    <s v="C1095"/>
    <s v="Bluetooth Speaker"/>
    <x v="3"/>
    <n v="1"/>
    <n v="2499"/>
    <n v="0.15"/>
    <s v="North"/>
    <s v="Debit Card"/>
    <x v="0"/>
    <n v="3996"/>
  </r>
  <r>
    <s v="ORD03238"/>
    <d v="2026-05-08T00:00:00"/>
    <s v="C1567"/>
    <s v="Monitor"/>
    <x v="4"/>
    <n v="5"/>
    <n v="4999"/>
    <n v="0"/>
    <s v="South"/>
    <s v="Net Banking"/>
    <x v="2"/>
    <n v="2124.15"/>
  </r>
  <r>
    <s v="ORD03239"/>
    <d v="2026-04-16T00:00:00"/>
    <s v="C1035"/>
    <s v="Bluetooth Speaker"/>
    <x v="0"/>
    <n v="1"/>
    <n v="4999"/>
    <n v="0.1"/>
    <s v="North"/>
    <s v="Credit Card"/>
    <x v="1"/>
    <n v="24995"/>
  </r>
  <r>
    <s v="ORD03240"/>
    <d v="2026-06-17T00:00:00"/>
    <s v="C1321"/>
    <s v="Power Bank"/>
    <x v="1"/>
    <n v="5"/>
    <n v="7999"/>
    <n v="0.1"/>
    <s v="South"/>
    <s v="Net Banking"/>
    <x v="0"/>
    <n v="4499.1000000000004"/>
  </r>
  <r>
    <s v="ORD03241"/>
    <d v="2026-04-21T00:00:00"/>
    <s v="C1649"/>
    <s v="Bluetooth Speaker"/>
    <x v="3"/>
    <n v="3"/>
    <n v="1999"/>
    <n v="0"/>
    <s v="West"/>
    <s v="Credit Card"/>
    <x v="0"/>
    <n v="35995.5"/>
  </r>
  <r>
    <s v="ORD03242"/>
    <d v="2026-01-28T00:00:00"/>
    <s v="C1317"/>
    <s v="Power Bank"/>
    <x v="4"/>
    <n v="2"/>
    <n v="999"/>
    <n v="0"/>
    <s v="North"/>
    <s v="UPI"/>
    <x v="0"/>
    <n v="5997"/>
  </r>
  <r>
    <s v="ORD03243"/>
    <d v="2026-03-08T00:00:00"/>
    <s v="C1048"/>
    <s v="Webcam"/>
    <x v="2"/>
    <n v="4"/>
    <n v="7999"/>
    <n v="0.05"/>
    <s v="Central"/>
    <s v="COD"/>
    <x v="1"/>
    <n v="1998"/>
  </r>
  <r>
    <s v="ORD03244"/>
    <d v="2026-02-19T00:00:00"/>
    <s v="C1276"/>
    <s v="Keyboard"/>
    <x v="3"/>
    <n v="1"/>
    <n v="599"/>
    <n v="0"/>
    <s v="South"/>
    <s v="COD"/>
    <x v="1"/>
    <n v="30396.199999999997"/>
  </r>
  <r>
    <s v="ORD03245"/>
    <d v="2026-03-30T00:00:00"/>
    <s v="C1306"/>
    <s v="Laptop Stand"/>
    <x v="0"/>
    <n v="2"/>
    <n v="799"/>
    <n v="0"/>
    <s v="West"/>
    <s v="UPI"/>
    <x v="0"/>
    <n v="599"/>
  </r>
  <r>
    <s v="ORD03246"/>
    <d v="2026-05-12T00:00:00"/>
    <s v="C1721"/>
    <s v="Power Bank"/>
    <x v="4"/>
    <n v="5"/>
    <n v="999"/>
    <n v="0"/>
    <s v="North"/>
    <s v="Debit Card"/>
    <x v="2"/>
    <n v="1598"/>
  </r>
  <r>
    <s v="ORD03247"/>
    <d v="2026-05-18T00:00:00"/>
    <s v="C1039"/>
    <s v="Mechanical Keyboard"/>
    <x v="1"/>
    <n v="5"/>
    <n v="2499"/>
    <n v="0.05"/>
    <s v="South"/>
    <s v="Credit Card"/>
    <x v="0"/>
    <n v="4995"/>
  </r>
  <r>
    <s v="ORD03248"/>
    <d v="2026-08-13T00:00:00"/>
    <s v="C1499"/>
    <s v="Monitor"/>
    <x v="2"/>
    <n v="4"/>
    <n v="7999"/>
    <n v="0"/>
    <s v="North"/>
    <s v="UPI"/>
    <x v="1"/>
    <n v="11870.25"/>
  </r>
  <r>
    <s v="ORD03249"/>
    <d v="2026-04-01T00:00:00"/>
    <s v="C1320"/>
    <s v="Power Bank"/>
    <x v="4"/>
    <n v="3"/>
    <n v="799"/>
    <n v="0.05"/>
    <s v="South"/>
    <s v="Credit Card"/>
    <x v="0"/>
    <n v="31996"/>
  </r>
  <r>
    <s v="ORD03250"/>
    <d v="2026-03-11T00:00:00"/>
    <s v="C1774"/>
    <s v="Power Bank"/>
    <x v="2"/>
    <n v="4"/>
    <n v="1299"/>
    <n v="0"/>
    <s v="South"/>
    <s v="Net Banking"/>
    <x v="2"/>
    <n v="2277.15"/>
  </r>
  <r>
    <s v="ORD03251"/>
    <d v="2026-09-27T00:00:00"/>
    <s v="C1663"/>
    <s v="Monitor"/>
    <x v="1"/>
    <n v="2"/>
    <n v="7999"/>
    <n v="0"/>
    <s v="East"/>
    <s v="UPI"/>
    <x v="0"/>
    <n v="5196"/>
  </r>
  <r>
    <s v="ORD03252"/>
    <d v="2026-06-29T00:00:00"/>
    <s v="C1518"/>
    <s v="Laptop Stand"/>
    <x v="4"/>
    <n v="4"/>
    <n v="799"/>
    <n v="0"/>
    <s v="West"/>
    <s v="Debit Card"/>
    <x v="2"/>
    <n v="15998"/>
  </r>
  <r>
    <s v="ORD03253"/>
    <d v="2026-06-25T00:00:00"/>
    <s v="C1456"/>
    <s v="Laptop Stand"/>
    <x v="4"/>
    <n v="2"/>
    <n v="799"/>
    <n v="0.05"/>
    <s v="West"/>
    <s v="Credit Card"/>
    <x v="0"/>
    <n v="3196"/>
  </r>
  <r>
    <s v="ORD03254"/>
    <d v="2026-04-11T00:00:00"/>
    <s v="C1279"/>
    <s v="Bluetooth Speaker"/>
    <x v="2"/>
    <n v="2"/>
    <n v="1999"/>
    <n v="0.15"/>
    <s v="Central"/>
    <s v="COD"/>
    <x v="0"/>
    <n v="1518.1"/>
  </r>
  <r>
    <s v="ORD03255"/>
    <d v="2026-09-12T00:00:00"/>
    <s v="C1554"/>
    <s v="Webcam"/>
    <x v="3"/>
    <n v="5"/>
    <n v="2499"/>
    <n v="0"/>
    <s v="West"/>
    <s v="UPI"/>
    <x v="0"/>
    <n v="3398.2999999999997"/>
  </r>
  <r>
    <s v="ORD03256"/>
    <d v="2026-02-06T00:00:00"/>
    <s v="C1681"/>
    <s v="Headphones"/>
    <x v="3"/>
    <n v="4"/>
    <n v="1299"/>
    <n v="0.15"/>
    <s v="North"/>
    <s v="Credit Card"/>
    <x v="0"/>
    <n v="12495"/>
  </r>
  <r>
    <s v="ORD03257"/>
    <d v="2026-06-07T00:00:00"/>
    <s v="C1793"/>
    <s v="Keyboard"/>
    <x v="2"/>
    <n v="3"/>
    <n v="999"/>
    <n v="0.1"/>
    <s v="Central"/>
    <s v="Debit Card"/>
    <x v="0"/>
    <n v="4416.5999999999995"/>
  </r>
  <r>
    <s v="ORD03258"/>
    <d v="2026-06-05T00:00:00"/>
    <s v="C1615"/>
    <s v="Keyboard"/>
    <x v="2"/>
    <n v="1"/>
    <n v="1499"/>
    <n v="0"/>
    <s v="North"/>
    <s v="Credit Card"/>
    <x v="2"/>
    <n v="2697.3"/>
  </r>
  <r>
    <s v="ORD03259"/>
    <d v="2026-03-14T00:00:00"/>
    <s v="C1166"/>
    <s v="Keyboard"/>
    <x v="4"/>
    <n v="3"/>
    <n v="2499"/>
    <n v="0"/>
    <s v="South"/>
    <s v="Net Banking"/>
    <x v="0"/>
    <n v="1499"/>
  </r>
  <r>
    <s v="ORD03260"/>
    <d v="2026-07-26T00:00:00"/>
    <s v="C1010"/>
    <s v="Wireless Mouse"/>
    <x v="2"/>
    <n v="2"/>
    <n v="999"/>
    <n v="0"/>
    <s v="West"/>
    <s v="Credit Card"/>
    <x v="0"/>
    <n v="7497"/>
  </r>
  <r>
    <s v="ORD03261"/>
    <d v="2026-05-17T00:00:00"/>
    <s v="C1774"/>
    <s v="Power Bank"/>
    <x v="3"/>
    <n v="1"/>
    <n v="1999"/>
    <n v="0"/>
    <s v="East"/>
    <s v="Net Banking"/>
    <x v="0"/>
    <n v="1998"/>
  </r>
  <r>
    <s v="ORD03262"/>
    <d v="2026-05-07T00:00:00"/>
    <s v="C1039"/>
    <s v="Headphones"/>
    <x v="0"/>
    <n v="3"/>
    <n v="1999"/>
    <n v="0.05"/>
    <s v="South"/>
    <s v="Net Banking"/>
    <x v="0"/>
    <n v="1999"/>
  </r>
  <r>
    <s v="ORD03263"/>
    <d v="2026-05-23T00:00:00"/>
    <s v="C1659"/>
    <s v="Headphones"/>
    <x v="2"/>
    <n v="5"/>
    <n v="1499"/>
    <n v="0"/>
    <s v="North"/>
    <s v="UPI"/>
    <x v="0"/>
    <n v="5697.15"/>
  </r>
  <r>
    <s v="ORD03264"/>
    <d v="2026-04-17T00:00:00"/>
    <s v="C1723"/>
    <s v="Monitor"/>
    <x v="1"/>
    <n v="4"/>
    <n v="1299"/>
    <n v="0.15"/>
    <s v="Central"/>
    <s v="Credit Card"/>
    <x v="0"/>
    <n v="7495"/>
  </r>
  <r>
    <s v="ORD03265"/>
    <d v="2026-02-27T00:00:00"/>
    <s v="C1279"/>
    <s v="Power Bank"/>
    <x v="3"/>
    <n v="3"/>
    <n v="1299"/>
    <n v="0.05"/>
    <s v="West"/>
    <s v="COD"/>
    <x v="1"/>
    <n v="4416.5999999999995"/>
  </r>
  <r>
    <s v="ORD03266"/>
    <d v="2026-06-19T00:00:00"/>
    <s v="C1533"/>
    <s v="Power Bank"/>
    <x v="3"/>
    <n v="2"/>
    <n v="499"/>
    <n v="0"/>
    <s v="North"/>
    <s v="Credit Card"/>
    <x v="0"/>
    <n v="3702.1499999999996"/>
  </r>
  <r>
    <s v="ORD03267"/>
    <d v="2026-05-06T00:00:00"/>
    <s v="C1607"/>
    <s v="Webcam"/>
    <x v="2"/>
    <n v="4"/>
    <n v="799"/>
    <n v="0.15"/>
    <s v="West"/>
    <s v="Net Banking"/>
    <x v="2"/>
    <n v="998"/>
  </r>
  <r>
    <s v="ORD03268"/>
    <d v="2026-06-04T00:00:00"/>
    <s v="C1391"/>
    <s v="Wireless Mouse"/>
    <x v="2"/>
    <n v="3"/>
    <n v="1299"/>
    <n v="0"/>
    <s v="West"/>
    <s v="Debit Card"/>
    <x v="0"/>
    <n v="2716.6"/>
  </r>
  <r>
    <s v="ORD03269"/>
    <d v="2026-08-01T00:00:00"/>
    <s v="C1424"/>
    <s v="Mechanical Keyboard"/>
    <x v="0"/>
    <n v="2"/>
    <n v="1499"/>
    <n v="0.1"/>
    <s v="South"/>
    <s v="COD"/>
    <x v="1"/>
    <n v="3897"/>
  </r>
  <r>
    <s v="ORD03270"/>
    <d v="2026-07-29T00:00:00"/>
    <s v="C1418"/>
    <s v="Keyboard"/>
    <x v="4"/>
    <n v="1"/>
    <n v="499"/>
    <n v="0"/>
    <s v="West"/>
    <s v="UPI"/>
    <x v="0"/>
    <n v="2698.2000000000003"/>
  </r>
  <r>
    <s v="ORD03271"/>
    <d v="2026-08-23T00:00:00"/>
    <s v="C1362"/>
    <s v="Headphones"/>
    <x v="2"/>
    <n v="4"/>
    <n v="1499"/>
    <n v="0"/>
    <s v="South"/>
    <s v="UPI"/>
    <x v="2"/>
    <n v="499"/>
  </r>
  <r>
    <s v="ORD03272"/>
    <d v="2026-06-27T00:00:00"/>
    <s v="C1270"/>
    <s v="Wireless Mouse"/>
    <x v="0"/>
    <n v="1"/>
    <n v="499"/>
    <n v="0.15"/>
    <s v="North"/>
    <s v="COD"/>
    <x v="2"/>
    <n v="5996"/>
  </r>
  <r>
    <s v="ORD03273"/>
    <d v="2026-02-04T00:00:00"/>
    <s v="C1004"/>
    <s v="Power Bank"/>
    <x v="4"/>
    <n v="5"/>
    <n v="7999"/>
    <n v="0"/>
    <s v="North"/>
    <s v="Debit Card"/>
    <x v="0"/>
    <n v="424.15"/>
  </r>
  <r>
    <s v="ORD03274"/>
    <d v="2026-03-23T00:00:00"/>
    <s v="C1080"/>
    <s v="Monitor"/>
    <x v="1"/>
    <n v="4"/>
    <n v="7999"/>
    <n v="0"/>
    <s v="Central"/>
    <s v="Debit Card"/>
    <x v="0"/>
    <n v="39995"/>
  </r>
  <r>
    <s v="ORD03275"/>
    <d v="2026-05-23T00:00:00"/>
    <s v="C1761"/>
    <s v="Mechanical Keyboard"/>
    <x v="1"/>
    <n v="1"/>
    <n v="2499"/>
    <n v="0"/>
    <s v="West"/>
    <s v="Credit Card"/>
    <x v="0"/>
    <n v="31996"/>
  </r>
  <r>
    <s v="ORD03276"/>
    <d v="2026-07-29T00:00:00"/>
    <s v="C1347"/>
    <s v="Power Bank"/>
    <x v="4"/>
    <n v="3"/>
    <n v="1999"/>
    <n v="0"/>
    <s v="North"/>
    <s v="UPI"/>
    <x v="0"/>
    <n v="2499"/>
  </r>
  <r>
    <s v="ORD03277"/>
    <d v="2026-04-17T00:00:00"/>
    <s v="C1058"/>
    <s v="Laptop Stand"/>
    <x v="4"/>
    <n v="5"/>
    <n v="599"/>
    <n v="0"/>
    <s v="South"/>
    <s v="COD"/>
    <x v="0"/>
    <n v="5997"/>
  </r>
  <r>
    <s v="ORD03278"/>
    <d v="2026-01-01T00:00:00"/>
    <s v="C1187"/>
    <s v="Power Bank"/>
    <x v="0"/>
    <n v="5"/>
    <n v="599"/>
    <n v="0"/>
    <s v="West"/>
    <s v="COD"/>
    <x v="1"/>
    <n v="2995"/>
  </r>
  <r>
    <s v="ORD03279"/>
    <d v="2026-03-08T00:00:00"/>
    <s v="C1530"/>
    <s v="Power Bank"/>
    <x v="2"/>
    <n v="3"/>
    <n v="1299"/>
    <n v="0.1"/>
    <s v="South"/>
    <s v="Net Banking"/>
    <x v="1"/>
    <n v="2995"/>
  </r>
  <r>
    <s v="ORD03280"/>
    <d v="2026-04-16T00:00:00"/>
    <s v="C1316"/>
    <s v="Headphones"/>
    <x v="2"/>
    <n v="2"/>
    <n v="1499"/>
    <n v="0.05"/>
    <s v="East"/>
    <s v="COD"/>
    <x v="0"/>
    <n v="3507.3"/>
  </r>
  <r>
    <s v="ORD03281"/>
    <d v="2026-04-11T00:00:00"/>
    <s v="C1753"/>
    <s v="Mechanical Keyboard"/>
    <x v="3"/>
    <n v="3"/>
    <n v="1999"/>
    <n v="0.05"/>
    <s v="Central"/>
    <s v="COD"/>
    <x v="0"/>
    <n v="2848.1"/>
  </r>
  <r>
    <s v="ORD03282"/>
    <d v="2026-08-20T00:00:00"/>
    <s v="C1479"/>
    <s v="Mechanical Keyboard"/>
    <x v="2"/>
    <n v="5"/>
    <n v="4999"/>
    <n v="0"/>
    <s v="Central"/>
    <s v="Net Banking"/>
    <x v="0"/>
    <n v="5697.15"/>
  </r>
  <r>
    <s v="ORD03283"/>
    <d v="2026-01-19T00:00:00"/>
    <s v="C1721"/>
    <s v="Headphones"/>
    <x v="0"/>
    <n v="1"/>
    <n v="1999"/>
    <n v="0.05"/>
    <s v="South"/>
    <s v="Credit Card"/>
    <x v="2"/>
    <n v="24995"/>
  </r>
  <r>
    <s v="ORD03284"/>
    <d v="2026-06-24T00:00:00"/>
    <s v="C1118"/>
    <s v="Webcam"/>
    <x v="4"/>
    <n v="5"/>
    <n v="599"/>
    <n v="0.1"/>
    <s v="West"/>
    <s v="Net Banking"/>
    <x v="0"/>
    <n v="1899.05"/>
  </r>
  <r>
    <s v="ORD03285"/>
    <d v="2026-09-20T00:00:00"/>
    <s v="C1279"/>
    <s v="Webcam"/>
    <x v="0"/>
    <n v="5"/>
    <n v="1299"/>
    <n v="0"/>
    <s v="South"/>
    <s v="Debit Card"/>
    <x v="1"/>
    <n v="2695.5"/>
  </r>
  <r>
    <s v="ORD03286"/>
    <d v="2026-03-14T00:00:00"/>
    <s v="C1171"/>
    <s v="Laptop Stand"/>
    <x v="4"/>
    <n v="4"/>
    <n v="799"/>
    <n v="0.15"/>
    <s v="Central"/>
    <s v="COD"/>
    <x v="0"/>
    <n v="6495"/>
  </r>
  <r>
    <s v="ORD03287"/>
    <d v="2026-03-17T00:00:00"/>
    <s v="C1190"/>
    <s v="Bluetooth Speaker"/>
    <x v="2"/>
    <n v="5"/>
    <n v="999"/>
    <n v="0.15"/>
    <s v="East"/>
    <s v="Debit Card"/>
    <x v="0"/>
    <n v="2716.6"/>
  </r>
  <r>
    <s v="ORD03288"/>
    <d v="2026-01-08T00:00:00"/>
    <s v="C1744"/>
    <s v="Laptop Stand"/>
    <x v="4"/>
    <n v="4"/>
    <n v="599"/>
    <n v="0"/>
    <s v="Central"/>
    <s v="Credit Card"/>
    <x v="1"/>
    <n v="4245.75"/>
  </r>
  <r>
    <s v="ORD03289"/>
    <d v="2026-01-25T00:00:00"/>
    <s v="C1511"/>
    <s v="USB-C Hub"/>
    <x v="4"/>
    <n v="3"/>
    <n v="7999"/>
    <n v="0.05"/>
    <s v="North"/>
    <s v="Debit Card"/>
    <x v="0"/>
    <n v="2396"/>
  </r>
  <r>
    <s v="ORD03290"/>
    <d v="2026-08-10T00:00:00"/>
    <s v="C1793"/>
    <s v="Keyboard"/>
    <x v="3"/>
    <n v="4"/>
    <n v="499"/>
    <n v="0.1"/>
    <s v="North"/>
    <s v="COD"/>
    <x v="1"/>
    <n v="22797.149999999998"/>
  </r>
  <r>
    <s v="ORD03291"/>
    <d v="2026-04-28T00:00:00"/>
    <s v="C1333"/>
    <s v="Monitor"/>
    <x v="2"/>
    <n v="3"/>
    <n v="2499"/>
    <n v="0.15"/>
    <s v="South"/>
    <s v="COD"/>
    <x v="1"/>
    <n v="1796.4"/>
  </r>
  <r>
    <s v="ORD03292"/>
    <d v="2026-03-02T00:00:00"/>
    <s v="C1292"/>
    <s v="Keyboard"/>
    <x v="0"/>
    <n v="2"/>
    <n v="499"/>
    <n v="0.15"/>
    <s v="Central"/>
    <s v="Credit Card"/>
    <x v="2"/>
    <n v="6372.45"/>
  </r>
  <r>
    <s v="ORD03293"/>
    <d v="2026-03-15T00:00:00"/>
    <s v="C1644"/>
    <s v="Bluetooth Speaker"/>
    <x v="4"/>
    <n v="2"/>
    <n v="1299"/>
    <n v="0"/>
    <s v="East"/>
    <s v="COD"/>
    <x v="0"/>
    <n v="848.3"/>
  </r>
  <r>
    <s v="ORD03294"/>
    <d v="2026-06-07T00:00:00"/>
    <s v="C1141"/>
    <s v="Monitor"/>
    <x v="3"/>
    <n v="2"/>
    <n v="499"/>
    <n v="0.15"/>
    <s v="North"/>
    <s v="UPI"/>
    <x v="0"/>
    <n v="2598"/>
  </r>
  <r>
    <s v="ORD03295"/>
    <d v="2026-01-06T00:00:00"/>
    <s v="C1325"/>
    <s v="Power Bank"/>
    <x v="1"/>
    <n v="4"/>
    <n v="2499"/>
    <n v="0.1"/>
    <s v="Central"/>
    <s v="Credit Card"/>
    <x v="2"/>
    <n v="848.3"/>
  </r>
  <r>
    <s v="ORD03296"/>
    <d v="2026-08-28T00:00:00"/>
    <s v="C1372"/>
    <s v="Monitor"/>
    <x v="3"/>
    <n v="1"/>
    <n v="1999"/>
    <n v="0"/>
    <s v="Central"/>
    <s v="Debit Card"/>
    <x v="1"/>
    <n v="8996.4"/>
  </r>
  <r>
    <s v="ORD03297"/>
    <d v="2026-02-13T00:00:00"/>
    <s v="C1650"/>
    <s v="Mechanical Keyboard"/>
    <x v="0"/>
    <n v="2"/>
    <n v="499"/>
    <n v="0"/>
    <s v="Central"/>
    <s v="Net Banking"/>
    <x v="0"/>
    <n v="1999"/>
  </r>
  <r>
    <s v="ORD03298"/>
    <d v="2026-05-17T00:00:00"/>
    <s v="C1006"/>
    <s v="Monitor"/>
    <x v="1"/>
    <n v="1"/>
    <n v="499"/>
    <n v="0.05"/>
    <s v="Central"/>
    <s v="Credit Card"/>
    <x v="0"/>
    <n v="998"/>
  </r>
  <r>
    <s v="ORD03299"/>
    <d v="2026-01-07T00:00:00"/>
    <s v="C1171"/>
    <s v="Monitor"/>
    <x v="2"/>
    <n v="2"/>
    <n v="1299"/>
    <n v="0"/>
    <s v="South"/>
    <s v="COD"/>
    <x v="0"/>
    <n v="474.04999999999995"/>
  </r>
  <r>
    <s v="ORD03300"/>
    <d v="2026-09-17T00:00:00"/>
    <s v="C1102"/>
    <s v="USB-C Hub"/>
    <x v="0"/>
    <n v="5"/>
    <n v="7999"/>
    <n v="0.1"/>
    <s v="South"/>
    <s v="Credit Card"/>
    <x v="2"/>
    <n v="2598"/>
  </r>
  <r>
    <s v="ORD03301"/>
    <d v="2026-07-19T00:00:00"/>
    <s v="C1585"/>
    <s v="Laptop Stand"/>
    <x v="1"/>
    <n v="2"/>
    <n v="599"/>
    <n v="0.05"/>
    <s v="South"/>
    <s v="Debit Card"/>
    <x v="0"/>
    <n v="35995.5"/>
  </r>
  <r>
    <s v="ORD03302"/>
    <d v="2026-06-24T00:00:00"/>
    <s v="C1321"/>
    <s v="Bluetooth Speaker"/>
    <x v="2"/>
    <n v="1"/>
    <n v="1299"/>
    <n v="0.1"/>
    <s v="East"/>
    <s v="COD"/>
    <x v="0"/>
    <n v="1138.0999999999999"/>
  </r>
  <r>
    <s v="ORD03303"/>
    <d v="2026-07-13T00:00:00"/>
    <s v="C1529"/>
    <s v="Wireless Mouse"/>
    <x v="2"/>
    <n v="5"/>
    <n v="1999"/>
    <n v="0"/>
    <s v="East"/>
    <s v="UPI"/>
    <x v="0"/>
    <n v="1169.1000000000001"/>
  </r>
  <r>
    <s v="ORD03304"/>
    <d v="2026-03-14T00:00:00"/>
    <s v="C1391"/>
    <s v="Headphones"/>
    <x v="2"/>
    <n v="5"/>
    <n v="1499"/>
    <n v="0"/>
    <s v="North"/>
    <s v="UPI"/>
    <x v="1"/>
    <n v="9995"/>
  </r>
  <r>
    <s v="ORD03305"/>
    <d v="2026-08-25T00:00:00"/>
    <s v="C1449"/>
    <s v="Power Bank"/>
    <x v="2"/>
    <n v="2"/>
    <n v="799"/>
    <n v="0"/>
    <s v="West"/>
    <s v="COD"/>
    <x v="0"/>
    <n v="7495"/>
  </r>
  <r>
    <s v="ORD03306"/>
    <d v="2026-04-20T00:00:00"/>
    <s v="C1146"/>
    <s v="Webcam"/>
    <x v="3"/>
    <n v="1"/>
    <n v="599"/>
    <n v="0.15"/>
    <s v="East"/>
    <s v="Debit Card"/>
    <x v="0"/>
    <n v="1598"/>
  </r>
  <r>
    <s v="ORD03307"/>
    <d v="2026-04-15T00:00:00"/>
    <s v="C1727"/>
    <s v="Bluetooth Speaker"/>
    <x v="2"/>
    <n v="4"/>
    <n v="999"/>
    <n v="0.15"/>
    <s v="West"/>
    <s v="Debit Card"/>
    <x v="2"/>
    <n v="509.15"/>
  </r>
  <r>
    <s v="ORD03308"/>
    <d v="2026-01-05T00:00:00"/>
    <s v="C1270"/>
    <s v="Monitor"/>
    <x v="1"/>
    <n v="3"/>
    <n v="599"/>
    <n v="0.15"/>
    <s v="East"/>
    <s v="COD"/>
    <x v="1"/>
    <n v="3396.6"/>
  </r>
  <r>
    <s v="ORD03309"/>
    <d v="2026-07-02T00:00:00"/>
    <s v="C1296"/>
    <s v="Monitor"/>
    <x v="2"/>
    <n v="4"/>
    <n v="799"/>
    <n v="0.15"/>
    <s v="West"/>
    <s v="COD"/>
    <x v="0"/>
    <n v="1527.45"/>
  </r>
  <r>
    <s v="ORD03310"/>
    <d v="2026-09-29T00:00:00"/>
    <s v="C1333"/>
    <s v="Power Bank"/>
    <x v="3"/>
    <n v="3"/>
    <n v="1499"/>
    <n v="0.05"/>
    <s v="East"/>
    <s v="Debit Card"/>
    <x v="0"/>
    <n v="2716.6"/>
  </r>
  <r>
    <s v="ORD03311"/>
    <d v="2026-07-11T00:00:00"/>
    <s v="C1603"/>
    <s v="Keyboard"/>
    <x v="3"/>
    <n v="2"/>
    <n v="1299"/>
    <n v="0.15"/>
    <s v="West"/>
    <s v="COD"/>
    <x v="1"/>
    <n v="4272.1499999999996"/>
  </r>
  <r>
    <s v="ORD03312"/>
    <d v="2026-06-18T00:00:00"/>
    <s v="C1462"/>
    <s v="Keyboard"/>
    <x v="4"/>
    <n v="1"/>
    <n v="2499"/>
    <n v="0.1"/>
    <s v="Central"/>
    <s v="COD"/>
    <x v="1"/>
    <n v="2208.2999999999997"/>
  </r>
  <r>
    <s v="ORD03313"/>
    <d v="2026-07-18T00:00:00"/>
    <s v="C1756"/>
    <s v="Bluetooth Speaker"/>
    <x v="0"/>
    <n v="1"/>
    <n v="799"/>
    <n v="0.15"/>
    <s v="East"/>
    <s v="Debit Card"/>
    <x v="0"/>
    <n v="2249.1"/>
  </r>
  <r>
    <s v="ORD03314"/>
    <d v="2026-06-19T00:00:00"/>
    <s v="C1688"/>
    <s v="Keyboard"/>
    <x v="4"/>
    <n v="1"/>
    <n v="499"/>
    <n v="0.1"/>
    <s v="South"/>
    <s v="Credit Card"/>
    <x v="0"/>
    <n v="679.15"/>
  </r>
  <r>
    <s v="ORD03315"/>
    <d v="2026-04-02T00:00:00"/>
    <s v="C1641"/>
    <s v="Monitor"/>
    <x v="1"/>
    <n v="5"/>
    <n v="1499"/>
    <n v="0"/>
    <s v="North"/>
    <s v="UPI"/>
    <x v="0"/>
    <n v="449.1"/>
  </r>
  <r>
    <s v="ORD03316"/>
    <d v="2026-06-26T00:00:00"/>
    <s v="C1152"/>
    <s v="Keyboard"/>
    <x v="0"/>
    <n v="4"/>
    <n v="1299"/>
    <n v="0"/>
    <s v="South"/>
    <s v="COD"/>
    <x v="0"/>
    <n v="7495"/>
  </r>
  <r>
    <s v="ORD03317"/>
    <d v="2026-07-22T00:00:00"/>
    <s v="C1291"/>
    <s v="Bluetooth Speaker"/>
    <x v="4"/>
    <n v="1"/>
    <n v="999"/>
    <n v="0.15"/>
    <s v="West"/>
    <s v="Credit Card"/>
    <x v="0"/>
    <n v="5196"/>
  </r>
  <r>
    <s v="ORD03318"/>
    <d v="2026-02-10T00:00:00"/>
    <s v="C1482"/>
    <s v="Laptop Stand"/>
    <x v="3"/>
    <n v="5"/>
    <n v="999"/>
    <n v="0"/>
    <s v="West"/>
    <s v="Credit Card"/>
    <x v="1"/>
    <n v="849.15"/>
  </r>
  <r>
    <s v="ORD03319"/>
    <d v="2026-09-19T00:00:00"/>
    <s v="C1622"/>
    <s v="Webcam"/>
    <x v="1"/>
    <n v="3"/>
    <n v="799"/>
    <n v="0.1"/>
    <s v="South"/>
    <s v="Debit Card"/>
    <x v="0"/>
    <n v="4995"/>
  </r>
  <r>
    <s v="ORD03320"/>
    <d v="2026-09-08T00:00:00"/>
    <s v="C1129"/>
    <s v="Headphones"/>
    <x v="0"/>
    <n v="3"/>
    <n v="799"/>
    <n v="0.05"/>
    <s v="West"/>
    <s v="Credit Card"/>
    <x v="2"/>
    <n v="2157.3000000000002"/>
  </r>
  <r>
    <s v="ORD03321"/>
    <d v="2026-07-17T00:00:00"/>
    <s v="C1468"/>
    <s v="Wireless Mouse"/>
    <x v="2"/>
    <n v="5"/>
    <n v="499"/>
    <n v="0.15"/>
    <s v="South"/>
    <s v="Debit Card"/>
    <x v="0"/>
    <n v="2277.15"/>
  </r>
  <r>
    <s v="ORD03322"/>
    <d v="2026-01-11T00:00:00"/>
    <s v="C1368"/>
    <s v="Keyboard"/>
    <x v="0"/>
    <n v="1"/>
    <n v="7999"/>
    <n v="0"/>
    <s v="West"/>
    <s v="Credit Card"/>
    <x v="0"/>
    <n v="2120.75"/>
  </r>
  <r>
    <s v="ORD03323"/>
    <d v="2026-07-17T00:00:00"/>
    <s v="C1512"/>
    <s v="Headphones"/>
    <x v="0"/>
    <n v="3"/>
    <n v="499"/>
    <n v="0"/>
    <s v="South"/>
    <s v="Net Banking"/>
    <x v="0"/>
    <n v="7999"/>
  </r>
  <r>
    <s v="ORD03324"/>
    <d v="2026-07-12T00:00:00"/>
    <s v="C1612"/>
    <s v="Wireless Mouse"/>
    <x v="2"/>
    <n v="4"/>
    <n v="7999"/>
    <n v="0"/>
    <s v="West"/>
    <s v="Credit Card"/>
    <x v="0"/>
    <n v="1497"/>
  </r>
  <r>
    <s v="ORD03325"/>
    <d v="2026-04-10T00:00:00"/>
    <s v="C1372"/>
    <s v="Power Bank"/>
    <x v="3"/>
    <n v="5"/>
    <n v="1999"/>
    <n v="0.1"/>
    <s v="East"/>
    <s v="COD"/>
    <x v="0"/>
    <n v="31996"/>
  </r>
  <r>
    <s v="ORD03326"/>
    <d v="2026-08-19T00:00:00"/>
    <s v="C1451"/>
    <s v="Keyboard"/>
    <x v="1"/>
    <n v="5"/>
    <n v="7999"/>
    <n v="0.15"/>
    <s v="South"/>
    <s v="Debit Card"/>
    <x v="0"/>
    <n v="8995.5"/>
  </r>
  <r>
    <s v="ORD03327"/>
    <d v="2026-06-26T00:00:00"/>
    <s v="C1073"/>
    <s v="Power Bank"/>
    <x v="2"/>
    <n v="3"/>
    <n v="7999"/>
    <n v="0.05"/>
    <s v="South"/>
    <s v="Credit Card"/>
    <x v="0"/>
    <n v="33995.75"/>
  </r>
  <r>
    <s v="ORD03328"/>
    <d v="2026-02-20T00:00:00"/>
    <s v="C1773"/>
    <s v="Wireless Mouse"/>
    <x v="2"/>
    <n v="5"/>
    <n v="2499"/>
    <n v="0.15"/>
    <s v="West"/>
    <s v="Debit Card"/>
    <x v="0"/>
    <n v="22797.149999999998"/>
  </r>
  <r>
    <s v="ORD03329"/>
    <d v="2026-06-25T00:00:00"/>
    <s v="C1753"/>
    <s v="Laptop Stand"/>
    <x v="2"/>
    <n v="5"/>
    <n v="4999"/>
    <n v="0"/>
    <s v="North"/>
    <s v="COD"/>
    <x v="0"/>
    <n v="10620.75"/>
  </r>
  <r>
    <s v="ORD03330"/>
    <d v="2026-05-13T00:00:00"/>
    <s v="C1514"/>
    <s v="Webcam"/>
    <x v="2"/>
    <n v="4"/>
    <n v="1999"/>
    <n v="0"/>
    <s v="South"/>
    <s v="Net Banking"/>
    <x v="1"/>
    <n v="24995"/>
  </r>
  <r>
    <s v="ORD03331"/>
    <d v="2026-08-18T00:00:00"/>
    <s v="C1693"/>
    <s v="Mechanical Keyboard"/>
    <x v="3"/>
    <n v="2"/>
    <n v="499"/>
    <n v="0"/>
    <s v="East"/>
    <s v="Debit Card"/>
    <x v="2"/>
    <n v="7996"/>
  </r>
  <r>
    <s v="ORD03332"/>
    <d v="2026-08-06T00:00:00"/>
    <s v="C1393"/>
    <s v="Monitor"/>
    <x v="1"/>
    <n v="1"/>
    <n v="1499"/>
    <n v="0.1"/>
    <s v="East"/>
    <s v="COD"/>
    <x v="2"/>
    <n v="998"/>
  </r>
  <r>
    <s v="ORD03333"/>
    <d v="2026-05-02T00:00:00"/>
    <s v="C1694"/>
    <s v="Headphones"/>
    <x v="0"/>
    <n v="2"/>
    <n v="1499"/>
    <n v="0"/>
    <s v="East"/>
    <s v="UPI"/>
    <x v="0"/>
    <n v="1349.1000000000001"/>
  </r>
  <r>
    <s v="ORD03334"/>
    <d v="2026-05-04T00:00:00"/>
    <s v="C1486"/>
    <s v="Mechanical Keyboard"/>
    <x v="2"/>
    <n v="3"/>
    <n v="599"/>
    <n v="0.1"/>
    <s v="Central"/>
    <s v="Credit Card"/>
    <x v="0"/>
    <n v="2998"/>
  </r>
  <r>
    <s v="ORD03335"/>
    <d v="2026-07-01T00:00:00"/>
    <s v="C1526"/>
    <s v="Monitor"/>
    <x v="3"/>
    <n v="4"/>
    <n v="599"/>
    <n v="0.1"/>
    <s v="South"/>
    <s v="Net Banking"/>
    <x v="0"/>
    <n v="1617.3"/>
  </r>
  <r>
    <s v="ORD03336"/>
    <d v="2026-03-13T00:00:00"/>
    <s v="C1708"/>
    <s v="Monitor"/>
    <x v="4"/>
    <n v="3"/>
    <n v="499"/>
    <n v="0.1"/>
    <s v="Central"/>
    <s v="Credit Card"/>
    <x v="0"/>
    <n v="2156.4"/>
  </r>
  <r>
    <s v="ORD03337"/>
    <d v="2026-07-03T00:00:00"/>
    <s v="C1666"/>
    <s v="Mechanical Keyboard"/>
    <x v="1"/>
    <n v="5"/>
    <n v="2499"/>
    <n v="0"/>
    <s v="North"/>
    <s v="UPI"/>
    <x v="1"/>
    <n v="1347.3"/>
  </r>
  <r>
    <s v="ORD03338"/>
    <d v="2026-08-03T00:00:00"/>
    <s v="C1297"/>
    <s v="Mechanical Keyboard"/>
    <x v="3"/>
    <n v="5"/>
    <n v="599"/>
    <n v="0"/>
    <s v="East"/>
    <s v="Net Banking"/>
    <x v="1"/>
    <n v="12495"/>
  </r>
  <r>
    <s v="ORD03339"/>
    <d v="2026-08-11T00:00:00"/>
    <s v="C1742"/>
    <s v="Headphones"/>
    <x v="4"/>
    <n v="3"/>
    <n v="4999"/>
    <n v="0"/>
    <s v="Central"/>
    <s v="Credit Card"/>
    <x v="1"/>
    <n v="2995"/>
  </r>
  <r>
    <s v="ORD03340"/>
    <d v="2026-08-01T00:00:00"/>
    <s v="C1606"/>
    <s v="Wireless Mouse"/>
    <x v="1"/>
    <n v="3"/>
    <n v="499"/>
    <n v="0.15"/>
    <s v="North"/>
    <s v="Credit Card"/>
    <x v="0"/>
    <n v="14997"/>
  </r>
  <r>
    <s v="ORD03341"/>
    <d v="2026-05-27T00:00:00"/>
    <s v="C1800"/>
    <s v="Webcam"/>
    <x v="0"/>
    <n v="2"/>
    <n v="4999"/>
    <n v="0.05"/>
    <s v="East"/>
    <s v="Net Banking"/>
    <x v="2"/>
    <n v="1272.45"/>
  </r>
  <r>
    <s v="ORD03342"/>
    <d v="2026-09-06T00:00:00"/>
    <s v="C1765"/>
    <s v="Webcam"/>
    <x v="2"/>
    <n v="5"/>
    <n v="7999"/>
    <n v="0"/>
    <s v="Central"/>
    <s v="Credit Card"/>
    <x v="2"/>
    <n v="9498.1"/>
  </r>
  <r>
    <s v="ORD03343"/>
    <d v="2026-08-31T00:00:00"/>
    <s v="C1707"/>
    <s v="Bluetooth Speaker"/>
    <x v="1"/>
    <n v="4"/>
    <n v="1499"/>
    <n v="0"/>
    <s v="South"/>
    <s v="UPI"/>
    <x v="1"/>
    <n v="39995"/>
  </r>
  <r>
    <s v="ORD03344"/>
    <d v="2026-04-20T00:00:00"/>
    <s v="C1224"/>
    <s v="USB-C Hub"/>
    <x v="4"/>
    <n v="1"/>
    <n v="599"/>
    <n v="0"/>
    <s v="West"/>
    <s v="Debit Card"/>
    <x v="0"/>
    <n v="5996"/>
  </r>
  <r>
    <s v="ORD03345"/>
    <d v="2026-02-25T00:00:00"/>
    <s v="C1548"/>
    <s v="Bluetooth Speaker"/>
    <x v="0"/>
    <n v="4"/>
    <n v="7999"/>
    <n v="0"/>
    <s v="West"/>
    <s v="COD"/>
    <x v="1"/>
    <n v="599"/>
  </r>
  <r>
    <s v="ORD03346"/>
    <d v="2026-05-14T00:00:00"/>
    <s v="C1085"/>
    <s v="USB-C Hub"/>
    <x v="0"/>
    <n v="2"/>
    <n v="4999"/>
    <n v="0.1"/>
    <s v="South"/>
    <s v="UPI"/>
    <x v="0"/>
    <n v="31996"/>
  </r>
  <r>
    <s v="ORD03347"/>
    <d v="2026-08-24T00:00:00"/>
    <s v="C1133"/>
    <s v="USB-C Hub"/>
    <x v="4"/>
    <n v="3"/>
    <n v="1299"/>
    <n v="0.15"/>
    <s v="West"/>
    <s v="Debit Card"/>
    <x v="0"/>
    <n v="8998.2000000000007"/>
  </r>
  <r>
    <s v="ORD03348"/>
    <d v="2026-02-04T00:00:00"/>
    <s v="C1552"/>
    <s v="Monitor"/>
    <x v="1"/>
    <n v="2"/>
    <n v="499"/>
    <n v="0"/>
    <s v="East"/>
    <s v="Credit Card"/>
    <x v="2"/>
    <n v="3312.45"/>
  </r>
  <r>
    <s v="ORD03349"/>
    <d v="2026-02-04T00:00:00"/>
    <s v="C1004"/>
    <s v="Keyboard"/>
    <x v="3"/>
    <n v="1"/>
    <n v="1999"/>
    <n v="0.05"/>
    <s v="North"/>
    <s v="UPI"/>
    <x v="0"/>
    <n v="998"/>
  </r>
  <r>
    <s v="ORD03350"/>
    <d v="2026-07-27T00:00:00"/>
    <s v="C1306"/>
    <s v="Headphones"/>
    <x v="4"/>
    <n v="2"/>
    <n v="1299"/>
    <n v="0"/>
    <s v="Central"/>
    <s v="Debit Card"/>
    <x v="0"/>
    <n v="1899.05"/>
  </r>
  <r>
    <s v="ORD03351"/>
    <d v="2026-03-21T00:00:00"/>
    <s v="C1471"/>
    <s v="Webcam"/>
    <x v="1"/>
    <n v="2"/>
    <n v="2499"/>
    <n v="0.15"/>
    <s v="East"/>
    <s v="Net Banking"/>
    <x v="0"/>
    <n v="2598"/>
  </r>
  <r>
    <s v="ORD03352"/>
    <d v="2026-04-11T00:00:00"/>
    <s v="C1547"/>
    <s v="Power Bank"/>
    <x v="0"/>
    <n v="5"/>
    <n v="4999"/>
    <n v="0.15"/>
    <s v="West"/>
    <s v="Net Banking"/>
    <x v="1"/>
    <n v="4248.3"/>
  </r>
  <r>
    <s v="ORD03353"/>
    <d v="2026-01-05T00:00:00"/>
    <s v="C1728"/>
    <s v="Mechanical Keyboard"/>
    <x v="4"/>
    <n v="4"/>
    <n v="2499"/>
    <n v="0.05"/>
    <s v="East"/>
    <s v="Debit Card"/>
    <x v="1"/>
    <n v="21245.75"/>
  </r>
  <r>
    <s v="ORD03354"/>
    <d v="2026-03-21T00:00:00"/>
    <s v="C1350"/>
    <s v="Webcam"/>
    <x v="4"/>
    <n v="3"/>
    <n v="2499"/>
    <n v="0"/>
    <s v="East"/>
    <s v="COD"/>
    <x v="1"/>
    <n v="9496.1999999999989"/>
  </r>
  <r>
    <s v="ORD03355"/>
    <d v="2026-02-08T00:00:00"/>
    <s v="C1592"/>
    <s v="Keyboard"/>
    <x v="1"/>
    <n v="1"/>
    <n v="1299"/>
    <n v="0.1"/>
    <s v="North"/>
    <s v="COD"/>
    <x v="0"/>
    <n v="7497"/>
  </r>
  <r>
    <s v="ORD03356"/>
    <d v="2026-03-15T00:00:00"/>
    <s v="C1019"/>
    <s v="Laptop Stand"/>
    <x v="3"/>
    <n v="1"/>
    <n v="4999"/>
    <n v="0"/>
    <s v="South"/>
    <s v="UPI"/>
    <x v="2"/>
    <n v="1169.1000000000001"/>
  </r>
  <r>
    <s v="ORD03357"/>
    <d v="2026-07-28T00:00:00"/>
    <s v="C1166"/>
    <s v="Headphones"/>
    <x v="3"/>
    <n v="1"/>
    <n v="999"/>
    <n v="0"/>
    <s v="South"/>
    <s v="Credit Card"/>
    <x v="0"/>
    <n v="4999"/>
  </r>
  <r>
    <s v="ORD03358"/>
    <d v="2026-08-10T00:00:00"/>
    <s v="C1565"/>
    <s v="Webcam"/>
    <x v="4"/>
    <n v="2"/>
    <n v="2499"/>
    <n v="0.1"/>
    <s v="South"/>
    <s v="Credit Card"/>
    <x v="2"/>
    <n v="999"/>
  </r>
  <r>
    <s v="ORD03359"/>
    <d v="2026-05-17T00:00:00"/>
    <s v="C1705"/>
    <s v="Monitor"/>
    <x v="1"/>
    <n v="1"/>
    <n v="499"/>
    <n v="0.05"/>
    <s v="Central"/>
    <s v="UPI"/>
    <x v="2"/>
    <n v="4498.2"/>
  </r>
  <r>
    <s v="ORD03360"/>
    <d v="2026-03-30T00:00:00"/>
    <s v="C1700"/>
    <s v="Webcam"/>
    <x v="0"/>
    <n v="2"/>
    <n v="499"/>
    <n v="0.15"/>
    <s v="North"/>
    <s v="UPI"/>
    <x v="0"/>
    <n v="474.04999999999995"/>
  </r>
  <r>
    <s v="ORD03361"/>
    <d v="2026-07-11T00:00:00"/>
    <s v="C1638"/>
    <s v="Headphones"/>
    <x v="1"/>
    <n v="2"/>
    <n v="1299"/>
    <n v="0.1"/>
    <s v="Central"/>
    <s v="UPI"/>
    <x v="0"/>
    <n v="848.3"/>
  </r>
  <r>
    <s v="ORD03362"/>
    <d v="2026-09-16T00:00:00"/>
    <s v="C1560"/>
    <s v="Headphones"/>
    <x v="0"/>
    <n v="2"/>
    <n v="1999"/>
    <n v="0"/>
    <s v="East"/>
    <s v="Net Banking"/>
    <x v="0"/>
    <n v="2338.2000000000003"/>
  </r>
  <r>
    <s v="ORD03363"/>
    <d v="2026-05-22T00:00:00"/>
    <s v="C1723"/>
    <s v="Power Bank"/>
    <x v="3"/>
    <n v="4"/>
    <n v="799"/>
    <n v="0.1"/>
    <s v="East"/>
    <s v="UPI"/>
    <x v="0"/>
    <n v="3998"/>
  </r>
  <r>
    <s v="ORD03364"/>
    <d v="2026-09-07T00:00:00"/>
    <s v="C1375"/>
    <s v="Wireless Mouse"/>
    <x v="4"/>
    <n v="5"/>
    <n v="1499"/>
    <n v="0"/>
    <s v="East"/>
    <s v="Debit Card"/>
    <x v="2"/>
    <n v="2876.4"/>
  </r>
  <r>
    <s v="ORD03365"/>
    <d v="2026-09-28T00:00:00"/>
    <s v="C1369"/>
    <s v="Laptop Stand"/>
    <x v="4"/>
    <n v="1"/>
    <n v="4999"/>
    <n v="0.1"/>
    <s v="East"/>
    <s v="Credit Card"/>
    <x v="0"/>
    <n v="7495"/>
  </r>
  <r>
    <s v="ORD03366"/>
    <d v="2026-08-27T00:00:00"/>
    <s v="C1787"/>
    <s v="Laptop Stand"/>
    <x v="4"/>
    <n v="1"/>
    <n v="1299"/>
    <n v="0.05"/>
    <s v="West"/>
    <s v="Credit Card"/>
    <x v="0"/>
    <n v="4499.1000000000004"/>
  </r>
  <r>
    <s v="ORD03367"/>
    <d v="2026-06-13T00:00:00"/>
    <s v="C1533"/>
    <s v="Laptop Stand"/>
    <x v="3"/>
    <n v="4"/>
    <n v="1999"/>
    <n v="0"/>
    <s v="Central"/>
    <s v="COD"/>
    <x v="0"/>
    <n v="1234.05"/>
  </r>
  <r>
    <s v="ORD03368"/>
    <d v="2026-08-02T00:00:00"/>
    <s v="C1372"/>
    <s v="Laptop Stand"/>
    <x v="4"/>
    <n v="2"/>
    <n v="7999"/>
    <n v="0"/>
    <s v="South"/>
    <s v="Debit Card"/>
    <x v="0"/>
    <n v="7996"/>
  </r>
  <r>
    <s v="ORD03369"/>
    <d v="2026-08-22T00:00:00"/>
    <s v="C1447"/>
    <s v="Bluetooth Speaker"/>
    <x v="2"/>
    <n v="3"/>
    <n v="999"/>
    <n v="0.05"/>
    <s v="East"/>
    <s v="UPI"/>
    <x v="0"/>
    <n v="15998"/>
  </r>
  <r>
    <s v="ORD03370"/>
    <d v="2026-06-01T00:00:00"/>
    <s v="C1346"/>
    <s v="Keyboard"/>
    <x v="1"/>
    <n v="5"/>
    <n v="1299"/>
    <n v="0"/>
    <s v="West"/>
    <s v="COD"/>
    <x v="1"/>
    <n v="2847.15"/>
  </r>
  <r>
    <s v="ORD03371"/>
    <d v="2026-08-09T00:00:00"/>
    <s v="C1580"/>
    <s v="Bluetooth Speaker"/>
    <x v="2"/>
    <n v="4"/>
    <n v="1499"/>
    <n v="0"/>
    <s v="South"/>
    <s v="COD"/>
    <x v="1"/>
    <n v="6495"/>
  </r>
  <r>
    <s v="ORD03372"/>
    <d v="2026-06-02T00:00:00"/>
    <s v="C1266"/>
    <s v="Keyboard"/>
    <x v="1"/>
    <n v="3"/>
    <n v="7999"/>
    <n v="0.15"/>
    <s v="North"/>
    <s v="UPI"/>
    <x v="0"/>
    <n v="5996"/>
  </r>
  <r>
    <s v="ORD03373"/>
    <d v="2026-09-11T00:00:00"/>
    <s v="C1702"/>
    <s v="Monitor"/>
    <x v="4"/>
    <n v="3"/>
    <n v="1499"/>
    <n v="0.15"/>
    <s v="Central"/>
    <s v="COD"/>
    <x v="1"/>
    <n v="20397.45"/>
  </r>
  <r>
    <s v="ORD03374"/>
    <d v="2026-04-17T00:00:00"/>
    <s v="C1324"/>
    <s v="Keyboard"/>
    <x v="2"/>
    <n v="4"/>
    <n v="799"/>
    <n v="0.05"/>
    <s v="West"/>
    <s v="Credit Card"/>
    <x v="0"/>
    <n v="3822.45"/>
  </r>
  <r>
    <s v="ORD03375"/>
    <d v="2026-08-01T00:00:00"/>
    <s v="C1629"/>
    <s v="Wireless Mouse"/>
    <x v="3"/>
    <n v="1"/>
    <n v="4999"/>
    <n v="0.1"/>
    <s v="East"/>
    <s v="UPI"/>
    <x v="0"/>
    <n v="3036.2"/>
  </r>
  <r>
    <s v="ORD03376"/>
    <d v="2026-02-07T00:00:00"/>
    <s v="C1757"/>
    <s v="Headphones"/>
    <x v="2"/>
    <n v="1"/>
    <n v="799"/>
    <n v="0"/>
    <s v="East"/>
    <s v="Debit Card"/>
    <x v="0"/>
    <n v="4499.1000000000004"/>
  </r>
  <r>
    <s v="ORD03377"/>
    <d v="2026-02-03T00:00:00"/>
    <s v="C1560"/>
    <s v="Headphones"/>
    <x v="1"/>
    <n v="1"/>
    <n v="799"/>
    <n v="0"/>
    <s v="South"/>
    <s v="Net Banking"/>
    <x v="0"/>
    <n v="799"/>
  </r>
  <r>
    <s v="ORD03378"/>
    <d v="2026-09-15T00:00:00"/>
    <s v="C1596"/>
    <s v="USB-C Hub"/>
    <x v="0"/>
    <n v="2"/>
    <n v="1499"/>
    <n v="0.15"/>
    <s v="South"/>
    <s v="UPI"/>
    <x v="0"/>
    <n v="799"/>
  </r>
  <r>
    <s v="ORD03379"/>
    <d v="2026-02-02T00:00:00"/>
    <s v="C1047"/>
    <s v="Bluetooth Speaker"/>
    <x v="0"/>
    <n v="2"/>
    <n v="599"/>
    <n v="0"/>
    <s v="South"/>
    <s v="Net Banking"/>
    <x v="0"/>
    <n v="2548.2999999999997"/>
  </r>
  <r>
    <s v="ORD03380"/>
    <d v="2026-06-27T00:00:00"/>
    <s v="C1396"/>
    <s v="Webcam"/>
    <x v="4"/>
    <n v="1"/>
    <n v="499"/>
    <n v="0.15"/>
    <s v="Central"/>
    <s v="Net Banking"/>
    <x v="0"/>
    <n v="1198"/>
  </r>
  <r>
    <s v="ORD03381"/>
    <d v="2026-02-04T00:00:00"/>
    <s v="C1669"/>
    <s v="Laptop Stand"/>
    <x v="4"/>
    <n v="2"/>
    <n v="2499"/>
    <n v="0"/>
    <s v="East"/>
    <s v="UPI"/>
    <x v="1"/>
    <n v="424.15"/>
  </r>
  <r>
    <s v="ORD03382"/>
    <d v="2026-07-05T00:00:00"/>
    <s v="C1191"/>
    <s v="Bluetooth Speaker"/>
    <x v="4"/>
    <n v="2"/>
    <n v="1499"/>
    <n v="0"/>
    <s v="Central"/>
    <s v="COD"/>
    <x v="1"/>
    <n v="4998"/>
  </r>
  <r>
    <s v="ORD03383"/>
    <d v="2026-01-28T00:00:00"/>
    <s v="C1421"/>
    <s v="Headphones"/>
    <x v="3"/>
    <n v="1"/>
    <n v="1499"/>
    <n v="0"/>
    <s v="South"/>
    <s v="UPI"/>
    <x v="0"/>
    <n v="2998"/>
  </r>
  <r>
    <s v="ORD03384"/>
    <d v="2026-08-16T00:00:00"/>
    <s v="C1778"/>
    <s v="Bluetooth Speaker"/>
    <x v="2"/>
    <n v="1"/>
    <n v="7999"/>
    <n v="0.1"/>
    <s v="Central"/>
    <s v="UPI"/>
    <x v="1"/>
    <n v="1499"/>
  </r>
  <r>
    <s v="ORD03385"/>
    <d v="2026-08-20T00:00:00"/>
    <s v="C1221"/>
    <s v="Bluetooth Speaker"/>
    <x v="3"/>
    <n v="3"/>
    <n v="1299"/>
    <n v="0"/>
    <s v="South"/>
    <s v="Credit Card"/>
    <x v="0"/>
    <n v="7199.1"/>
  </r>
  <r>
    <s v="ORD03386"/>
    <d v="2026-07-26T00:00:00"/>
    <s v="C1494"/>
    <s v="Keyboard"/>
    <x v="1"/>
    <n v="1"/>
    <n v="499"/>
    <n v="0"/>
    <s v="South"/>
    <s v="COD"/>
    <x v="1"/>
    <n v="3897"/>
  </r>
  <r>
    <s v="ORD03387"/>
    <d v="2026-03-14T00:00:00"/>
    <s v="C1323"/>
    <s v="Laptop Stand"/>
    <x v="3"/>
    <n v="4"/>
    <n v="799"/>
    <n v="0"/>
    <s v="East"/>
    <s v="Credit Card"/>
    <x v="2"/>
    <n v="499"/>
  </r>
  <r>
    <s v="ORD03388"/>
    <d v="2026-09-01T00:00:00"/>
    <s v="C1518"/>
    <s v="Keyboard"/>
    <x v="4"/>
    <n v="1"/>
    <n v="499"/>
    <n v="0.1"/>
    <s v="South"/>
    <s v="COD"/>
    <x v="2"/>
    <n v="3196"/>
  </r>
  <r>
    <s v="ORD03389"/>
    <d v="2026-03-09T00:00:00"/>
    <s v="C1616"/>
    <s v="USB-C Hub"/>
    <x v="1"/>
    <n v="4"/>
    <n v="4999"/>
    <n v="0"/>
    <s v="East"/>
    <s v="Net Banking"/>
    <x v="0"/>
    <n v="449.1"/>
  </r>
  <r>
    <s v="ORD03390"/>
    <d v="2026-06-14T00:00:00"/>
    <s v="C1152"/>
    <s v="Monitor"/>
    <x v="2"/>
    <n v="4"/>
    <n v="599"/>
    <n v="0.15"/>
    <s v="North"/>
    <s v="Net Banking"/>
    <x v="0"/>
    <n v="19996"/>
  </r>
  <r>
    <s v="ORD03391"/>
    <d v="2026-03-18T00:00:00"/>
    <s v="C1752"/>
    <s v="Headphones"/>
    <x v="0"/>
    <n v="3"/>
    <n v="499"/>
    <n v="0.1"/>
    <s v="West"/>
    <s v="Credit Card"/>
    <x v="0"/>
    <n v="2036.6"/>
  </r>
  <r>
    <s v="ORD03392"/>
    <d v="2026-02-11T00:00:00"/>
    <s v="C1735"/>
    <s v="Laptop Stand"/>
    <x v="4"/>
    <n v="3"/>
    <n v="4999"/>
    <n v="0.05"/>
    <s v="South"/>
    <s v="UPI"/>
    <x v="0"/>
    <n v="1347.3"/>
  </r>
  <r>
    <s v="ORD03393"/>
    <d v="2026-05-29T00:00:00"/>
    <s v="C1584"/>
    <s v="Wireless Mouse"/>
    <x v="1"/>
    <n v="5"/>
    <n v="499"/>
    <n v="0.1"/>
    <s v="Central"/>
    <s v="Credit Card"/>
    <x v="0"/>
    <n v="14247.15"/>
  </r>
  <r>
    <s v="ORD03394"/>
    <d v="2026-04-23T00:00:00"/>
    <s v="C1222"/>
    <s v="Power Bank"/>
    <x v="0"/>
    <n v="3"/>
    <n v="2499"/>
    <n v="0"/>
    <s v="North"/>
    <s v="Net Banking"/>
    <x v="0"/>
    <n v="2245.5"/>
  </r>
  <r>
    <s v="ORD03395"/>
    <d v="2026-05-19T00:00:00"/>
    <s v="C1169"/>
    <s v="USB-C Hub"/>
    <x v="3"/>
    <n v="4"/>
    <n v="1299"/>
    <n v="0.05"/>
    <s v="North"/>
    <s v="Net Banking"/>
    <x v="2"/>
    <n v="7497"/>
  </r>
  <r>
    <s v="ORD03396"/>
    <d v="2026-03-26T00:00:00"/>
    <s v="C1760"/>
    <s v="Webcam"/>
    <x v="2"/>
    <n v="1"/>
    <n v="2499"/>
    <n v="0"/>
    <s v="Central"/>
    <s v="COD"/>
    <x v="0"/>
    <n v="4936.2"/>
  </r>
  <r>
    <s v="ORD03397"/>
    <d v="2026-01-24T00:00:00"/>
    <s v="C1160"/>
    <s v="Headphones"/>
    <x v="2"/>
    <n v="2"/>
    <n v="7999"/>
    <n v="0.1"/>
    <s v="East"/>
    <s v="Debit Card"/>
    <x v="0"/>
    <n v="2499"/>
  </r>
  <r>
    <s v="ORD03398"/>
    <d v="2026-01-19T00:00:00"/>
    <s v="C1346"/>
    <s v="Monitor"/>
    <x v="0"/>
    <n v="3"/>
    <n v="1999"/>
    <n v="0.15"/>
    <s v="Central"/>
    <s v="Debit Card"/>
    <x v="0"/>
    <n v="14398.2"/>
  </r>
  <r>
    <s v="ORD03399"/>
    <d v="2026-06-10T00:00:00"/>
    <s v="C1318"/>
    <s v="Bluetooth Speaker"/>
    <x v="0"/>
    <n v="2"/>
    <n v="999"/>
    <n v="0.05"/>
    <s v="East"/>
    <s v="Debit Card"/>
    <x v="0"/>
    <n v="5097.45"/>
  </r>
  <r>
    <s v="ORD03400"/>
    <d v="2026-06-02T00:00:00"/>
    <s v="C1335"/>
    <s v="Laptop Stand"/>
    <x v="4"/>
    <n v="1"/>
    <n v="799"/>
    <n v="0.1"/>
    <s v="East"/>
    <s v="Credit Card"/>
    <x v="0"/>
    <n v="1898.1"/>
  </r>
  <r>
    <s v="ORD03401"/>
    <d v="2026-02-19T00:00:00"/>
    <s v="C1090"/>
    <s v="Webcam"/>
    <x v="4"/>
    <n v="3"/>
    <n v="1499"/>
    <n v="0"/>
    <s v="Central"/>
    <s v="Net Banking"/>
    <x v="0"/>
    <n v="719.1"/>
  </r>
  <r>
    <s v="ORD03402"/>
    <d v="2026-02-10T00:00:00"/>
    <s v="C1661"/>
    <s v="USB-C Hub"/>
    <x v="2"/>
    <n v="1"/>
    <n v="799"/>
    <n v="0.05"/>
    <s v="West"/>
    <s v="Net Banking"/>
    <x v="0"/>
    <n v="4497"/>
  </r>
  <r>
    <s v="ORD03403"/>
    <d v="2026-09-20T00:00:00"/>
    <s v="C1126"/>
    <s v="Laptop Stand"/>
    <x v="4"/>
    <n v="3"/>
    <n v="7999"/>
    <n v="0.15"/>
    <s v="Central"/>
    <s v="UPI"/>
    <x v="0"/>
    <n v="759.05"/>
  </r>
  <r>
    <s v="ORD03404"/>
    <d v="2026-02-18T00:00:00"/>
    <s v="C1127"/>
    <s v="Mechanical Keyboard"/>
    <x v="4"/>
    <n v="4"/>
    <n v="7999"/>
    <n v="0.15"/>
    <s v="East"/>
    <s v="COD"/>
    <x v="0"/>
    <n v="20397.45"/>
  </r>
  <r>
    <s v="ORD03405"/>
    <d v="2026-04-19T00:00:00"/>
    <s v="C1455"/>
    <s v="Power Bank"/>
    <x v="3"/>
    <n v="2"/>
    <n v="4999"/>
    <n v="0"/>
    <s v="Central"/>
    <s v="Net Banking"/>
    <x v="1"/>
    <n v="27196.6"/>
  </r>
  <r>
    <s v="ORD03406"/>
    <d v="2026-01-14T00:00:00"/>
    <s v="C1077"/>
    <s v="Headphones"/>
    <x v="2"/>
    <n v="2"/>
    <n v="799"/>
    <n v="0.05"/>
    <s v="North"/>
    <s v="UPI"/>
    <x v="0"/>
    <n v="9998"/>
  </r>
  <r>
    <s v="ORD03407"/>
    <d v="2026-01-15T00:00:00"/>
    <s v="C1466"/>
    <s v="Bluetooth Speaker"/>
    <x v="1"/>
    <n v="3"/>
    <n v="499"/>
    <n v="0"/>
    <s v="North"/>
    <s v="Debit Card"/>
    <x v="2"/>
    <n v="1518.1"/>
  </r>
  <r>
    <s v="ORD03408"/>
    <d v="2026-05-14T00:00:00"/>
    <s v="C1678"/>
    <s v="Power Bank"/>
    <x v="0"/>
    <n v="4"/>
    <n v="7999"/>
    <n v="0"/>
    <s v="South"/>
    <s v="Net Banking"/>
    <x v="0"/>
    <n v="1497"/>
  </r>
  <r>
    <s v="ORD03409"/>
    <d v="2026-03-07T00:00:00"/>
    <s v="C1461"/>
    <s v="Laptop Stand"/>
    <x v="4"/>
    <n v="3"/>
    <n v="7999"/>
    <n v="0"/>
    <s v="North"/>
    <s v="COD"/>
    <x v="0"/>
    <n v="31996"/>
  </r>
  <r>
    <s v="ORD03410"/>
    <d v="2026-06-05T00:00:00"/>
    <s v="C1761"/>
    <s v="Wireless Mouse"/>
    <x v="0"/>
    <n v="5"/>
    <n v="4999"/>
    <n v="0.15"/>
    <s v="Central"/>
    <s v="Net Banking"/>
    <x v="1"/>
    <n v="23997"/>
  </r>
  <r>
    <s v="ORD03411"/>
    <d v="2026-09-23T00:00:00"/>
    <s v="C1244"/>
    <s v="Wireless Mouse"/>
    <x v="4"/>
    <n v="1"/>
    <n v="499"/>
    <n v="0"/>
    <s v="North"/>
    <s v="Net Banking"/>
    <x v="1"/>
    <n v="21245.75"/>
  </r>
  <r>
    <s v="ORD03412"/>
    <d v="2026-07-06T00:00:00"/>
    <s v="C1208"/>
    <s v="Keyboard"/>
    <x v="1"/>
    <n v="4"/>
    <n v="4999"/>
    <n v="0"/>
    <s v="Central"/>
    <s v="COD"/>
    <x v="0"/>
    <n v="499"/>
  </r>
  <r>
    <s v="ORD03413"/>
    <d v="2026-02-08T00:00:00"/>
    <s v="C1377"/>
    <s v="Laptop Stand"/>
    <x v="0"/>
    <n v="1"/>
    <n v="999"/>
    <n v="0"/>
    <s v="North"/>
    <s v="Debit Card"/>
    <x v="0"/>
    <n v="19996"/>
  </r>
  <r>
    <s v="ORD03414"/>
    <d v="2026-01-07T00:00:00"/>
    <s v="C1184"/>
    <s v="Webcam"/>
    <x v="3"/>
    <n v="4"/>
    <n v="499"/>
    <n v="0"/>
    <s v="Central"/>
    <s v="Credit Card"/>
    <x v="0"/>
    <n v="999"/>
  </r>
  <r>
    <s v="ORD03415"/>
    <d v="2026-06-14T00:00:00"/>
    <s v="C1223"/>
    <s v="Laptop Stand"/>
    <x v="3"/>
    <n v="2"/>
    <n v="499"/>
    <n v="0"/>
    <s v="Central"/>
    <s v="Credit Card"/>
    <x v="2"/>
    <n v="1996"/>
  </r>
  <r>
    <s v="ORD03416"/>
    <d v="2026-07-01T00:00:00"/>
    <s v="C1194"/>
    <s v="Laptop Stand"/>
    <x v="1"/>
    <n v="2"/>
    <n v="2499"/>
    <n v="0.15"/>
    <s v="South"/>
    <s v="UPI"/>
    <x v="0"/>
    <n v="998"/>
  </r>
  <r>
    <s v="ORD03417"/>
    <d v="2026-05-22T00:00:00"/>
    <s v="C1308"/>
    <s v="Headphones"/>
    <x v="1"/>
    <n v="3"/>
    <n v="7999"/>
    <n v="0.15"/>
    <s v="South"/>
    <s v="UPI"/>
    <x v="0"/>
    <n v="4248.3"/>
  </r>
  <r>
    <s v="ORD03418"/>
    <d v="2026-07-10T00:00:00"/>
    <s v="C1185"/>
    <s v="Mechanical Keyboard"/>
    <x v="4"/>
    <n v="3"/>
    <n v="999"/>
    <n v="0.15"/>
    <s v="North"/>
    <s v="COD"/>
    <x v="0"/>
    <n v="20397.45"/>
  </r>
  <r>
    <s v="ORD03419"/>
    <d v="2026-01-07T00:00:00"/>
    <s v="C1442"/>
    <s v="Keyboard"/>
    <x v="1"/>
    <n v="1"/>
    <n v="599"/>
    <n v="0.15"/>
    <s v="South"/>
    <s v="COD"/>
    <x v="0"/>
    <n v="2547.4499999999998"/>
  </r>
  <r>
    <s v="ORD03420"/>
    <d v="2026-09-28T00:00:00"/>
    <s v="C1492"/>
    <s v="USB-C Hub"/>
    <x v="0"/>
    <n v="2"/>
    <n v="999"/>
    <n v="0.05"/>
    <s v="North"/>
    <s v="UPI"/>
    <x v="1"/>
    <n v="509.15"/>
  </r>
  <r>
    <s v="ORD03421"/>
    <d v="2026-05-23T00:00:00"/>
    <s v="C1612"/>
    <s v="Mechanical Keyboard"/>
    <x v="0"/>
    <n v="3"/>
    <n v="1999"/>
    <n v="0"/>
    <s v="East"/>
    <s v="Credit Card"/>
    <x v="0"/>
    <n v="1898.1"/>
  </r>
  <r>
    <s v="ORD03422"/>
    <d v="2026-07-28T00:00:00"/>
    <s v="C1781"/>
    <s v="Bluetooth Speaker"/>
    <x v="2"/>
    <n v="3"/>
    <n v="1499"/>
    <n v="0"/>
    <s v="North"/>
    <s v="COD"/>
    <x v="0"/>
    <n v="5997"/>
  </r>
  <r>
    <s v="ORD03423"/>
    <d v="2026-03-15T00:00:00"/>
    <s v="C1355"/>
    <s v="Monitor"/>
    <x v="1"/>
    <n v="3"/>
    <n v="4999"/>
    <n v="0.1"/>
    <s v="North"/>
    <s v="COD"/>
    <x v="0"/>
    <n v="4497"/>
  </r>
  <r>
    <s v="ORD03424"/>
    <d v="2026-08-21T00:00:00"/>
    <s v="C1341"/>
    <s v="Power Bank"/>
    <x v="1"/>
    <n v="4"/>
    <n v="799"/>
    <n v="0.15"/>
    <s v="South"/>
    <s v="COD"/>
    <x v="1"/>
    <n v="13497.300000000001"/>
  </r>
  <r>
    <s v="ORD03425"/>
    <d v="2026-03-29T00:00:00"/>
    <s v="C1621"/>
    <s v="USB-C Hub"/>
    <x v="3"/>
    <n v="5"/>
    <n v="2499"/>
    <n v="0"/>
    <s v="West"/>
    <s v="Debit Card"/>
    <x v="2"/>
    <n v="2716.6"/>
  </r>
  <r>
    <s v="ORD03426"/>
    <d v="2026-08-03T00:00:00"/>
    <s v="C1153"/>
    <s v="Keyboard"/>
    <x v="3"/>
    <n v="3"/>
    <n v="4999"/>
    <n v="0.05"/>
    <s v="Central"/>
    <s v="UPI"/>
    <x v="0"/>
    <n v="12495"/>
  </r>
  <r>
    <s v="ORD03427"/>
    <d v="2026-08-12T00:00:00"/>
    <s v="C1457"/>
    <s v="Laptop Stand"/>
    <x v="4"/>
    <n v="3"/>
    <n v="1499"/>
    <n v="0"/>
    <s v="South"/>
    <s v="Credit Card"/>
    <x v="0"/>
    <n v="14247.15"/>
  </r>
  <r>
    <s v="ORD03428"/>
    <d v="2026-08-13T00:00:00"/>
    <s v="C1288"/>
    <s v="Power Bank"/>
    <x v="3"/>
    <n v="1"/>
    <n v="1999"/>
    <n v="0"/>
    <s v="West"/>
    <s v="Credit Card"/>
    <x v="2"/>
    <n v="4497"/>
  </r>
  <r>
    <s v="ORD03429"/>
    <d v="2026-03-25T00:00:00"/>
    <s v="C1517"/>
    <s v="Headphones"/>
    <x v="3"/>
    <n v="5"/>
    <n v="799"/>
    <n v="0.15"/>
    <s v="North"/>
    <s v="COD"/>
    <x v="0"/>
    <n v="1999"/>
  </r>
  <r>
    <s v="ORD03430"/>
    <d v="2026-03-06T00:00:00"/>
    <s v="C1536"/>
    <s v="USB-C Hub"/>
    <x v="3"/>
    <n v="5"/>
    <n v="7999"/>
    <n v="0.1"/>
    <s v="South"/>
    <s v="Net Banking"/>
    <x v="1"/>
    <n v="3395.75"/>
  </r>
  <r>
    <s v="ORD03431"/>
    <d v="2026-05-01T00:00:00"/>
    <s v="C1128"/>
    <s v="USB-C Hub"/>
    <x v="4"/>
    <n v="1"/>
    <n v="1299"/>
    <n v="0.05"/>
    <s v="Central"/>
    <s v="Debit Card"/>
    <x v="0"/>
    <n v="35995.5"/>
  </r>
  <r>
    <s v="ORD03432"/>
    <d v="2026-03-29T00:00:00"/>
    <s v="C1002"/>
    <s v="Power Bank"/>
    <x v="0"/>
    <n v="3"/>
    <n v="1999"/>
    <n v="0"/>
    <s v="West"/>
    <s v="COD"/>
    <x v="0"/>
    <n v="1234.05"/>
  </r>
  <r>
    <s v="ORD03433"/>
    <d v="2026-04-15T00:00:00"/>
    <s v="C1537"/>
    <s v="Bluetooth Speaker"/>
    <x v="2"/>
    <n v="3"/>
    <n v="999"/>
    <n v="0"/>
    <s v="North"/>
    <s v="Net Banking"/>
    <x v="0"/>
    <n v="5997"/>
  </r>
  <r>
    <s v="ORD03434"/>
    <d v="2026-06-25T00:00:00"/>
    <s v="C1266"/>
    <s v="USB-C Hub"/>
    <x v="3"/>
    <n v="3"/>
    <n v="1499"/>
    <n v="0"/>
    <s v="Central"/>
    <s v="Debit Card"/>
    <x v="0"/>
    <n v="2997"/>
  </r>
  <r>
    <s v="ORD03435"/>
    <d v="2026-08-25T00:00:00"/>
    <s v="C1012"/>
    <s v="Headphones"/>
    <x v="0"/>
    <n v="4"/>
    <n v="1299"/>
    <n v="0.1"/>
    <s v="North"/>
    <s v="UPI"/>
    <x v="0"/>
    <n v="4497"/>
  </r>
  <r>
    <s v="ORD03436"/>
    <d v="2026-02-01T00:00:00"/>
    <s v="C1724"/>
    <s v="Keyboard"/>
    <x v="2"/>
    <n v="4"/>
    <n v="599"/>
    <n v="0"/>
    <s v="North"/>
    <s v="Credit Card"/>
    <x v="2"/>
    <n v="4676.4000000000005"/>
  </r>
  <r>
    <s v="ORD03437"/>
    <d v="2026-06-16T00:00:00"/>
    <s v="C1773"/>
    <s v="Headphones"/>
    <x v="3"/>
    <n v="5"/>
    <n v="799"/>
    <n v="0"/>
    <s v="West"/>
    <s v="UPI"/>
    <x v="0"/>
    <n v="2396"/>
  </r>
  <r>
    <s v="ORD03438"/>
    <d v="2026-09-27T00:00:00"/>
    <s v="C1080"/>
    <s v="Wireless Mouse"/>
    <x v="0"/>
    <n v="4"/>
    <n v="1499"/>
    <n v="0.05"/>
    <s v="North"/>
    <s v="Net Banking"/>
    <x v="1"/>
    <n v="3995"/>
  </r>
  <r>
    <s v="ORD03439"/>
    <d v="2026-04-24T00:00:00"/>
    <s v="C1250"/>
    <s v="Power Bank"/>
    <x v="2"/>
    <n v="5"/>
    <n v="799"/>
    <n v="0.15"/>
    <s v="East"/>
    <s v="COD"/>
    <x v="2"/>
    <n v="5696.2"/>
  </r>
  <r>
    <s v="ORD03440"/>
    <d v="2026-05-15T00:00:00"/>
    <s v="C1061"/>
    <s v="Monitor"/>
    <x v="1"/>
    <n v="5"/>
    <n v="1499"/>
    <n v="0.05"/>
    <s v="North"/>
    <s v="UPI"/>
    <x v="2"/>
    <n v="3395.75"/>
  </r>
  <r>
    <s v="ORD03441"/>
    <d v="2026-08-01T00:00:00"/>
    <s v="C1287"/>
    <s v="Bluetooth Speaker"/>
    <x v="3"/>
    <n v="1"/>
    <n v="7999"/>
    <n v="0.05"/>
    <s v="East"/>
    <s v="COD"/>
    <x v="1"/>
    <n v="7120.25"/>
  </r>
  <r>
    <s v="ORD03442"/>
    <d v="2026-04-02T00:00:00"/>
    <s v="C1554"/>
    <s v="USB-C Hub"/>
    <x v="1"/>
    <n v="2"/>
    <n v="7999"/>
    <n v="0.05"/>
    <s v="West"/>
    <s v="COD"/>
    <x v="1"/>
    <n v="7599.0499999999993"/>
  </r>
  <r>
    <s v="ORD03443"/>
    <d v="2026-01-14T00:00:00"/>
    <s v="C1682"/>
    <s v="Bluetooth Speaker"/>
    <x v="1"/>
    <n v="4"/>
    <n v="799"/>
    <n v="0"/>
    <s v="South"/>
    <s v="COD"/>
    <x v="0"/>
    <n v="15198.099999999999"/>
  </r>
  <r>
    <s v="ORD03444"/>
    <d v="2026-04-14T00:00:00"/>
    <s v="C1436"/>
    <s v="Power Bank"/>
    <x v="1"/>
    <n v="5"/>
    <n v="1299"/>
    <n v="0.05"/>
    <s v="North"/>
    <s v="Credit Card"/>
    <x v="2"/>
    <n v="3196"/>
  </r>
  <r>
    <s v="ORD03445"/>
    <d v="2026-05-09T00:00:00"/>
    <s v="C1522"/>
    <s v="Bluetooth Speaker"/>
    <x v="2"/>
    <n v="1"/>
    <n v="1499"/>
    <n v="0.05"/>
    <s v="South"/>
    <s v="Net Banking"/>
    <x v="2"/>
    <n v="6170.25"/>
  </r>
  <r>
    <s v="ORD03446"/>
    <d v="2026-01-25T00:00:00"/>
    <s v="C1064"/>
    <s v="Keyboard"/>
    <x v="1"/>
    <n v="1"/>
    <n v="1999"/>
    <n v="0.1"/>
    <s v="North"/>
    <s v="COD"/>
    <x v="0"/>
    <n v="1424.05"/>
  </r>
  <r>
    <s v="ORD03447"/>
    <d v="2026-05-31T00:00:00"/>
    <s v="C1064"/>
    <s v="Headphones"/>
    <x v="1"/>
    <n v="1"/>
    <n v="1499"/>
    <n v="0"/>
    <s v="North"/>
    <s v="COD"/>
    <x v="0"/>
    <n v="1799.1000000000001"/>
  </r>
  <r>
    <s v="ORD03448"/>
    <d v="2026-09-11T00:00:00"/>
    <s v="C1745"/>
    <s v="Monitor"/>
    <x v="4"/>
    <n v="4"/>
    <n v="499"/>
    <n v="0.1"/>
    <s v="Central"/>
    <s v="Net Banking"/>
    <x v="1"/>
    <n v="1499"/>
  </r>
  <r>
    <s v="ORD03449"/>
    <d v="2026-03-15T00:00:00"/>
    <s v="C1033"/>
    <s v="Power Bank"/>
    <x v="3"/>
    <n v="2"/>
    <n v="999"/>
    <n v="0.15"/>
    <s v="Central"/>
    <s v="Debit Card"/>
    <x v="0"/>
    <n v="1796.4"/>
  </r>
  <r>
    <s v="ORD03450"/>
    <d v="2026-05-01T00:00:00"/>
    <s v="C1242"/>
    <s v="Power Bank"/>
    <x v="0"/>
    <n v="1"/>
    <n v="4999"/>
    <n v="0.15"/>
    <s v="North"/>
    <s v="Credit Card"/>
    <x v="0"/>
    <n v="1698.3"/>
  </r>
  <r>
    <s v="ORD03451"/>
    <d v="2026-01-23T00:00:00"/>
    <s v="C1441"/>
    <s v="Power Bank"/>
    <x v="0"/>
    <n v="5"/>
    <n v="1999"/>
    <n v="0.1"/>
    <s v="North"/>
    <s v="UPI"/>
    <x v="1"/>
    <n v="4249.1499999999996"/>
  </r>
  <r>
    <s v="ORD03452"/>
    <d v="2026-07-30T00:00:00"/>
    <s v="C1043"/>
    <s v="Wireless Mouse"/>
    <x v="4"/>
    <n v="5"/>
    <n v="999"/>
    <n v="0"/>
    <s v="West"/>
    <s v="COD"/>
    <x v="0"/>
    <n v="8995.5"/>
  </r>
  <r>
    <s v="ORD03453"/>
    <d v="2026-06-14T00:00:00"/>
    <s v="C1039"/>
    <s v="Bluetooth Speaker"/>
    <x v="4"/>
    <n v="3"/>
    <n v="7999"/>
    <n v="0.1"/>
    <s v="South"/>
    <s v="UPI"/>
    <x v="2"/>
    <n v="4995"/>
  </r>
  <r>
    <s v="ORD03454"/>
    <d v="2026-03-01T00:00:00"/>
    <s v="C1515"/>
    <s v="Keyboard"/>
    <x v="0"/>
    <n v="2"/>
    <n v="7999"/>
    <n v="0.15"/>
    <s v="West"/>
    <s v="Debit Card"/>
    <x v="0"/>
    <n v="21597.3"/>
  </r>
  <r>
    <s v="ORD03455"/>
    <d v="2026-02-18T00:00:00"/>
    <s v="C1029"/>
    <s v="Webcam"/>
    <x v="3"/>
    <n v="5"/>
    <n v="7999"/>
    <n v="0.15"/>
    <s v="South"/>
    <s v="UPI"/>
    <x v="0"/>
    <n v="13598.3"/>
  </r>
  <r>
    <s v="ORD03456"/>
    <d v="2026-02-28T00:00:00"/>
    <s v="C1043"/>
    <s v="USB-C Hub"/>
    <x v="0"/>
    <n v="5"/>
    <n v="1499"/>
    <n v="0.15"/>
    <s v="East"/>
    <s v="Debit Card"/>
    <x v="0"/>
    <n v="33995.75"/>
  </r>
  <r>
    <s v="ORD03457"/>
    <d v="2026-01-31T00:00:00"/>
    <s v="C1236"/>
    <s v="Wireless Mouse"/>
    <x v="0"/>
    <n v="2"/>
    <n v="799"/>
    <n v="0.1"/>
    <s v="South"/>
    <s v="Debit Card"/>
    <x v="0"/>
    <n v="6370.75"/>
  </r>
  <r>
    <s v="ORD03458"/>
    <d v="2026-09-02T00:00:00"/>
    <s v="C1423"/>
    <s v="Power Bank"/>
    <x v="4"/>
    <n v="1"/>
    <n v="1499"/>
    <n v="0.05"/>
    <s v="Central"/>
    <s v="Debit Card"/>
    <x v="1"/>
    <n v="1438.2"/>
  </r>
  <r>
    <s v="ORD03459"/>
    <d v="2026-01-22T00:00:00"/>
    <s v="C1309"/>
    <s v="Wireless Mouse"/>
    <x v="0"/>
    <n v="3"/>
    <n v="1999"/>
    <n v="0.1"/>
    <s v="West"/>
    <s v="Credit Card"/>
    <x v="0"/>
    <n v="1424.05"/>
  </r>
  <r>
    <s v="ORD03460"/>
    <d v="2026-07-01T00:00:00"/>
    <s v="C1694"/>
    <s v="Wireless Mouse"/>
    <x v="1"/>
    <n v="1"/>
    <n v="799"/>
    <n v="0.1"/>
    <s v="South"/>
    <s v="UPI"/>
    <x v="2"/>
    <n v="5397.3"/>
  </r>
  <r>
    <s v="ORD03461"/>
    <d v="2026-07-03T00:00:00"/>
    <s v="C1286"/>
    <s v="Webcam"/>
    <x v="1"/>
    <n v="1"/>
    <n v="1499"/>
    <n v="0"/>
    <s v="East"/>
    <s v="COD"/>
    <x v="1"/>
    <n v="719.1"/>
  </r>
  <r>
    <s v="ORD03462"/>
    <d v="2026-09-21T00:00:00"/>
    <s v="C1567"/>
    <s v="Webcam"/>
    <x v="2"/>
    <n v="3"/>
    <n v="499"/>
    <n v="0.15"/>
    <s v="Central"/>
    <s v="Debit Card"/>
    <x v="0"/>
    <n v="1499"/>
  </r>
  <r>
    <s v="ORD03463"/>
    <d v="2026-03-22T00:00:00"/>
    <s v="C1199"/>
    <s v="Headphones"/>
    <x v="2"/>
    <n v="3"/>
    <n v="7999"/>
    <n v="0.15"/>
    <s v="South"/>
    <s v="Debit Card"/>
    <x v="0"/>
    <n v="1272.45"/>
  </r>
  <r>
    <s v="ORD03464"/>
    <d v="2026-07-16T00:00:00"/>
    <s v="C1668"/>
    <s v="Laptop Stand"/>
    <x v="0"/>
    <n v="2"/>
    <n v="799"/>
    <n v="0"/>
    <s v="North"/>
    <s v="Debit Card"/>
    <x v="0"/>
    <n v="20397.45"/>
  </r>
  <r>
    <s v="ORD03465"/>
    <d v="2026-05-19T00:00:00"/>
    <s v="C1118"/>
    <s v="Headphones"/>
    <x v="3"/>
    <n v="5"/>
    <n v="1999"/>
    <n v="0.1"/>
    <s v="East"/>
    <s v="COD"/>
    <x v="0"/>
    <n v="1598"/>
  </r>
  <r>
    <s v="ORD03466"/>
    <d v="2026-02-22T00:00:00"/>
    <s v="C1507"/>
    <s v="USB-C Hub"/>
    <x v="4"/>
    <n v="4"/>
    <n v="499"/>
    <n v="0"/>
    <s v="Central"/>
    <s v="Credit Card"/>
    <x v="2"/>
    <n v="8995.5"/>
  </r>
  <r>
    <s v="ORD03467"/>
    <d v="2026-05-29T00:00:00"/>
    <s v="C1422"/>
    <s v="Monitor"/>
    <x v="0"/>
    <n v="1"/>
    <n v="799"/>
    <n v="0.1"/>
    <s v="East"/>
    <s v="Debit Card"/>
    <x v="0"/>
    <n v="1996"/>
  </r>
  <r>
    <s v="ORD03468"/>
    <d v="2026-04-17T00:00:00"/>
    <s v="C1455"/>
    <s v="Monitor"/>
    <x v="3"/>
    <n v="3"/>
    <n v="499"/>
    <n v="0.15"/>
    <s v="North"/>
    <s v="Net Banking"/>
    <x v="0"/>
    <n v="719.1"/>
  </r>
  <r>
    <s v="ORD03469"/>
    <d v="2026-07-26T00:00:00"/>
    <s v="C1682"/>
    <s v="Mechanical Keyboard"/>
    <x v="1"/>
    <n v="3"/>
    <n v="799"/>
    <n v="0.15"/>
    <s v="Central"/>
    <s v="Net Banking"/>
    <x v="1"/>
    <n v="1272.45"/>
  </r>
  <r>
    <s v="ORD03470"/>
    <d v="2026-05-25T00:00:00"/>
    <s v="C1206"/>
    <s v="Mechanical Keyboard"/>
    <x v="0"/>
    <n v="1"/>
    <n v="499"/>
    <n v="0"/>
    <s v="East"/>
    <s v="UPI"/>
    <x v="1"/>
    <n v="2037.45"/>
  </r>
  <r>
    <s v="ORD03471"/>
    <d v="2026-08-02T00:00:00"/>
    <s v="C1708"/>
    <s v="Laptop Stand"/>
    <x v="2"/>
    <n v="4"/>
    <n v="499"/>
    <n v="0.1"/>
    <s v="North"/>
    <s v="COD"/>
    <x v="1"/>
    <n v="499"/>
  </r>
  <r>
    <s v="ORD03472"/>
    <d v="2026-06-19T00:00:00"/>
    <s v="C1062"/>
    <s v="Mechanical Keyboard"/>
    <x v="0"/>
    <n v="4"/>
    <n v="999"/>
    <n v="0.1"/>
    <s v="Central"/>
    <s v="COD"/>
    <x v="2"/>
    <n v="1796.4"/>
  </r>
  <r>
    <s v="ORD03473"/>
    <d v="2026-02-24T00:00:00"/>
    <s v="C1754"/>
    <s v="Power Bank"/>
    <x v="1"/>
    <n v="3"/>
    <n v="4999"/>
    <n v="0"/>
    <s v="East"/>
    <s v="UPI"/>
    <x v="1"/>
    <n v="3596.4"/>
  </r>
  <r>
    <s v="ORD03474"/>
    <d v="2026-04-08T00:00:00"/>
    <s v="C1376"/>
    <s v="Webcam"/>
    <x v="2"/>
    <n v="3"/>
    <n v="1499"/>
    <n v="0.15"/>
    <s v="West"/>
    <s v="COD"/>
    <x v="2"/>
    <n v="14997"/>
  </r>
  <r>
    <s v="ORD03475"/>
    <d v="2026-09-21T00:00:00"/>
    <s v="C1647"/>
    <s v="Monitor"/>
    <x v="3"/>
    <n v="3"/>
    <n v="599"/>
    <n v="0"/>
    <s v="Central"/>
    <s v="Net Banking"/>
    <x v="1"/>
    <n v="3822.45"/>
  </r>
  <r>
    <s v="ORD03476"/>
    <d v="2026-01-23T00:00:00"/>
    <s v="C1551"/>
    <s v="Keyboard"/>
    <x v="1"/>
    <n v="3"/>
    <n v="799"/>
    <n v="0.05"/>
    <s v="Central"/>
    <s v="COD"/>
    <x v="2"/>
    <n v="1797"/>
  </r>
  <r>
    <s v="ORD03477"/>
    <d v="2026-04-24T00:00:00"/>
    <s v="C1251"/>
    <s v="Power Bank"/>
    <x v="1"/>
    <n v="5"/>
    <n v="999"/>
    <n v="0.05"/>
    <s v="East"/>
    <s v="Debit Card"/>
    <x v="1"/>
    <n v="2277.15"/>
  </r>
  <r>
    <s v="ORD03478"/>
    <d v="2026-09-27T00:00:00"/>
    <s v="C1595"/>
    <s v="USB-C Hub"/>
    <x v="2"/>
    <n v="5"/>
    <n v="2499"/>
    <n v="0.15"/>
    <s v="Central"/>
    <s v="UPI"/>
    <x v="0"/>
    <n v="4745.25"/>
  </r>
  <r>
    <s v="ORD03479"/>
    <d v="2026-09-27T00:00:00"/>
    <s v="C1439"/>
    <s v="Headphones"/>
    <x v="0"/>
    <n v="1"/>
    <n v="7999"/>
    <n v="0.15"/>
    <s v="Central"/>
    <s v="UPI"/>
    <x v="0"/>
    <n v="10620.75"/>
  </r>
  <r>
    <s v="ORD03480"/>
    <d v="2026-04-18T00:00:00"/>
    <s v="C1710"/>
    <s v="Wireless Mouse"/>
    <x v="2"/>
    <n v="4"/>
    <n v="799"/>
    <n v="0"/>
    <s v="East"/>
    <s v="Net Banking"/>
    <x v="0"/>
    <n v="6799.15"/>
  </r>
  <r>
    <s v="ORD03481"/>
    <d v="2026-04-17T00:00:00"/>
    <s v="C1527"/>
    <s v="Keyboard"/>
    <x v="3"/>
    <n v="2"/>
    <n v="1999"/>
    <n v="0.05"/>
    <s v="East"/>
    <s v="UPI"/>
    <x v="2"/>
    <n v="3196"/>
  </r>
  <r>
    <s v="ORD03482"/>
    <d v="2026-08-30T00:00:00"/>
    <s v="C1709"/>
    <s v="Keyboard"/>
    <x v="0"/>
    <n v="5"/>
    <n v="1499"/>
    <n v="0.05"/>
    <s v="Central"/>
    <s v="Credit Card"/>
    <x v="0"/>
    <n v="3798.1"/>
  </r>
  <r>
    <s v="ORD03483"/>
    <d v="2026-08-05T00:00:00"/>
    <s v="C1497"/>
    <s v="Bluetooth Speaker"/>
    <x v="0"/>
    <n v="1"/>
    <n v="1499"/>
    <n v="0.15"/>
    <s v="South"/>
    <s v="Credit Card"/>
    <x v="0"/>
    <n v="7120.25"/>
  </r>
  <r>
    <s v="ORD03484"/>
    <d v="2026-04-03T00:00:00"/>
    <s v="C1584"/>
    <s v="Wireless Mouse"/>
    <x v="4"/>
    <n v="5"/>
    <n v="499"/>
    <n v="0"/>
    <s v="Central"/>
    <s v="COD"/>
    <x v="2"/>
    <n v="1274.1499999999999"/>
  </r>
  <r>
    <s v="ORD03485"/>
    <d v="2026-01-29T00:00:00"/>
    <s v="C1741"/>
    <s v="Power Bank"/>
    <x v="4"/>
    <n v="2"/>
    <n v="599"/>
    <n v="0"/>
    <s v="South"/>
    <s v="Credit Card"/>
    <x v="0"/>
    <n v="2495"/>
  </r>
  <r>
    <s v="ORD03486"/>
    <d v="2026-06-20T00:00:00"/>
    <s v="C1527"/>
    <s v="Laptop Stand"/>
    <x v="1"/>
    <n v="5"/>
    <n v="799"/>
    <n v="0.05"/>
    <s v="North"/>
    <s v="UPI"/>
    <x v="2"/>
    <n v="1198"/>
  </r>
  <r>
    <s v="ORD03487"/>
    <d v="2026-06-07T00:00:00"/>
    <s v="C1160"/>
    <s v="Webcam"/>
    <x v="0"/>
    <n v="2"/>
    <n v="1299"/>
    <n v="0.1"/>
    <s v="North"/>
    <s v="Credit Card"/>
    <x v="0"/>
    <n v="3795.25"/>
  </r>
  <r>
    <s v="ORD03488"/>
    <d v="2026-01-20T00:00:00"/>
    <s v="C1069"/>
    <s v="Keyboard"/>
    <x v="1"/>
    <n v="1"/>
    <n v="1499"/>
    <n v="0"/>
    <s v="North"/>
    <s v="Debit Card"/>
    <x v="0"/>
    <n v="2338.2000000000003"/>
  </r>
  <r>
    <s v="ORD03489"/>
    <d v="2026-05-01T00:00:00"/>
    <s v="C1725"/>
    <s v="Wireless Mouse"/>
    <x v="0"/>
    <n v="1"/>
    <n v="1299"/>
    <n v="0.15"/>
    <s v="Central"/>
    <s v="Credit Card"/>
    <x v="0"/>
    <n v="1499"/>
  </r>
  <r>
    <s v="ORD03490"/>
    <d v="2026-04-13T00:00:00"/>
    <s v="C1239"/>
    <s v="Laptop Stand"/>
    <x v="0"/>
    <n v="3"/>
    <n v="499"/>
    <n v="0.15"/>
    <s v="North"/>
    <s v="Credit Card"/>
    <x v="0"/>
    <n v="1104.1499999999999"/>
  </r>
  <r>
    <s v="ORD03491"/>
    <d v="2026-06-10T00:00:00"/>
    <s v="C1473"/>
    <s v="Webcam"/>
    <x v="1"/>
    <n v="4"/>
    <n v="499"/>
    <n v="0"/>
    <s v="West"/>
    <s v="Debit Card"/>
    <x v="0"/>
    <n v="1272.45"/>
  </r>
  <r>
    <s v="ORD03492"/>
    <d v="2026-09-11T00:00:00"/>
    <s v="C1557"/>
    <s v="Headphones"/>
    <x v="1"/>
    <n v="1"/>
    <n v="799"/>
    <n v="0.05"/>
    <s v="North"/>
    <s v="Net Banking"/>
    <x v="2"/>
    <n v="1996"/>
  </r>
  <r>
    <s v="ORD03493"/>
    <d v="2026-03-02T00:00:00"/>
    <s v="C1381"/>
    <s v="USB-C Hub"/>
    <x v="4"/>
    <n v="4"/>
    <n v="7999"/>
    <n v="0"/>
    <s v="West"/>
    <s v="COD"/>
    <x v="0"/>
    <n v="759.05"/>
  </r>
  <r>
    <s v="ORD03494"/>
    <d v="2026-03-23T00:00:00"/>
    <s v="C1467"/>
    <s v="Mechanical Keyboard"/>
    <x v="2"/>
    <n v="5"/>
    <n v="499"/>
    <n v="0"/>
    <s v="West"/>
    <s v="UPI"/>
    <x v="0"/>
    <n v="31996"/>
  </r>
  <r>
    <s v="ORD03495"/>
    <d v="2026-06-21T00:00:00"/>
    <s v="C1601"/>
    <s v="Power Bank"/>
    <x v="3"/>
    <n v="3"/>
    <n v="999"/>
    <n v="0.1"/>
    <s v="South"/>
    <s v="COD"/>
    <x v="2"/>
    <n v="2495"/>
  </r>
  <r>
    <s v="ORD03496"/>
    <d v="2026-05-17T00:00:00"/>
    <s v="C1390"/>
    <s v="Headphones"/>
    <x v="1"/>
    <n v="3"/>
    <n v="999"/>
    <n v="0"/>
    <s v="South"/>
    <s v="UPI"/>
    <x v="1"/>
    <n v="2697.3"/>
  </r>
  <r>
    <s v="ORD03497"/>
    <d v="2026-08-25T00:00:00"/>
    <s v="C1070"/>
    <s v="Bluetooth Speaker"/>
    <x v="1"/>
    <n v="4"/>
    <n v="4999"/>
    <n v="0.05"/>
    <s v="West"/>
    <s v="Debit Card"/>
    <x v="0"/>
    <n v="2997"/>
  </r>
  <r>
    <s v="ORD03498"/>
    <d v="2026-08-10T00:00:00"/>
    <s v="C1252"/>
    <s v="Keyboard"/>
    <x v="0"/>
    <n v="4"/>
    <n v="1299"/>
    <n v="0.05"/>
    <s v="East"/>
    <s v="Credit Card"/>
    <x v="2"/>
    <n v="18996.2"/>
  </r>
  <r>
    <s v="ORD03499"/>
    <d v="2026-08-27T00:00:00"/>
    <s v="C1383"/>
    <s v="Power Bank"/>
    <x v="0"/>
    <n v="1"/>
    <n v="1299"/>
    <n v="0.15"/>
    <s v="West"/>
    <s v="UPI"/>
    <x v="0"/>
    <n v="4936.2"/>
  </r>
  <r>
    <s v="ORD03500"/>
    <d v="2026-08-20T00:00:00"/>
    <s v="C1223"/>
    <s v="Wireless Mouse"/>
    <x v="3"/>
    <n v="5"/>
    <n v="4999"/>
    <n v="0"/>
    <s v="North"/>
    <s v="Net Banking"/>
    <x v="0"/>
    <n v="1104.1499999999999"/>
  </r>
  <r>
    <s v="ORD03501"/>
    <d v="2026-01-18T00:00:00"/>
    <s v="C1686"/>
    <s v="Monitor"/>
    <x v="2"/>
    <n v="1"/>
    <n v="4999"/>
    <n v="0"/>
    <s v="North"/>
    <s v="UPI"/>
    <x v="0"/>
    <n v="24995"/>
  </r>
  <r>
    <s v="ORD03502"/>
    <d v="2026-08-09T00:00:00"/>
    <s v="C1081"/>
    <s v="Bluetooth Speaker"/>
    <x v="1"/>
    <n v="3"/>
    <n v="799"/>
    <n v="0.15"/>
    <s v="South"/>
    <s v="Debit Card"/>
    <x v="0"/>
    <n v="4999"/>
  </r>
  <r>
    <s v="ORD03503"/>
    <d v="2026-09-05T00:00:00"/>
    <s v="C1730"/>
    <s v="USB-C Hub"/>
    <x v="0"/>
    <n v="5"/>
    <n v="4999"/>
    <n v="0"/>
    <s v="South"/>
    <s v="UPI"/>
    <x v="0"/>
    <n v="2037.45"/>
  </r>
  <r>
    <s v="ORD03504"/>
    <d v="2026-05-14T00:00:00"/>
    <s v="C1192"/>
    <s v="Laptop Stand"/>
    <x v="0"/>
    <n v="1"/>
    <n v="2499"/>
    <n v="0.1"/>
    <s v="East"/>
    <s v="COD"/>
    <x v="1"/>
    <n v="24995"/>
  </r>
  <r>
    <s v="ORD03505"/>
    <d v="2026-08-06T00:00:00"/>
    <s v="C1800"/>
    <s v="Bluetooth Speaker"/>
    <x v="3"/>
    <n v="4"/>
    <n v="1299"/>
    <n v="0.05"/>
    <s v="North"/>
    <s v="Credit Card"/>
    <x v="0"/>
    <n v="2249.1"/>
  </r>
  <r>
    <s v="ORD03506"/>
    <d v="2026-06-22T00:00:00"/>
    <s v="C1379"/>
    <s v="Webcam"/>
    <x v="0"/>
    <n v="1"/>
    <n v="1299"/>
    <n v="0.15"/>
    <s v="West"/>
    <s v="Debit Card"/>
    <x v="0"/>
    <n v="4936.2"/>
  </r>
  <r>
    <s v="ORD03507"/>
    <d v="2026-01-28T00:00:00"/>
    <s v="C1327"/>
    <s v="Power Bank"/>
    <x v="1"/>
    <n v="1"/>
    <n v="1299"/>
    <n v="0"/>
    <s v="East"/>
    <s v="Net Banking"/>
    <x v="0"/>
    <n v="1104.1499999999999"/>
  </r>
  <r>
    <s v="ORD03508"/>
    <d v="2026-08-11T00:00:00"/>
    <s v="C1128"/>
    <s v="Keyboard"/>
    <x v="3"/>
    <n v="1"/>
    <n v="599"/>
    <n v="0"/>
    <s v="West"/>
    <s v="UPI"/>
    <x v="0"/>
    <n v="1299"/>
  </r>
  <r>
    <s v="ORD03509"/>
    <d v="2026-01-24T00:00:00"/>
    <s v="C1590"/>
    <s v="Webcam"/>
    <x v="0"/>
    <n v="5"/>
    <n v="1999"/>
    <n v="0.15"/>
    <s v="South"/>
    <s v="COD"/>
    <x v="1"/>
    <n v="599"/>
  </r>
  <r>
    <s v="ORD03510"/>
    <d v="2026-05-24T00:00:00"/>
    <s v="C1714"/>
    <s v="Webcam"/>
    <x v="2"/>
    <n v="1"/>
    <n v="1999"/>
    <n v="0"/>
    <s v="West"/>
    <s v="COD"/>
    <x v="1"/>
    <n v="8495.75"/>
  </r>
  <r>
    <s v="ORD03511"/>
    <d v="2026-03-09T00:00:00"/>
    <s v="C1572"/>
    <s v="Monitor"/>
    <x v="3"/>
    <n v="2"/>
    <n v="4999"/>
    <n v="0"/>
    <s v="South"/>
    <s v="Credit Card"/>
    <x v="2"/>
    <n v="1999"/>
  </r>
  <r>
    <s v="ORD03512"/>
    <d v="2026-05-16T00:00:00"/>
    <s v="C1619"/>
    <s v="Webcam"/>
    <x v="1"/>
    <n v="2"/>
    <n v="1499"/>
    <n v="0.15"/>
    <s v="South"/>
    <s v="Credit Card"/>
    <x v="1"/>
    <n v="9998"/>
  </r>
  <r>
    <s v="ORD03513"/>
    <d v="2026-07-10T00:00:00"/>
    <s v="C1516"/>
    <s v="Wireless Mouse"/>
    <x v="4"/>
    <n v="1"/>
    <n v="599"/>
    <n v="0"/>
    <s v="Central"/>
    <s v="Debit Card"/>
    <x v="0"/>
    <n v="2548.2999999999997"/>
  </r>
  <r>
    <s v="ORD03514"/>
    <d v="2026-09-22T00:00:00"/>
    <s v="C1362"/>
    <s v="Bluetooth Speaker"/>
    <x v="0"/>
    <n v="2"/>
    <n v="599"/>
    <n v="0.05"/>
    <s v="East"/>
    <s v="UPI"/>
    <x v="2"/>
    <n v="599"/>
  </r>
  <r>
    <s v="ORD03515"/>
    <d v="2026-05-11T00:00:00"/>
    <s v="C1792"/>
    <s v="Wireless Mouse"/>
    <x v="2"/>
    <n v="1"/>
    <n v="7999"/>
    <n v="0.15"/>
    <s v="North"/>
    <s v="Debit Card"/>
    <x v="0"/>
    <n v="1138.0999999999999"/>
  </r>
  <r>
    <s v="ORD03516"/>
    <d v="2026-03-30T00:00:00"/>
    <s v="C1402"/>
    <s v="Monitor"/>
    <x v="2"/>
    <n v="2"/>
    <n v="2499"/>
    <n v="0.05"/>
    <s v="North"/>
    <s v="UPI"/>
    <x v="2"/>
    <n v="6799.15"/>
  </r>
  <r>
    <s v="ORD03517"/>
    <d v="2026-09-12T00:00:00"/>
    <s v="C1528"/>
    <s v="Mechanical Keyboard"/>
    <x v="3"/>
    <n v="5"/>
    <n v="499"/>
    <n v="0.1"/>
    <s v="South"/>
    <s v="Net Banking"/>
    <x v="0"/>
    <n v="4748.0999999999995"/>
  </r>
  <r>
    <s v="ORD03518"/>
    <d v="2026-07-27T00:00:00"/>
    <s v="C1201"/>
    <s v="Bluetooth Speaker"/>
    <x v="2"/>
    <n v="4"/>
    <n v="7999"/>
    <n v="0.15"/>
    <s v="Central"/>
    <s v="UPI"/>
    <x v="0"/>
    <n v="2245.5"/>
  </r>
  <r>
    <s v="ORD03519"/>
    <d v="2026-04-10T00:00:00"/>
    <s v="C1360"/>
    <s v="Webcam"/>
    <x v="4"/>
    <n v="1"/>
    <n v="1299"/>
    <n v="0.05"/>
    <s v="South"/>
    <s v="UPI"/>
    <x v="0"/>
    <n v="27196.6"/>
  </r>
  <r>
    <s v="ORD03520"/>
    <d v="2026-09-05T00:00:00"/>
    <s v="C1125"/>
    <s v="Keyboard"/>
    <x v="2"/>
    <n v="4"/>
    <n v="1999"/>
    <n v="0.05"/>
    <s v="East"/>
    <s v="COD"/>
    <x v="0"/>
    <n v="1234.05"/>
  </r>
  <r>
    <s v="ORD03521"/>
    <d v="2026-04-29T00:00:00"/>
    <s v="C1643"/>
    <s v="Bluetooth Speaker"/>
    <x v="0"/>
    <n v="4"/>
    <n v="799"/>
    <n v="0"/>
    <s v="West"/>
    <s v="Net Banking"/>
    <x v="0"/>
    <n v="7596.2"/>
  </r>
  <r>
    <s v="ORD03522"/>
    <d v="2026-04-06T00:00:00"/>
    <s v="C1017"/>
    <s v="Webcam"/>
    <x v="0"/>
    <n v="2"/>
    <n v="799"/>
    <n v="0.15"/>
    <s v="East"/>
    <s v="Credit Card"/>
    <x v="0"/>
    <n v="3196"/>
  </r>
  <r>
    <s v="ORD03523"/>
    <d v="2026-08-25T00:00:00"/>
    <s v="C1393"/>
    <s v="Bluetooth Speaker"/>
    <x v="2"/>
    <n v="2"/>
    <n v="1999"/>
    <n v="0.05"/>
    <s v="North"/>
    <s v="Net Banking"/>
    <x v="0"/>
    <n v="1358.3"/>
  </r>
  <r>
    <s v="ORD03524"/>
    <d v="2026-01-10T00:00:00"/>
    <s v="C1291"/>
    <s v="Keyboard"/>
    <x v="3"/>
    <n v="2"/>
    <n v="999"/>
    <n v="0"/>
    <s v="North"/>
    <s v="Net Banking"/>
    <x v="0"/>
    <n v="3798.1"/>
  </r>
  <r>
    <s v="ORD03525"/>
    <d v="2026-07-17T00:00:00"/>
    <s v="C1416"/>
    <s v="Keyboard"/>
    <x v="4"/>
    <n v="1"/>
    <n v="2499"/>
    <n v="0.15"/>
    <s v="East"/>
    <s v="COD"/>
    <x v="2"/>
    <n v="1998"/>
  </r>
  <r>
    <s v="ORD03526"/>
    <d v="2026-06-26T00:00:00"/>
    <s v="C1055"/>
    <s v="USB-C Hub"/>
    <x v="1"/>
    <n v="1"/>
    <n v="1499"/>
    <n v="0"/>
    <s v="West"/>
    <s v="COD"/>
    <x v="0"/>
    <n v="2124.15"/>
  </r>
  <r>
    <s v="ORD03527"/>
    <d v="2026-02-12T00:00:00"/>
    <s v="C1437"/>
    <s v="Keyboard"/>
    <x v="3"/>
    <n v="3"/>
    <n v="999"/>
    <n v="0.15"/>
    <s v="Central"/>
    <s v="Debit Card"/>
    <x v="0"/>
    <n v="1499"/>
  </r>
  <r>
    <s v="ORD03528"/>
    <d v="2026-01-02T00:00:00"/>
    <s v="C1600"/>
    <s v="Laptop Stand"/>
    <x v="3"/>
    <n v="4"/>
    <n v="499"/>
    <n v="0"/>
    <s v="East"/>
    <s v="UPI"/>
    <x v="1"/>
    <n v="2547.4499999999998"/>
  </r>
  <r>
    <s v="ORD03529"/>
    <d v="2026-02-24T00:00:00"/>
    <s v="C1096"/>
    <s v="Wireless Mouse"/>
    <x v="4"/>
    <n v="3"/>
    <n v="1299"/>
    <n v="0"/>
    <s v="South"/>
    <s v="Net Banking"/>
    <x v="1"/>
    <n v="1996"/>
  </r>
  <r>
    <s v="ORD03530"/>
    <d v="2026-07-23T00:00:00"/>
    <s v="C1772"/>
    <s v="Headphones"/>
    <x v="0"/>
    <n v="3"/>
    <n v="4999"/>
    <n v="0"/>
    <s v="West"/>
    <s v="Debit Card"/>
    <x v="0"/>
    <n v="3897"/>
  </r>
  <r>
    <s v="ORD03531"/>
    <d v="2026-08-27T00:00:00"/>
    <s v="C1601"/>
    <s v="Headphones"/>
    <x v="1"/>
    <n v="1"/>
    <n v="7999"/>
    <n v="0.15"/>
    <s v="Central"/>
    <s v="Debit Card"/>
    <x v="0"/>
    <n v="14997"/>
  </r>
  <r>
    <s v="ORD03532"/>
    <d v="2026-08-18T00:00:00"/>
    <s v="C1059"/>
    <s v="USB-C Hub"/>
    <x v="3"/>
    <n v="2"/>
    <n v="799"/>
    <n v="0.15"/>
    <s v="North"/>
    <s v="COD"/>
    <x v="0"/>
    <n v="6799.15"/>
  </r>
  <r>
    <s v="ORD03533"/>
    <d v="2026-01-23T00:00:00"/>
    <s v="C1723"/>
    <s v="Keyboard"/>
    <x v="0"/>
    <n v="1"/>
    <n v="999"/>
    <n v="0"/>
    <s v="Central"/>
    <s v="Debit Card"/>
    <x v="0"/>
    <n v="1358.3"/>
  </r>
  <r>
    <s v="ORD03534"/>
    <d v="2026-08-15T00:00:00"/>
    <s v="C1426"/>
    <s v="Power Bank"/>
    <x v="4"/>
    <n v="3"/>
    <n v="4999"/>
    <n v="0.05"/>
    <s v="Central"/>
    <s v="Net Banking"/>
    <x v="0"/>
    <n v="999"/>
  </r>
  <r>
    <s v="ORD03535"/>
    <d v="2026-04-09T00:00:00"/>
    <s v="C1451"/>
    <s v="Laptop Stand"/>
    <x v="0"/>
    <n v="5"/>
    <n v="499"/>
    <n v="0.1"/>
    <s v="West"/>
    <s v="Net Banking"/>
    <x v="0"/>
    <n v="14247.15"/>
  </r>
  <r>
    <s v="ORD03536"/>
    <d v="2026-04-04T00:00:00"/>
    <s v="C1731"/>
    <s v="Wireless Mouse"/>
    <x v="0"/>
    <n v="5"/>
    <n v="1499"/>
    <n v="0"/>
    <s v="East"/>
    <s v="UPI"/>
    <x v="0"/>
    <n v="2245.5"/>
  </r>
  <r>
    <s v="ORD03537"/>
    <d v="2026-06-10T00:00:00"/>
    <s v="C1474"/>
    <s v="Bluetooth Speaker"/>
    <x v="0"/>
    <n v="2"/>
    <n v="599"/>
    <n v="0.15"/>
    <s v="South"/>
    <s v="Net Banking"/>
    <x v="2"/>
    <n v="7495"/>
  </r>
  <r>
    <s v="ORD03538"/>
    <d v="2026-01-29T00:00:00"/>
    <s v="C1734"/>
    <s v="USB-C Hub"/>
    <x v="1"/>
    <n v="1"/>
    <n v="499"/>
    <n v="0.1"/>
    <s v="South"/>
    <s v="UPI"/>
    <x v="0"/>
    <n v="1018.3"/>
  </r>
  <r>
    <s v="ORD03539"/>
    <d v="2026-08-29T00:00:00"/>
    <s v="C1021"/>
    <s v="Bluetooth Speaker"/>
    <x v="3"/>
    <n v="4"/>
    <n v="599"/>
    <n v="0.15"/>
    <s v="South"/>
    <s v="Net Banking"/>
    <x v="2"/>
    <n v="449.1"/>
  </r>
  <r>
    <s v="ORD03540"/>
    <d v="2026-07-06T00:00:00"/>
    <s v="C1344"/>
    <s v="Mechanical Keyboard"/>
    <x v="1"/>
    <n v="4"/>
    <n v="599"/>
    <n v="0"/>
    <s v="East"/>
    <s v="Credit Card"/>
    <x v="0"/>
    <n v="2036.6"/>
  </r>
  <r>
    <s v="ORD03541"/>
    <d v="2026-07-19T00:00:00"/>
    <s v="C1402"/>
    <s v="Mechanical Keyboard"/>
    <x v="1"/>
    <n v="4"/>
    <n v="1499"/>
    <n v="0"/>
    <s v="West"/>
    <s v="UPI"/>
    <x v="0"/>
    <n v="2396"/>
  </r>
  <r>
    <s v="ORD03542"/>
    <d v="2026-07-23T00:00:00"/>
    <s v="C1245"/>
    <s v="Power Bank"/>
    <x v="2"/>
    <n v="4"/>
    <n v="999"/>
    <n v="0.15"/>
    <s v="North"/>
    <s v="Net Banking"/>
    <x v="2"/>
    <n v="5996"/>
  </r>
  <r>
    <s v="ORD03543"/>
    <d v="2026-05-22T00:00:00"/>
    <s v="C1020"/>
    <s v="Headphones"/>
    <x v="3"/>
    <n v="1"/>
    <n v="499"/>
    <n v="0"/>
    <s v="South"/>
    <s v="UPI"/>
    <x v="1"/>
    <n v="3396.6"/>
  </r>
  <r>
    <s v="ORD03544"/>
    <d v="2026-08-05T00:00:00"/>
    <s v="C1579"/>
    <s v="Mechanical Keyboard"/>
    <x v="3"/>
    <n v="5"/>
    <n v="1499"/>
    <n v="0.05"/>
    <s v="West"/>
    <s v="COD"/>
    <x v="0"/>
    <n v="499"/>
  </r>
  <r>
    <s v="ORD03545"/>
    <d v="2026-03-23T00:00:00"/>
    <s v="C1287"/>
    <s v="Wireless Mouse"/>
    <x v="1"/>
    <n v="1"/>
    <n v="999"/>
    <n v="0"/>
    <s v="West"/>
    <s v="COD"/>
    <x v="0"/>
    <n v="7120.25"/>
  </r>
  <r>
    <s v="ORD03546"/>
    <d v="2026-01-25T00:00:00"/>
    <s v="C1029"/>
    <s v="Wireless Mouse"/>
    <x v="0"/>
    <n v="3"/>
    <n v="1299"/>
    <n v="0"/>
    <s v="East"/>
    <s v="COD"/>
    <x v="0"/>
    <n v="999"/>
  </r>
  <r>
    <s v="ORD03547"/>
    <d v="2026-09-17T00:00:00"/>
    <s v="C1028"/>
    <s v="Power Bank"/>
    <x v="1"/>
    <n v="2"/>
    <n v="599"/>
    <n v="0"/>
    <s v="North"/>
    <s v="COD"/>
    <x v="2"/>
    <n v="3897"/>
  </r>
  <r>
    <s v="ORD03548"/>
    <d v="2026-09-02T00:00:00"/>
    <s v="C1367"/>
    <s v="Wireless Mouse"/>
    <x v="4"/>
    <n v="1"/>
    <n v="1299"/>
    <n v="0.1"/>
    <s v="South"/>
    <s v="UPI"/>
    <x v="0"/>
    <n v="1198"/>
  </r>
  <r>
    <s v="ORD03549"/>
    <d v="2026-02-22T00:00:00"/>
    <s v="C1306"/>
    <s v="Wireless Mouse"/>
    <x v="4"/>
    <n v="1"/>
    <n v="7999"/>
    <n v="0.1"/>
    <s v="Central"/>
    <s v="Net Banking"/>
    <x v="0"/>
    <n v="1169.1000000000001"/>
  </r>
  <r>
    <s v="ORD03550"/>
    <d v="2026-01-05T00:00:00"/>
    <s v="C1586"/>
    <s v="Power Bank"/>
    <x v="4"/>
    <n v="3"/>
    <n v="999"/>
    <n v="0.15"/>
    <s v="East"/>
    <s v="UPI"/>
    <x v="0"/>
    <n v="7199.1"/>
  </r>
  <r>
    <s v="ORD03551"/>
    <d v="2026-01-12T00:00:00"/>
    <s v="C1323"/>
    <s v="Webcam"/>
    <x v="0"/>
    <n v="2"/>
    <n v="1499"/>
    <n v="0.05"/>
    <s v="South"/>
    <s v="Net Banking"/>
    <x v="0"/>
    <n v="2547.4499999999998"/>
  </r>
  <r>
    <s v="ORD03552"/>
    <d v="2026-09-27T00:00:00"/>
    <s v="C1749"/>
    <s v="Laptop Stand"/>
    <x v="1"/>
    <n v="5"/>
    <n v="499"/>
    <n v="0.15"/>
    <s v="Central"/>
    <s v="Debit Card"/>
    <x v="0"/>
    <n v="2848.1"/>
  </r>
  <r>
    <s v="ORD03553"/>
    <d v="2026-06-10T00:00:00"/>
    <s v="C1328"/>
    <s v="Mechanical Keyboard"/>
    <x v="3"/>
    <n v="3"/>
    <n v="599"/>
    <n v="0"/>
    <s v="West"/>
    <s v="Credit Card"/>
    <x v="1"/>
    <n v="2120.75"/>
  </r>
  <r>
    <s v="ORD03554"/>
    <d v="2026-03-24T00:00:00"/>
    <s v="C1539"/>
    <s v="Webcam"/>
    <x v="1"/>
    <n v="1"/>
    <n v="7999"/>
    <n v="0.05"/>
    <s v="Central"/>
    <s v="Debit Card"/>
    <x v="1"/>
    <n v="1797"/>
  </r>
  <r>
    <s v="ORD03555"/>
    <d v="2026-08-12T00:00:00"/>
    <s v="C1659"/>
    <s v="Webcam"/>
    <x v="1"/>
    <n v="2"/>
    <n v="499"/>
    <n v="0"/>
    <s v="North"/>
    <s v="Credit Card"/>
    <x v="2"/>
    <n v="7599.0499999999993"/>
  </r>
  <r>
    <s v="ORD03556"/>
    <d v="2026-01-13T00:00:00"/>
    <s v="C1643"/>
    <s v="Keyboard"/>
    <x v="0"/>
    <n v="2"/>
    <n v="799"/>
    <n v="0"/>
    <s v="West"/>
    <s v="Debit Card"/>
    <x v="0"/>
    <n v="998"/>
  </r>
  <r>
    <s v="ORD03557"/>
    <d v="2026-06-24T00:00:00"/>
    <s v="C1772"/>
    <s v="Bluetooth Speaker"/>
    <x v="3"/>
    <n v="5"/>
    <n v="599"/>
    <n v="0"/>
    <s v="South"/>
    <s v="Net Banking"/>
    <x v="0"/>
    <n v="1598"/>
  </r>
  <r>
    <s v="ORD03558"/>
    <d v="2026-09-29T00:00:00"/>
    <s v="C1221"/>
    <s v="Keyboard"/>
    <x v="0"/>
    <n v="1"/>
    <n v="599"/>
    <n v="0"/>
    <s v="North"/>
    <s v="UPI"/>
    <x v="2"/>
    <n v="2995"/>
  </r>
  <r>
    <s v="ORD03559"/>
    <d v="2026-03-11T00:00:00"/>
    <s v="C1177"/>
    <s v="Monitor"/>
    <x v="0"/>
    <n v="5"/>
    <n v="1499"/>
    <n v="0.1"/>
    <s v="North"/>
    <s v="Net Banking"/>
    <x v="0"/>
    <n v="599"/>
  </r>
  <r>
    <s v="ORD03560"/>
    <d v="2026-05-07T00:00:00"/>
    <s v="C1440"/>
    <s v="Wireless Mouse"/>
    <x v="2"/>
    <n v="4"/>
    <n v="1999"/>
    <n v="0.05"/>
    <s v="Central"/>
    <s v="Net Banking"/>
    <x v="0"/>
    <n v="6745.5"/>
  </r>
  <r>
    <s v="ORD03561"/>
    <d v="2026-06-07T00:00:00"/>
    <s v="C1443"/>
    <s v="Monitor"/>
    <x v="0"/>
    <n v="1"/>
    <n v="499"/>
    <n v="0"/>
    <s v="Central"/>
    <s v="Net Banking"/>
    <x v="2"/>
    <n v="7596.2"/>
  </r>
  <r>
    <s v="ORD03562"/>
    <d v="2026-06-05T00:00:00"/>
    <s v="C1519"/>
    <s v="Keyboard"/>
    <x v="1"/>
    <n v="3"/>
    <n v="799"/>
    <n v="0"/>
    <s v="Central"/>
    <s v="UPI"/>
    <x v="0"/>
    <n v="499"/>
  </r>
  <r>
    <s v="ORD03563"/>
    <d v="2026-08-13T00:00:00"/>
    <s v="C1616"/>
    <s v="Bluetooth Speaker"/>
    <x v="3"/>
    <n v="4"/>
    <n v="7999"/>
    <n v="0"/>
    <s v="West"/>
    <s v="Credit Card"/>
    <x v="1"/>
    <n v="2397"/>
  </r>
  <r>
    <s v="ORD03564"/>
    <d v="2026-08-03T00:00:00"/>
    <s v="C1401"/>
    <s v="USB-C Hub"/>
    <x v="4"/>
    <n v="5"/>
    <n v="4999"/>
    <n v="0.05"/>
    <s v="East"/>
    <s v="Debit Card"/>
    <x v="0"/>
    <n v="31996"/>
  </r>
  <r>
    <s v="ORD03565"/>
    <d v="2026-04-22T00:00:00"/>
    <s v="C1695"/>
    <s v="Wireless Mouse"/>
    <x v="1"/>
    <n v="3"/>
    <n v="1299"/>
    <n v="0"/>
    <s v="North"/>
    <s v="UPI"/>
    <x v="0"/>
    <n v="23745.25"/>
  </r>
  <r>
    <s v="ORD03566"/>
    <d v="2026-03-29T00:00:00"/>
    <s v="C1621"/>
    <s v="Wireless Mouse"/>
    <x v="2"/>
    <n v="5"/>
    <n v="499"/>
    <n v="0.1"/>
    <s v="South"/>
    <s v="Credit Card"/>
    <x v="0"/>
    <n v="3897"/>
  </r>
  <r>
    <s v="ORD03567"/>
    <d v="2026-04-26T00:00:00"/>
    <s v="C1751"/>
    <s v="Laptop Stand"/>
    <x v="4"/>
    <n v="5"/>
    <n v="1999"/>
    <n v="0"/>
    <s v="South"/>
    <s v="COD"/>
    <x v="0"/>
    <n v="2245.5"/>
  </r>
  <r>
    <s v="ORD03568"/>
    <d v="2026-08-31T00:00:00"/>
    <s v="C1536"/>
    <s v="Webcam"/>
    <x v="1"/>
    <n v="3"/>
    <n v="1499"/>
    <n v="0"/>
    <s v="South"/>
    <s v="COD"/>
    <x v="0"/>
    <n v="9995"/>
  </r>
  <r>
    <s v="ORD03569"/>
    <d v="2026-06-18T00:00:00"/>
    <s v="C1240"/>
    <s v="Bluetooth Speaker"/>
    <x v="1"/>
    <n v="3"/>
    <n v="1299"/>
    <n v="0"/>
    <s v="North"/>
    <s v="Net Banking"/>
    <x v="2"/>
    <n v="4497"/>
  </r>
  <r>
    <s v="ORD03570"/>
    <d v="2026-05-22T00:00:00"/>
    <s v="C1216"/>
    <s v="Bluetooth Speaker"/>
    <x v="4"/>
    <n v="5"/>
    <n v="799"/>
    <n v="0.15"/>
    <s v="East"/>
    <s v="COD"/>
    <x v="0"/>
    <n v="3897"/>
  </r>
  <r>
    <s v="ORD03571"/>
    <d v="2026-09-08T00:00:00"/>
    <s v="C1170"/>
    <s v="Headphones"/>
    <x v="2"/>
    <n v="2"/>
    <n v="4999"/>
    <n v="0"/>
    <s v="Central"/>
    <s v="Credit Card"/>
    <x v="0"/>
    <n v="3395.75"/>
  </r>
  <r>
    <s v="ORD03572"/>
    <d v="2026-03-23T00:00:00"/>
    <s v="C1662"/>
    <s v="Bluetooth Speaker"/>
    <x v="2"/>
    <n v="4"/>
    <n v="2499"/>
    <n v="0"/>
    <s v="East"/>
    <s v="COD"/>
    <x v="2"/>
    <n v="9998"/>
  </r>
  <r>
    <s v="ORD03573"/>
    <d v="2026-05-26T00:00:00"/>
    <s v="C1207"/>
    <s v="Wireless Mouse"/>
    <x v="2"/>
    <n v="1"/>
    <n v="2499"/>
    <n v="0"/>
    <s v="South"/>
    <s v="Credit Card"/>
    <x v="0"/>
    <n v="9996"/>
  </r>
  <r>
    <s v="ORD03574"/>
    <d v="2026-08-19T00:00:00"/>
    <s v="C1786"/>
    <s v="USB-C Hub"/>
    <x v="3"/>
    <n v="5"/>
    <n v="4999"/>
    <n v="0.05"/>
    <s v="North"/>
    <s v="Credit Card"/>
    <x v="0"/>
    <n v="2499"/>
  </r>
  <r>
    <s v="ORD03575"/>
    <d v="2026-06-10T00:00:00"/>
    <s v="C1772"/>
    <s v="Wireless Mouse"/>
    <x v="2"/>
    <n v="4"/>
    <n v="499"/>
    <n v="0"/>
    <s v="East"/>
    <s v="Net Banking"/>
    <x v="0"/>
    <n v="23745.25"/>
  </r>
  <r>
    <s v="ORD03576"/>
    <d v="2026-08-17T00:00:00"/>
    <s v="C1387"/>
    <s v="Power Bank"/>
    <x v="4"/>
    <n v="3"/>
    <n v="1999"/>
    <n v="0.15"/>
    <s v="East"/>
    <s v="Debit Card"/>
    <x v="1"/>
    <n v="1996"/>
  </r>
  <r>
    <s v="ORD03577"/>
    <d v="2026-01-13T00:00:00"/>
    <s v="C1749"/>
    <s v="Headphones"/>
    <x v="0"/>
    <n v="4"/>
    <n v="2499"/>
    <n v="0.1"/>
    <s v="East"/>
    <s v="COD"/>
    <x v="1"/>
    <n v="5097.45"/>
  </r>
  <r>
    <s v="ORD03578"/>
    <d v="2026-04-16T00:00:00"/>
    <s v="C1243"/>
    <s v="Webcam"/>
    <x v="3"/>
    <n v="5"/>
    <n v="799"/>
    <n v="0.15"/>
    <s v="West"/>
    <s v="COD"/>
    <x v="0"/>
    <n v="8996.4"/>
  </r>
  <r>
    <s v="ORD03579"/>
    <d v="2026-04-19T00:00:00"/>
    <s v="C1188"/>
    <s v="Power Bank"/>
    <x v="0"/>
    <n v="2"/>
    <n v="4999"/>
    <n v="0"/>
    <s v="East"/>
    <s v="Credit Card"/>
    <x v="0"/>
    <n v="3395.75"/>
  </r>
  <r>
    <s v="ORD03580"/>
    <d v="2026-06-14T00:00:00"/>
    <s v="C1267"/>
    <s v="Mechanical Keyboard"/>
    <x v="2"/>
    <n v="2"/>
    <n v="4999"/>
    <n v="0.1"/>
    <s v="Central"/>
    <s v="Net Banking"/>
    <x v="0"/>
    <n v="9998"/>
  </r>
  <r>
    <s v="ORD03581"/>
    <d v="2026-05-17T00:00:00"/>
    <s v="C1382"/>
    <s v="Wireless Mouse"/>
    <x v="0"/>
    <n v="1"/>
    <n v="1999"/>
    <n v="0.15"/>
    <s v="South"/>
    <s v="Credit Card"/>
    <x v="0"/>
    <n v="8998.2000000000007"/>
  </r>
  <r>
    <s v="ORD03582"/>
    <d v="2026-03-20T00:00:00"/>
    <s v="C1473"/>
    <s v="Keyboard"/>
    <x v="1"/>
    <n v="5"/>
    <n v="499"/>
    <n v="0.1"/>
    <s v="Central"/>
    <s v="COD"/>
    <x v="1"/>
    <n v="1699.1499999999999"/>
  </r>
  <r>
    <s v="ORD03583"/>
    <d v="2026-05-04T00:00:00"/>
    <s v="C1762"/>
    <s v="Mechanical Keyboard"/>
    <x v="2"/>
    <n v="1"/>
    <n v="599"/>
    <n v="0.1"/>
    <s v="East"/>
    <s v="UPI"/>
    <x v="0"/>
    <n v="2245.5"/>
  </r>
  <r>
    <s v="ORD03584"/>
    <d v="2026-01-14T00:00:00"/>
    <s v="C1116"/>
    <s v="Keyboard"/>
    <x v="4"/>
    <n v="2"/>
    <n v="1299"/>
    <n v="0.05"/>
    <s v="East"/>
    <s v="Credit Card"/>
    <x v="0"/>
    <n v="539.1"/>
  </r>
  <r>
    <s v="ORD03585"/>
    <d v="2026-04-17T00:00:00"/>
    <s v="C1194"/>
    <s v="Wireless Mouse"/>
    <x v="3"/>
    <n v="3"/>
    <n v="999"/>
    <n v="0.15"/>
    <s v="West"/>
    <s v="Credit Card"/>
    <x v="0"/>
    <n v="2468.1"/>
  </r>
  <r>
    <s v="ORD03586"/>
    <d v="2026-02-06T00:00:00"/>
    <s v="C1558"/>
    <s v="Headphones"/>
    <x v="0"/>
    <n v="2"/>
    <n v="499"/>
    <n v="0"/>
    <s v="East"/>
    <s v="UPI"/>
    <x v="2"/>
    <n v="2547.4499999999998"/>
  </r>
  <r>
    <s v="ORD03587"/>
    <d v="2026-08-23T00:00:00"/>
    <s v="C1263"/>
    <s v="Headphones"/>
    <x v="0"/>
    <n v="1"/>
    <n v="7999"/>
    <n v="0.05"/>
    <s v="West"/>
    <s v="Debit Card"/>
    <x v="0"/>
    <n v="998"/>
  </r>
  <r>
    <s v="ORD03588"/>
    <d v="2026-08-20T00:00:00"/>
    <s v="C1519"/>
    <s v="Power Bank"/>
    <x v="0"/>
    <n v="1"/>
    <n v="599"/>
    <n v="0.05"/>
    <s v="East"/>
    <s v="Net Banking"/>
    <x v="2"/>
    <n v="7599.0499999999993"/>
  </r>
  <r>
    <s v="ORD03589"/>
    <d v="2026-05-26T00:00:00"/>
    <s v="C1110"/>
    <s v="Keyboard"/>
    <x v="2"/>
    <n v="2"/>
    <n v="1299"/>
    <n v="0.05"/>
    <s v="East"/>
    <s v="UPI"/>
    <x v="2"/>
    <n v="569.04999999999995"/>
  </r>
  <r>
    <s v="ORD03590"/>
    <d v="2026-05-11T00:00:00"/>
    <s v="C1421"/>
    <s v="Power Bank"/>
    <x v="4"/>
    <n v="1"/>
    <n v="499"/>
    <n v="0"/>
    <s v="East"/>
    <s v="Credit Card"/>
    <x v="0"/>
    <n v="2468.1"/>
  </r>
  <r>
    <s v="ORD03591"/>
    <d v="2026-08-24T00:00:00"/>
    <s v="C1001"/>
    <s v="Wireless Mouse"/>
    <x v="2"/>
    <n v="5"/>
    <n v="599"/>
    <n v="0.1"/>
    <s v="East"/>
    <s v="Debit Card"/>
    <x v="0"/>
    <n v="499"/>
  </r>
  <r>
    <s v="ORD03592"/>
    <d v="2026-02-08T00:00:00"/>
    <s v="C1017"/>
    <s v="USB-C Hub"/>
    <x v="2"/>
    <n v="4"/>
    <n v="1499"/>
    <n v="0.1"/>
    <s v="South"/>
    <s v="COD"/>
    <x v="0"/>
    <n v="2695.5"/>
  </r>
  <r>
    <s v="ORD03593"/>
    <d v="2026-07-02T00:00:00"/>
    <s v="C1548"/>
    <s v="Headphones"/>
    <x v="1"/>
    <n v="4"/>
    <n v="1299"/>
    <n v="0"/>
    <s v="North"/>
    <s v="UPI"/>
    <x v="0"/>
    <n v="5396.4000000000005"/>
  </r>
  <r>
    <s v="ORD03594"/>
    <d v="2026-01-31T00:00:00"/>
    <s v="C1629"/>
    <s v="Bluetooth Speaker"/>
    <x v="2"/>
    <n v="1"/>
    <n v="499"/>
    <n v="0.1"/>
    <s v="North"/>
    <s v="UPI"/>
    <x v="0"/>
    <n v="5196"/>
  </r>
  <r>
    <s v="ORD03595"/>
    <d v="2026-08-15T00:00:00"/>
    <s v="C1438"/>
    <s v="Webcam"/>
    <x v="1"/>
    <n v="3"/>
    <n v="999"/>
    <n v="0"/>
    <s v="West"/>
    <s v="COD"/>
    <x v="2"/>
    <n v="449.1"/>
  </r>
  <r>
    <s v="ORD03596"/>
    <d v="2026-02-13T00:00:00"/>
    <s v="C1419"/>
    <s v="Wireless Mouse"/>
    <x v="2"/>
    <n v="3"/>
    <n v="4999"/>
    <n v="0.1"/>
    <s v="North"/>
    <s v="COD"/>
    <x v="1"/>
    <n v="2997"/>
  </r>
  <r>
    <s v="ORD03597"/>
    <d v="2026-09-03T00:00:00"/>
    <s v="C1702"/>
    <s v="Keyboard"/>
    <x v="1"/>
    <n v="2"/>
    <n v="999"/>
    <n v="0"/>
    <s v="West"/>
    <s v="UPI"/>
    <x v="1"/>
    <n v="13497.300000000001"/>
  </r>
  <r>
    <s v="ORD03598"/>
    <d v="2026-03-03T00:00:00"/>
    <s v="C1606"/>
    <s v="Power Bank"/>
    <x v="2"/>
    <n v="4"/>
    <n v="2499"/>
    <n v="0.1"/>
    <s v="North"/>
    <s v="Net Banking"/>
    <x v="0"/>
    <n v="1998"/>
  </r>
  <r>
    <s v="ORD03599"/>
    <d v="2026-05-05T00:00:00"/>
    <s v="C1558"/>
    <s v="Mechanical Keyboard"/>
    <x v="2"/>
    <n v="5"/>
    <n v="1999"/>
    <n v="0"/>
    <s v="North"/>
    <s v="Debit Card"/>
    <x v="0"/>
    <n v="8996.4"/>
  </r>
  <r>
    <s v="ORD03600"/>
    <d v="2026-03-07T00:00:00"/>
    <s v="C1319"/>
    <s v="Monitor"/>
    <x v="1"/>
    <n v="5"/>
    <n v="2499"/>
    <n v="0.05"/>
    <s v="Central"/>
    <s v="Net Banking"/>
    <x v="0"/>
    <n v="9995"/>
  </r>
  <r>
    <s v="ORD03601"/>
    <d v="2026-05-24T00:00:00"/>
    <s v="C1778"/>
    <s v="Wireless Mouse"/>
    <x v="1"/>
    <n v="4"/>
    <n v="999"/>
    <n v="0.05"/>
    <s v="South"/>
    <s v="Net Banking"/>
    <x v="0"/>
    <n v="11870.25"/>
  </r>
  <r>
    <s v="ORD03602"/>
    <d v="2026-07-25T00:00:00"/>
    <s v="C1133"/>
    <s v="Wireless Mouse"/>
    <x v="3"/>
    <n v="4"/>
    <n v="499"/>
    <n v="0.05"/>
    <s v="South"/>
    <s v="COD"/>
    <x v="0"/>
    <n v="3796.2"/>
  </r>
  <r>
    <s v="ORD03603"/>
    <d v="2026-02-25T00:00:00"/>
    <s v="C1673"/>
    <s v="Laptop Stand"/>
    <x v="4"/>
    <n v="3"/>
    <n v="499"/>
    <n v="0"/>
    <s v="West"/>
    <s v="Debit Card"/>
    <x v="0"/>
    <n v="1896.1999999999998"/>
  </r>
  <r>
    <s v="ORD03604"/>
    <d v="2026-09-04T00:00:00"/>
    <s v="C1649"/>
    <s v="USB-C Hub"/>
    <x v="1"/>
    <n v="4"/>
    <n v="1999"/>
    <n v="0"/>
    <s v="East"/>
    <s v="Debit Card"/>
    <x v="1"/>
    <n v="1497"/>
  </r>
  <r>
    <s v="ORD03605"/>
    <d v="2026-05-02T00:00:00"/>
    <s v="C1139"/>
    <s v="Headphones"/>
    <x v="0"/>
    <n v="1"/>
    <n v="7999"/>
    <n v="0"/>
    <s v="North"/>
    <s v="Debit Card"/>
    <x v="0"/>
    <n v="7996"/>
  </r>
  <r>
    <s v="ORD03606"/>
    <d v="2026-01-02T00:00:00"/>
    <s v="C1584"/>
    <s v="Mechanical Keyboard"/>
    <x v="0"/>
    <n v="4"/>
    <n v="1999"/>
    <n v="0"/>
    <s v="North"/>
    <s v="Credit Card"/>
    <x v="2"/>
    <n v="7999"/>
  </r>
  <r>
    <s v="ORD03607"/>
    <d v="2026-05-20T00:00:00"/>
    <s v="C1301"/>
    <s v="Power Bank"/>
    <x v="3"/>
    <n v="3"/>
    <n v="999"/>
    <n v="0"/>
    <s v="South"/>
    <s v="Credit Card"/>
    <x v="0"/>
    <n v="7996"/>
  </r>
  <r>
    <s v="ORD03608"/>
    <d v="2026-01-24T00:00:00"/>
    <s v="C1164"/>
    <s v="USB-C Hub"/>
    <x v="1"/>
    <n v="3"/>
    <n v="799"/>
    <n v="0.05"/>
    <s v="South"/>
    <s v="Net Banking"/>
    <x v="1"/>
    <n v="2997"/>
  </r>
  <r>
    <s v="ORD03609"/>
    <d v="2026-07-30T00:00:00"/>
    <s v="C1296"/>
    <s v="Mechanical Keyboard"/>
    <x v="1"/>
    <n v="2"/>
    <n v="4999"/>
    <n v="0"/>
    <s v="South"/>
    <s v="COD"/>
    <x v="2"/>
    <n v="2277.15"/>
  </r>
  <r>
    <s v="ORD03610"/>
    <d v="2026-04-03T00:00:00"/>
    <s v="C1457"/>
    <s v="Mechanical Keyboard"/>
    <x v="4"/>
    <n v="3"/>
    <n v="1499"/>
    <n v="0.05"/>
    <s v="Central"/>
    <s v="Net Banking"/>
    <x v="1"/>
    <n v="9998"/>
  </r>
  <r>
    <s v="ORD03611"/>
    <d v="2026-01-04T00:00:00"/>
    <s v="C1752"/>
    <s v="Bluetooth Speaker"/>
    <x v="0"/>
    <n v="2"/>
    <n v="1999"/>
    <n v="0.1"/>
    <s v="North"/>
    <s v="COD"/>
    <x v="0"/>
    <n v="4272.1499999999996"/>
  </r>
  <r>
    <s v="ORD03612"/>
    <d v="2026-04-28T00:00:00"/>
    <s v="C1226"/>
    <s v="Bluetooth Speaker"/>
    <x v="1"/>
    <n v="5"/>
    <n v="2499"/>
    <n v="0"/>
    <s v="West"/>
    <s v="UPI"/>
    <x v="2"/>
    <n v="3598.2000000000003"/>
  </r>
  <r>
    <s v="ORD03613"/>
    <d v="2026-01-13T00:00:00"/>
    <s v="C1330"/>
    <s v="Power Bank"/>
    <x v="4"/>
    <n v="5"/>
    <n v="2499"/>
    <n v="0.05"/>
    <s v="East"/>
    <s v="Credit Card"/>
    <x v="0"/>
    <n v="12495"/>
  </r>
  <r>
    <s v="ORD03614"/>
    <d v="2026-02-04T00:00:00"/>
    <s v="C1535"/>
    <s v="Bluetooth Speaker"/>
    <x v="2"/>
    <n v="2"/>
    <n v="1299"/>
    <n v="0"/>
    <s v="Central"/>
    <s v="Debit Card"/>
    <x v="2"/>
    <n v="11870.25"/>
  </r>
  <r>
    <s v="ORD03615"/>
    <d v="2026-08-30T00:00:00"/>
    <s v="C1285"/>
    <s v="Headphones"/>
    <x v="2"/>
    <n v="5"/>
    <n v="4999"/>
    <n v="0"/>
    <s v="West"/>
    <s v="Net Banking"/>
    <x v="0"/>
    <n v="2598"/>
  </r>
  <r>
    <s v="ORD03616"/>
    <d v="2026-06-22T00:00:00"/>
    <s v="C1452"/>
    <s v="Bluetooth Speaker"/>
    <x v="2"/>
    <n v="4"/>
    <n v="999"/>
    <n v="0"/>
    <s v="East"/>
    <s v="Credit Card"/>
    <x v="1"/>
    <n v="24995"/>
  </r>
  <r>
    <s v="ORD03617"/>
    <d v="2026-05-06T00:00:00"/>
    <s v="C1795"/>
    <s v="USB-C Hub"/>
    <x v="0"/>
    <n v="3"/>
    <n v="599"/>
    <n v="0"/>
    <s v="Central"/>
    <s v="Net Banking"/>
    <x v="0"/>
    <n v="3996"/>
  </r>
  <r>
    <s v="ORD03618"/>
    <d v="2026-07-11T00:00:00"/>
    <s v="C1039"/>
    <s v="Laptop Stand"/>
    <x v="1"/>
    <n v="2"/>
    <n v="599"/>
    <n v="0.15"/>
    <s v="South"/>
    <s v="Credit Card"/>
    <x v="0"/>
    <n v="1797"/>
  </r>
  <r>
    <s v="ORD03619"/>
    <d v="2026-02-21T00:00:00"/>
    <s v="C1499"/>
    <s v="Power Bank"/>
    <x v="3"/>
    <n v="5"/>
    <n v="499"/>
    <n v="0.05"/>
    <s v="Central"/>
    <s v="COD"/>
    <x v="2"/>
    <n v="1018.3"/>
  </r>
  <r>
    <s v="ORD03620"/>
    <d v="2026-06-03T00:00:00"/>
    <s v="C1131"/>
    <s v="Webcam"/>
    <x v="0"/>
    <n v="3"/>
    <n v="599"/>
    <n v="0.05"/>
    <s v="East"/>
    <s v="COD"/>
    <x v="0"/>
    <n v="2370.25"/>
  </r>
  <r>
    <s v="ORD03621"/>
    <d v="2026-01-15T00:00:00"/>
    <s v="C1472"/>
    <s v="Keyboard"/>
    <x v="2"/>
    <n v="5"/>
    <n v="4999"/>
    <n v="0"/>
    <s v="West"/>
    <s v="COD"/>
    <x v="0"/>
    <n v="1707.1499999999999"/>
  </r>
  <r>
    <s v="ORD03622"/>
    <d v="2026-04-07T00:00:00"/>
    <s v="C1711"/>
    <s v="Bluetooth Speaker"/>
    <x v="4"/>
    <n v="5"/>
    <n v="7999"/>
    <n v="0"/>
    <s v="North"/>
    <s v="Credit Card"/>
    <x v="2"/>
    <n v="24995"/>
  </r>
  <r>
    <s v="ORD03623"/>
    <d v="2026-03-05T00:00:00"/>
    <s v="C1252"/>
    <s v="Keyboard"/>
    <x v="1"/>
    <n v="2"/>
    <n v="2499"/>
    <n v="0.15"/>
    <s v="East"/>
    <s v="Credit Card"/>
    <x v="0"/>
    <n v="39995"/>
  </r>
  <r>
    <s v="ORD03624"/>
    <d v="2026-05-05T00:00:00"/>
    <s v="C1178"/>
    <s v="USB-C Hub"/>
    <x v="0"/>
    <n v="2"/>
    <n v="7999"/>
    <n v="0.1"/>
    <s v="West"/>
    <s v="UPI"/>
    <x v="2"/>
    <n v="4248.3"/>
  </r>
  <r>
    <s v="ORD03625"/>
    <d v="2026-01-20T00:00:00"/>
    <s v="C1107"/>
    <s v="Headphones"/>
    <x v="1"/>
    <n v="2"/>
    <n v="7999"/>
    <n v="0"/>
    <s v="East"/>
    <s v="COD"/>
    <x v="0"/>
    <n v="14398.2"/>
  </r>
  <r>
    <s v="ORD03626"/>
    <d v="2026-07-08T00:00:00"/>
    <s v="C1278"/>
    <s v="Keyboard"/>
    <x v="3"/>
    <n v="2"/>
    <n v="499"/>
    <n v="0.1"/>
    <s v="North"/>
    <s v="Debit Card"/>
    <x v="1"/>
    <n v="15998"/>
  </r>
  <r>
    <s v="ORD03627"/>
    <d v="2026-05-26T00:00:00"/>
    <s v="C1675"/>
    <s v="Wireless Mouse"/>
    <x v="0"/>
    <n v="4"/>
    <n v="7999"/>
    <n v="0"/>
    <s v="Central"/>
    <s v="Credit Card"/>
    <x v="1"/>
    <n v="898.2"/>
  </r>
  <r>
    <s v="ORD03628"/>
    <d v="2026-05-14T00:00:00"/>
    <s v="C1348"/>
    <s v="Monitor"/>
    <x v="2"/>
    <n v="3"/>
    <n v="1999"/>
    <n v="0.05"/>
    <s v="South"/>
    <s v="Credit Card"/>
    <x v="2"/>
    <n v="31996"/>
  </r>
  <r>
    <s v="ORD03629"/>
    <d v="2026-07-13T00:00:00"/>
    <s v="C1418"/>
    <s v="Bluetooth Speaker"/>
    <x v="4"/>
    <n v="5"/>
    <n v="1999"/>
    <n v="0"/>
    <s v="East"/>
    <s v="UPI"/>
    <x v="2"/>
    <n v="5697.15"/>
  </r>
  <r>
    <s v="ORD03630"/>
    <d v="2026-06-25T00:00:00"/>
    <s v="C1052"/>
    <s v="Keyboard"/>
    <x v="2"/>
    <n v="1"/>
    <n v="1299"/>
    <n v="0.15"/>
    <s v="Central"/>
    <s v="UPI"/>
    <x v="0"/>
    <n v="9995"/>
  </r>
  <r>
    <s v="ORD03631"/>
    <d v="2026-07-10T00:00:00"/>
    <s v="C1651"/>
    <s v="Wireless Mouse"/>
    <x v="0"/>
    <n v="5"/>
    <n v="1299"/>
    <n v="0"/>
    <s v="East"/>
    <s v="UPI"/>
    <x v="0"/>
    <n v="1104.1499999999999"/>
  </r>
  <r>
    <s v="ORD03632"/>
    <d v="2026-07-29T00:00:00"/>
    <s v="C1340"/>
    <s v="Monitor"/>
    <x v="4"/>
    <n v="1"/>
    <n v="1499"/>
    <n v="0.05"/>
    <s v="East"/>
    <s v="Credit Card"/>
    <x v="0"/>
    <n v="6495"/>
  </r>
  <r>
    <s v="ORD03633"/>
    <d v="2026-01-15T00:00:00"/>
    <s v="C1288"/>
    <s v="Laptop Stand"/>
    <x v="3"/>
    <n v="4"/>
    <n v="599"/>
    <n v="0.1"/>
    <s v="West"/>
    <s v="Net Banking"/>
    <x v="0"/>
    <n v="1424.05"/>
  </r>
  <r>
    <s v="ORD03634"/>
    <d v="2026-06-02T00:00:00"/>
    <s v="C1691"/>
    <s v="Mechanical Keyboard"/>
    <x v="2"/>
    <n v="2"/>
    <n v="7999"/>
    <n v="0"/>
    <s v="Central"/>
    <s v="Net Banking"/>
    <x v="1"/>
    <n v="2156.4"/>
  </r>
  <r>
    <s v="ORD03635"/>
    <d v="2026-06-10T00:00:00"/>
    <s v="C1274"/>
    <s v="Laptop Stand"/>
    <x v="2"/>
    <n v="3"/>
    <n v="1299"/>
    <n v="0.15"/>
    <s v="South"/>
    <s v="Credit Card"/>
    <x v="2"/>
    <n v="15998"/>
  </r>
  <r>
    <s v="ORD03636"/>
    <d v="2026-04-29T00:00:00"/>
    <s v="C1676"/>
    <s v="Mechanical Keyboard"/>
    <x v="0"/>
    <n v="5"/>
    <n v="4999"/>
    <n v="0.15"/>
    <s v="Central"/>
    <s v="Credit Card"/>
    <x v="1"/>
    <n v="3312.45"/>
  </r>
  <r>
    <s v="ORD03637"/>
    <d v="2026-03-29T00:00:00"/>
    <s v="C1112"/>
    <s v="Power Bank"/>
    <x v="1"/>
    <n v="5"/>
    <n v="499"/>
    <n v="0"/>
    <s v="South"/>
    <s v="Net Banking"/>
    <x v="0"/>
    <n v="21245.75"/>
  </r>
  <r>
    <s v="ORD03638"/>
    <d v="2026-03-06T00:00:00"/>
    <s v="C1051"/>
    <s v="USB-C Hub"/>
    <x v="4"/>
    <n v="5"/>
    <n v="999"/>
    <n v="0"/>
    <s v="Central"/>
    <s v="Credit Card"/>
    <x v="0"/>
    <n v="2495"/>
  </r>
  <r>
    <s v="ORD03639"/>
    <d v="2026-04-08T00:00:00"/>
    <s v="C1033"/>
    <s v="Headphones"/>
    <x v="1"/>
    <n v="4"/>
    <n v="4999"/>
    <n v="0"/>
    <s v="East"/>
    <s v="UPI"/>
    <x v="1"/>
    <n v="4995"/>
  </r>
  <r>
    <s v="ORD03640"/>
    <d v="2026-04-22T00:00:00"/>
    <s v="C1230"/>
    <s v="Webcam"/>
    <x v="2"/>
    <n v="5"/>
    <n v="4999"/>
    <n v="0.1"/>
    <s v="South"/>
    <s v="Credit Card"/>
    <x v="0"/>
    <n v="19996"/>
  </r>
  <r>
    <s v="ORD03641"/>
    <d v="2026-08-12T00:00:00"/>
    <s v="C1721"/>
    <s v="USB-C Hub"/>
    <x v="2"/>
    <n v="5"/>
    <n v="999"/>
    <n v="0"/>
    <s v="South"/>
    <s v="COD"/>
    <x v="0"/>
    <n v="22495.5"/>
  </r>
  <r>
    <s v="ORD03642"/>
    <d v="2026-07-04T00:00:00"/>
    <s v="C1382"/>
    <s v="Webcam"/>
    <x v="3"/>
    <n v="3"/>
    <n v="1499"/>
    <n v="0.1"/>
    <s v="North"/>
    <s v="Net Banking"/>
    <x v="2"/>
    <n v="4995"/>
  </r>
  <r>
    <s v="ORD03643"/>
    <d v="2026-02-08T00:00:00"/>
    <s v="C1386"/>
    <s v="Mechanical Keyboard"/>
    <x v="1"/>
    <n v="1"/>
    <n v="799"/>
    <n v="0.15"/>
    <s v="Central"/>
    <s v="UPI"/>
    <x v="0"/>
    <n v="4047.3"/>
  </r>
  <r>
    <s v="ORD03644"/>
    <d v="2026-03-29T00:00:00"/>
    <s v="C1549"/>
    <s v="Monitor"/>
    <x v="3"/>
    <n v="3"/>
    <n v="499"/>
    <n v="0.15"/>
    <s v="South"/>
    <s v="Debit Card"/>
    <x v="0"/>
    <n v="679.15"/>
  </r>
  <r>
    <s v="ORD03645"/>
    <d v="2026-03-11T00:00:00"/>
    <s v="C1029"/>
    <s v="Webcam"/>
    <x v="3"/>
    <n v="2"/>
    <n v="2499"/>
    <n v="0.1"/>
    <s v="West"/>
    <s v="Debit Card"/>
    <x v="1"/>
    <n v="1272.45"/>
  </r>
  <r>
    <s v="ORD03646"/>
    <d v="2026-05-02T00:00:00"/>
    <s v="C1442"/>
    <s v="Headphones"/>
    <x v="3"/>
    <n v="2"/>
    <n v="1299"/>
    <n v="0.15"/>
    <s v="South"/>
    <s v="COD"/>
    <x v="1"/>
    <n v="4498.2"/>
  </r>
  <r>
    <s v="ORD03647"/>
    <d v="2026-01-24T00:00:00"/>
    <s v="C1249"/>
    <s v="Webcam"/>
    <x v="0"/>
    <n v="1"/>
    <n v="7999"/>
    <n v="0.15"/>
    <s v="South"/>
    <s v="Debit Card"/>
    <x v="0"/>
    <n v="2208.2999999999997"/>
  </r>
  <r>
    <s v="ORD03648"/>
    <d v="2026-02-15T00:00:00"/>
    <s v="C1698"/>
    <s v="Bluetooth Speaker"/>
    <x v="4"/>
    <n v="4"/>
    <n v="7999"/>
    <n v="0"/>
    <s v="South"/>
    <s v="Net Banking"/>
    <x v="2"/>
    <n v="6799.15"/>
  </r>
  <r>
    <s v="ORD03649"/>
    <d v="2026-03-07T00:00:00"/>
    <s v="C1054"/>
    <s v="USB-C Hub"/>
    <x v="1"/>
    <n v="2"/>
    <n v="499"/>
    <n v="0.1"/>
    <s v="North"/>
    <s v="COD"/>
    <x v="0"/>
    <n v="31996"/>
  </r>
  <r>
    <s v="ORD03650"/>
    <d v="2026-01-01T00:00:00"/>
    <s v="C1673"/>
    <s v="Headphones"/>
    <x v="1"/>
    <n v="3"/>
    <n v="1499"/>
    <n v="0.1"/>
    <s v="West"/>
    <s v="UPI"/>
    <x v="2"/>
    <n v="898.2"/>
  </r>
  <r>
    <s v="ORD03651"/>
    <d v="2026-08-18T00:00:00"/>
    <s v="C1412"/>
    <s v="Keyboard"/>
    <x v="0"/>
    <n v="4"/>
    <n v="1299"/>
    <n v="0"/>
    <s v="Central"/>
    <s v="Debit Card"/>
    <x v="1"/>
    <n v="4047.3"/>
  </r>
  <r>
    <s v="ORD03652"/>
    <d v="2026-01-27T00:00:00"/>
    <s v="C1575"/>
    <s v="Mechanical Keyboard"/>
    <x v="2"/>
    <n v="1"/>
    <n v="2499"/>
    <n v="0"/>
    <s v="South"/>
    <s v="COD"/>
    <x v="0"/>
    <n v="5196"/>
  </r>
  <r>
    <s v="ORD03653"/>
    <d v="2026-09-30T00:00:00"/>
    <s v="C1042"/>
    <s v="Wireless Mouse"/>
    <x v="1"/>
    <n v="1"/>
    <n v="1999"/>
    <n v="0"/>
    <s v="South"/>
    <s v="COD"/>
    <x v="0"/>
    <n v="2499"/>
  </r>
  <r>
    <s v="ORD03654"/>
    <d v="2026-02-18T00:00:00"/>
    <s v="C1311"/>
    <s v="Wireless Mouse"/>
    <x v="4"/>
    <n v="1"/>
    <n v="1999"/>
    <n v="0"/>
    <s v="South"/>
    <s v="Credit Card"/>
    <x v="0"/>
    <n v="1999"/>
  </r>
  <r>
    <s v="ORD03655"/>
    <d v="2026-02-24T00:00:00"/>
    <s v="C1147"/>
    <s v="Monitor"/>
    <x v="0"/>
    <n v="2"/>
    <n v="1299"/>
    <n v="0"/>
    <s v="Central"/>
    <s v="Net Banking"/>
    <x v="1"/>
    <n v="1999"/>
  </r>
  <r>
    <s v="ORD03656"/>
    <d v="2026-07-18T00:00:00"/>
    <s v="C1254"/>
    <s v="Bluetooth Speaker"/>
    <x v="4"/>
    <n v="4"/>
    <n v="2499"/>
    <n v="0"/>
    <s v="North"/>
    <s v="COD"/>
    <x v="0"/>
    <n v="2598"/>
  </r>
  <r>
    <s v="ORD03657"/>
    <d v="2026-08-12T00:00:00"/>
    <s v="C1066"/>
    <s v="Keyboard"/>
    <x v="1"/>
    <n v="4"/>
    <n v="4999"/>
    <n v="0"/>
    <s v="North"/>
    <s v="Debit Card"/>
    <x v="0"/>
    <n v="9996"/>
  </r>
  <r>
    <s v="ORD03658"/>
    <d v="2026-06-29T00:00:00"/>
    <s v="C1291"/>
    <s v="Bluetooth Speaker"/>
    <x v="0"/>
    <n v="3"/>
    <n v="1499"/>
    <n v="0"/>
    <s v="West"/>
    <s v="COD"/>
    <x v="0"/>
    <n v="19996"/>
  </r>
  <r>
    <s v="ORD03659"/>
    <d v="2026-01-03T00:00:00"/>
    <s v="C1040"/>
    <s v="Laptop Stand"/>
    <x v="3"/>
    <n v="5"/>
    <n v="1999"/>
    <n v="0.1"/>
    <s v="North"/>
    <s v="Credit Card"/>
    <x v="0"/>
    <n v="4497"/>
  </r>
  <r>
    <s v="ORD03660"/>
    <d v="2026-04-30T00:00:00"/>
    <s v="C1508"/>
    <s v="Laptop Stand"/>
    <x v="0"/>
    <n v="5"/>
    <n v="1299"/>
    <n v="0"/>
    <s v="North"/>
    <s v="Net Banking"/>
    <x v="2"/>
    <n v="8995.5"/>
  </r>
  <r>
    <s v="ORD03661"/>
    <d v="2026-07-12T00:00:00"/>
    <s v="C1672"/>
    <s v="Headphones"/>
    <x v="1"/>
    <n v="2"/>
    <n v="999"/>
    <n v="0"/>
    <s v="North"/>
    <s v="UPI"/>
    <x v="0"/>
    <n v="6495"/>
  </r>
  <r>
    <s v="ORD03662"/>
    <d v="2026-05-14T00:00:00"/>
    <s v="C1140"/>
    <s v="Keyboard"/>
    <x v="1"/>
    <n v="1"/>
    <n v="499"/>
    <n v="0"/>
    <s v="Central"/>
    <s v="COD"/>
    <x v="2"/>
    <n v="1998"/>
  </r>
  <r>
    <s v="ORD03663"/>
    <d v="2026-02-03T00:00:00"/>
    <s v="C1665"/>
    <s v="Headphones"/>
    <x v="0"/>
    <n v="4"/>
    <n v="999"/>
    <n v="0.05"/>
    <s v="Central"/>
    <s v="Net Banking"/>
    <x v="0"/>
    <n v="499"/>
  </r>
  <r>
    <s v="ORD03664"/>
    <d v="2026-09-08T00:00:00"/>
    <s v="C1572"/>
    <s v="Headphones"/>
    <x v="2"/>
    <n v="5"/>
    <n v="7999"/>
    <n v="0"/>
    <s v="West"/>
    <s v="Net Banking"/>
    <x v="0"/>
    <n v="3796.2"/>
  </r>
  <r>
    <s v="ORD03665"/>
    <d v="2026-03-13T00:00:00"/>
    <s v="C1355"/>
    <s v="Keyboard"/>
    <x v="3"/>
    <n v="2"/>
    <n v="599"/>
    <n v="0"/>
    <s v="East"/>
    <s v="Debit Card"/>
    <x v="0"/>
    <n v="39995"/>
  </r>
  <r>
    <s v="ORD03666"/>
    <d v="2026-02-20T00:00:00"/>
    <s v="C1637"/>
    <s v="Webcam"/>
    <x v="2"/>
    <n v="5"/>
    <n v="1499"/>
    <n v="0.15"/>
    <s v="West"/>
    <s v="COD"/>
    <x v="0"/>
    <n v="1198"/>
  </r>
  <r>
    <s v="ORD03667"/>
    <d v="2026-05-11T00:00:00"/>
    <s v="C1732"/>
    <s v="Monitor"/>
    <x v="0"/>
    <n v="5"/>
    <n v="4999"/>
    <n v="0.15"/>
    <s v="Central"/>
    <s v="Credit Card"/>
    <x v="2"/>
    <n v="6370.75"/>
  </r>
  <r>
    <s v="ORD03668"/>
    <d v="2026-05-19T00:00:00"/>
    <s v="C1751"/>
    <s v="Laptop Stand"/>
    <x v="2"/>
    <n v="1"/>
    <n v="1499"/>
    <n v="0.15"/>
    <s v="South"/>
    <s v="Credit Card"/>
    <x v="0"/>
    <n v="21245.75"/>
  </r>
  <r>
    <s v="ORD03669"/>
    <d v="2026-03-14T00:00:00"/>
    <s v="C1665"/>
    <s v="Keyboard"/>
    <x v="4"/>
    <n v="1"/>
    <n v="999"/>
    <n v="0.15"/>
    <s v="South"/>
    <s v="Net Banking"/>
    <x v="1"/>
    <n v="1274.1499999999999"/>
  </r>
  <r>
    <s v="ORD03670"/>
    <d v="2026-04-15T00:00:00"/>
    <s v="C1491"/>
    <s v="Monitor"/>
    <x v="0"/>
    <n v="2"/>
    <n v="499"/>
    <n v="0"/>
    <s v="North"/>
    <s v="Credit Card"/>
    <x v="2"/>
    <n v="849.15"/>
  </r>
  <r>
    <s v="ORD03671"/>
    <d v="2026-01-25T00:00:00"/>
    <s v="C1177"/>
    <s v="Bluetooth Speaker"/>
    <x v="0"/>
    <n v="3"/>
    <n v="999"/>
    <n v="0"/>
    <s v="North"/>
    <s v="UPI"/>
    <x v="1"/>
    <n v="998"/>
  </r>
  <r>
    <s v="ORD03672"/>
    <d v="2026-08-18T00:00:00"/>
    <s v="C1785"/>
    <s v="Power Bank"/>
    <x v="1"/>
    <n v="1"/>
    <n v="1499"/>
    <n v="0.1"/>
    <s v="West"/>
    <s v="Debit Card"/>
    <x v="1"/>
    <n v="2997"/>
  </r>
  <r>
    <s v="ORD03673"/>
    <d v="2026-07-24T00:00:00"/>
    <s v="C1659"/>
    <s v="Bluetooth Speaker"/>
    <x v="0"/>
    <n v="4"/>
    <n v="999"/>
    <n v="0"/>
    <s v="North"/>
    <s v="Credit Card"/>
    <x v="0"/>
    <n v="1349.1000000000001"/>
  </r>
  <r>
    <s v="ORD03674"/>
    <d v="2026-08-20T00:00:00"/>
    <s v="C1544"/>
    <s v="Keyboard"/>
    <x v="3"/>
    <n v="2"/>
    <n v="1999"/>
    <n v="0.15"/>
    <s v="South"/>
    <s v="UPI"/>
    <x v="0"/>
    <n v="3996"/>
  </r>
  <r>
    <s v="ORD03675"/>
    <d v="2026-06-12T00:00:00"/>
    <s v="C1736"/>
    <s v="Webcam"/>
    <x v="4"/>
    <n v="2"/>
    <n v="499"/>
    <n v="0"/>
    <s v="West"/>
    <s v="COD"/>
    <x v="0"/>
    <n v="3398.2999999999997"/>
  </r>
  <r>
    <s v="ORD03676"/>
    <d v="2026-06-01T00:00:00"/>
    <s v="C1595"/>
    <s v="Wireless Mouse"/>
    <x v="0"/>
    <n v="4"/>
    <n v="799"/>
    <n v="0.1"/>
    <s v="South"/>
    <s v="COD"/>
    <x v="0"/>
    <n v="998"/>
  </r>
  <r>
    <s v="ORD03677"/>
    <d v="2026-02-19T00:00:00"/>
    <s v="C1709"/>
    <s v="USB-C Hub"/>
    <x v="3"/>
    <n v="2"/>
    <n v="4999"/>
    <n v="0.15"/>
    <s v="East"/>
    <s v="Credit Card"/>
    <x v="0"/>
    <n v="2876.4"/>
  </r>
  <r>
    <s v="ORD03678"/>
    <d v="2026-04-04T00:00:00"/>
    <s v="C1634"/>
    <s v="Headphones"/>
    <x v="0"/>
    <n v="1"/>
    <n v="1999"/>
    <n v="0"/>
    <s v="Central"/>
    <s v="COD"/>
    <x v="1"/>
    <n v="8498.2999999999993"/>
  </r>
  <r>
    <s v="ORD03679"/>
    <d v="2026-04-19T00:00:00"/>
    <s v="C1401"/>
    <s v="Mechanical Keyboard"/>
    <x v="4"/>
    <n v="1"/>
    <n v="999"/>
    <n v="0"/>
    <s v="North"/>
    <s v="Credit Card"/>
    <x v="2"/>
    <n v="1999"/>
  </r>
  <r>
    <s v="ORD03680"/>
    <d v="2026-04-26T00:00:00"/>
    <s v="C1101"/>
    <s v="Webcam"/>
    <x v="3"/>
    <n v="2"/>
    <n v="2499"/>
    <n v="0.05"/>
    <s v="East"/>
    <s v="COD"/>
    <x v="2"/>
    <n v="999"/>
  </r>
  <r>
    <s v="ORD03681"/>
    <d v="2026-03-28T00:00:00"/>
    <s v="C1332"/>
    <s v="Laptop Stand"/>
    <x v="3"/>
    <n v="5"/>
    <n v="999"/>
    <n v="0"/>
    <s v="East"/>
    <s v="COD"/>
    <x v="0"/>
    <n v="4748.0999999999995"/>
  </r>
  <r>
    <s v="ORD03682"/>
    <d v="2026-05-28T00:00:00"/>
    <s v="C1761"/>
    <s v="Keyboard"/>
    <x v="1"/>
    <n v="4"/>
    <n v="1499"/>
    <n v="0.1"/>
    <s v="West"/>
    <s v="COD"/>
    <x v="2"/>
    <n v="4995"/>
  </r>
  <r>
    <s v="ORD03683"/>
    <d v="2026-05-27T00:00:00"/>
    <s v="C1555"/>
    <s v="Webcam"/>
    <x v="1"/>
    <n v="5"/>
    <n v="599"/>
    <n v="0.05"/>
    <s v="South"/>
    <s v="Net Banking"/>
    <x v="0"/>
    <n v="5396.4000000000005"/>
  </r>
  <r>
    <s v="ORD03684"/>
    <d v="2026-04-15T00:00:00"/>
    <s v="C1055"/>
    <s v="USB-C Hub"/>
    <x v="4"/>
    <n v="4"/>
    <n v="799"/>
    <n v="0.1"/>
    <s v="Central"/>
    <s v="UPI"/>
    <x v="0"/>
    <n v="2845.25"/>
  </r>
  <r>
    <s v="ORD03685"/>
    <d v="2026-04-27T00:00:00"/>
    <s v="C1709"/>
    <s v="USB-C Hub"/>
    <x v="0"/>
    <n v="4"/>
    <n v="4999"/>
    <n v="0.1"/>
    <s v="West"/>
    <s v="Net Banking"/>
    <x v="0"/>
    <n v="2876.4"/>
  </r>
  <r>
    <s v="ORD03686"/>
    <d v="2026-02-15T00:00:00"/>
    <s v="C1219"/>
    <s v="Bluetooth Speaker"/>
    <x v="0"/>
    <n v="4"/>
    <n v="1299"/>
    <n v="0.05"/>
    <s v="South"/>
    <s v="Net Banking"/>
    <x v="2"/>
    <n v="17996.400000000001"/>
  </r>
  <r>
    <s v="ORD03687"/>
    <d v="2026-04-09T00:00:00"/>
    <s v="C1507"/>
    <s v="Keyboard"/>
    <x v="2"/>
    <n v="1"/>
    <n v="599"/>
    <n v="0.1"/>
    <s v="East"/>
    <s v="Credit Card"/>
    <x v="1"/>
    <n v="4936.2"/>
  </r>
  <r>
    <s v="ORD03688"/>
    <d v="2026-05-30T00:00:00"/>
    <s v="C1640"/>
    <s v="Headphones"/>
    <x v="1"/>
    <n v="1"/>
    <n v="799"/>
    <n v="0"/>
    <s v="West"/>
    <s v="UPI"/>
    <x v="0"/>
    <n v="539.1"/>
  </r>
  <r>
    <s v="ORD03689"/>
    <d v="2026-06-25T00:00:00"/>
    <s v="C1360"/>
    <s v="Laptop Stand"/>
    <x v="0"/>
    <n v="4"/>
    <n v="499"/>
    <n v="0.15"/>
    <s v="North"/>
    <s v="COD"/>
    <x v="0"/>
    <n v="799"/>
  </r>
  <r>
    <s v="ORD03690"/>
    <d v="2026-07-11T00:00:00"/>
    <s v="C1600"/>
    <s v="Headphones"/>
    <x v="3"/>
    <n v="4"/>
    <n v="599"/>
    <n v="0"/>
    <s v="South"/>
    <s v="COD"/>
    <x v="1"/>
    <n v="1696.6"/>
  </r>
  <r>
    <s v="ORD03691"/>
    <d v="2026-06-30T00:00:00"/>
    <s v="C1563"/>
    <s v="USB-C Hub"/>
    <x v="1"/>
    <n v="3"/>
    <n v="1499"/>
    <n v="0"/>
    <s v="Central"/>
    <s v="Net Banking"/>
    <x v="2"/>
    <n v="2396"/>
  </r>
  <r>
    <s v="ORD03692"/>
    <d v="2026-01-26T00:00:00"/>
    <s v="C1267"/>
    <s v="USB-C Hub"/>
    <x v="0"/>
    <n v="1"/>
    <n v="2499"/>
    <n v="0.05"/>
    <s v="North"/>
    <s v="Net Banking"/>
    <x v="0"/>
    <n v="4497"/>
  </r>
  <r>
    <s v="ORD03693"/>
    <d v="2026-06-07T00:00:00"/>
    <s v="C1106"/>
    <s v="Headphones"/>
    <x v="1"/>
    <n v="1"/>
    <n v="599"/>
    <n v="0.1"/>
    <s v="East"/>
    <s v="COD"/>
    <x v="0"/>
    <n v="2374.0499999999997"/>
  </r>
  <r>
    <s v="ORD03694"/>
    <d v="2026-02-20T00:00:00"/>
    <s v="C1313"/>
    <s v="USB-C Hub"/>
    <x v="2"/>
    <n v="1"/>
    <n v="4999"/>
    <n v="0.15"/>
    <s v="East"/>
    <s v="Debit Card"/>
    <x v="0"/>
    <n v="539.1"/>
  </r>
  <r>
    <s v="ORD03695"/>
    <d v="2026-07-03T00:00:00"/>
    <s v="C1631"/>
    <s v="Headphones"/>
    <x v="4"/>
    <n v="1"/>
    <n v="2499"/>
    <n v="0"/>
    <s v="East"/>
    <s v="Credit Card"/>
    <x v="0"/>
    <n v="4249.1499999999996"/>
  </r>
  <r>
    <s v="ORD03696"/>
    <d v="2026-09-05T00:00:00"/>
    <s v="C1691"/>
    <s v="Keyboard"/>
    <x v="3"/>
    <n v="3"/>
    <n v="1299"/>
    <n v="0.05"/>
    <s v="East"/>
    <s v="Net Banking"/>
    <x v="1"/>
    <n v="2499"/>
  </r>
  <r>
    <s v="ORD03697"/>
    <d v="2026-02-28T00:00:00"/>
    <s v="C1752"/>
    <s v="Bluetooth Speaker"/>
    <x v="0"/>
    <n v="3"/>
    <n v="4999"/>
    <n v="0"/>
    <s v="South"/>
    <s v="Credit Card"/>
    <x v="2"/>
    <n v="3702.1499999999996"/>
  </r>
  <r>
    <s v="ORD03698"/>
    <d v="2026-03-12T00:00:00"/>
    <s v="C1151"/>
    <s v="Laptop Stand"/>
    <x v="2"/>
    <n v="1"/>
    <n v="1499"/>
    <n v="0.05"/>
    <s v="North"/>
    <s v="COD"/>
    <x v="2"/>
    <n v="14997"/>
  </r>
  <r>
    <s v="ORD03699"/>
    <d v="2026-01-17T00:00:00"/>
    <s v="C1451"/>
    <s v="Keyboard"/>
    <x v="2"/>
    <n v="2"/>
    <n v="1999"/>
    <n v="0"/>
    <s v="East"/>
    <s v="Credit Card"/>
    <x v="1"/>
    <n v="1424.05"/>
  </r>
  <r>
    <s v="ORD03700"/>
    <d v="2026-05-07T00:00:00"/>
    <s v="C1515"/>
    <s v="Wireless Mouse"/>
    <x v="4"/>
    <n v="4"/>
    <n v="1299"/>
    <n v="0"/>
    <s v="Central"/>
    <s v="Debit Card"/>
    <x v="0"/>
    <n v="3998"/>
  </r>
  <r>
    <s v="ORD03701"/>
    <d v="2026-03-30T00:00:00"/>
    <s v="C1687"/>
    <s v="Mechanical Keyboard"/>
    <x v="3"/>
    <n v="5"/>
    <n v="499"/>
    <n v="0.05"/>
    <s v="South"/>
    <s v="Credit Card"/>
    <x v="0"/>
    <n v="5196"/>
  </r>
  <r>
    <s v="ORD03702"/>
    <d v="2026-08-27T00:00:00"/>
    <s v="C1760"/>
    <s v="Laptop Stand"/>
    <x v="0"/>
    <n v="4"/>
    <n v="499"/>
    <n v="0"/>
    <s v="South"/>
    <s v="Credit Card"/>
    <x v="0"/>
    <n v="2370.25"/>
  </r>
  <r>
    <s v="ORD03703"/>
    <d v="2026-09-22T00:00:00"/>
    <s v="C1057"/>
    <s v="Keyboard"/>
    <x v="3"/>
    <n v="1"/>
    <n v="1499"/>
    <n v="0.1"/>
    <s v="East"/>
    <s v="COD"/>
    <x v="1"/>
    <n v="1996"/>
  </r>
  <r>
    <s v="ORD03704"/>
    <d v="2026-07-19T00:00:00"/>
    <s v="C1402"/>
    <s v="Keyboard"/>
    <x v="2"/>
    <n v="2"/>
    <n v="499"/>
    <n v="0"/>
    <s v="West"/>
    <s v="Debit Card"/>
    <x v="0"/>
    <n v="1349.1000000000001"/>
  </r>
  <r>
    <s v="ORD03705"/>
    <d v="2026-09-21T00:00:00"/>
    <s v="C1072"/>
    <s v="Webcam"/>
    <x v="3"/>
    <n v="2"/>
    <n v="2499"/>
    <n v="0"/>
    <s v="East"/>
    <s v="Debit Card"/>
    <x v="0"/>
    <n v="998"/>
  </r>
  <r>
    <s v="ORD03706"/>
    <d v="2026-07-13T00:00:00"/>
    <s v="C1476"/>
    <s v="Mechanical Keyboard"/>
    <x v="4"/>
    <n v="2"/>
    <n v="1499"/>
    <n v="0"/>
    <s v="North"/>
    <s v="Debit Card"/>
    <x v="2"/>
    <n v="4998"/>
  </r>
  <r>
    <s v="ORD03707"/>
    <d v="2026-07-30T00:00:00"/>
    <s v="C1542"/>
    <s v="Bluetooth Speaker"/>
    <x v="4"/>
    <n v="4"/>
    <n v="1499"/>
    <n v="0.05"/>
    <s v="South"/>
    <s v="Net Banking"/>
    <x v="1"/>
    <n v="2998"/>
  </r>
  <r>
    <s v="ORD03708"/>
    <d v="2026-08-14T00:00:00"/>
    <s v="C1673"/>
    <s v="Headphones"/>
    <x v="0"/>
    <n v="4"/>
    <n v="1299"/>
    <n v="0.1"/>
    <s v="South"/>
    <s v="Credit Card"/>
    <x v="2"/>
    <n v="5696.2"/>
  </r>
  <r>
    <s v="ORD03709"/>
    <d v="2026-03-11T00:00:00"/>
    <s v="C1704"/>
    <s v="Webcam"/>
    <x v="2"/>
    <n v="1"/>
    <n v="1999"/>
    <n v="0"/>
    <s v="South"/>
    <s v="Credit Card"/>
    <x v="1"/>
    <n v="4676.4000000000005"/>
  </r>
  <r>
    <s v="ORD03710"/>
    <d v="2026-09-13T00:00:00"/>
    <s v="C1391"/>
    <s v="Monitor"/>
    <x v="2"/>
    <n v="4"/>
    <n v="799"/>
    <n v="0.15"/>
    <s v="South"/>
    <s v="COD"/>
    <x v="0"/>
    <n v="1999"/>
  </r>
  <r>
    <s v="ORD03711"/>
    <d v="2026-04-28T00:00:00"/>
    <s v="C1482"/>
    <s v="Bluetooth Speaker"/>
    <x v="2"/>
    <n v="1"/>
    <n v="799"/>
    <n v="0.1"/>
    <s v="West"/>
    <s v="Net Banking"/>
    <x v="1"/>
    <n v="2716.6"/>
  </r>
  <r>
    <s v="ORD03712"/>
    <d v="2026-07-22T00:00:00"/>
    <s v="C1154"/>
    <s v="Laptop Stand"/>
    <x v="0"/>
    <n v="1"/>
    <n v="999"/>
    <n v="0.15"/>
    <s v="East"/>
    <s v="COD"/>
    <x v="1"/>
    <n v="719.1"/>
  </r>
  <r>
    <s v="ORD03713"/>
    <d v="2026-02-16T00:00:00"/>
    <s v="C1687"/>
    <s v="Power Bank"/>
    <x v="0"/>
    <n v="5"/>
    <n v="4999"/>
    <n v="0.05"/>
    <s v="North"/>
    <s v="UPI"/>
    <x v="0"/>
    <n v="849.15"/>
  </r>
  <r>
    <s v="ORD03714"/>
    <d v="2026-04-14T00:00:00"/>
    <s v="C1447"/>
    <s v="Webcam"/>
    <x v="1"/>
    <n v="1"/>
    <n v="4999"/>
    <n v="0"/>
    <s v="North"/>
    <s v="Debit Card"/>
    <x v="0"/>
    <n v="23745.25"/>
  </r>
  <r>
    <s v="ORD03715"/>
    <d v="2026-05-06T00:00:00"/>
    <s v="C1438"/>
    <s v="Wireless Mouse"/>
    <x v="1"/>
    <n v="2"/>
    <n v="1499"/>
    <n v="0.15"/>
    <s v="South"/>
    <s v="Credit Card"/>
    <x v="0"/>
    <n v="4999"/>
  </r>
  <r>
    <s v="ORD03716"/>
    <d v="2026-03-28T00:00:00"/>
    <s v="C1416"/>
    <s v="Monitor"/>
    <x v="3"/>
    <n v="4"/>
    <n v="1299"/>
    <n v="0"/>
    <s v="West"/>
    <s v="UPI"/>
    <x v="0"/>
    <n v="2548.2999999999997"/>
  </r>
  <r>
    <s v="ORD03717"/>
    <d v="2026-03-16T00:00:00"/>
    <s v="C1073"/>
    <s v="Laptop Stand"/>
    <x v="1"/>
    <n v="5"/>
    <n v="4999"/>
    <n v="0.05"/>
    <s v="North"/>
    <s v="Debit Card"/>
    <x v="0"/>
    <n v="5196"/>
  </r>
  <r>
    <s v="ORD03718"/>
    <d v="2026-03-31T00:00:00"/>
    <s v="C1077"/>
    <s v="Power Bank"/>
    <x v="3"/>
    <n v="3"/>
    <n v="1299"/>
    <n v="0.15"/>
    <s v="East"/>
    <s v="Debit Card"/>
    <x v="0"/>
    <n v="23745.25"/>
  </r>
  <r>
    <s v="ORD03719"/>
    <d v="2026-08-27T00:00:00"/>
    <s v="C1359"/>
    <s v="Webcam"/>
    <x v="1"/>
    <n v="5"/>
    <n v="4999"/>
    <n v="0.05"/>
    <s v="Central"/>
    <s v="COD"/>
    <x v="2"/>
    <n v="3312.45"/>
  </r>
  <r>
    <s v="ORD03720"/>
    <d v="2026-07-28T00:00:00"/>
    <s v="C1179"/>
    <s v="Webcam"/>
    <x v="3"/>
    <n v="2"/>
    <n v="1299"/>
    <n v="0"/>
    <s v="Central"/>
    <s v="COD"/>
    <x v="0"/>
    <n v="23745.25"/>
  </r>
  <r>
    <s v="ORD03721"/>
    <d v="2026-03-31T00:00:00"/>
    <s v="C1286"/>
    <s v="Headphones"/>
    <x v="3"/>
    <n v="4"/>
    <n v="599"/>
    <n v="0.05"/>
    <s v="South"/>
    <s v="COD"/>
    <x v="0"/>
    <n v="2598"/>
  </r>
  <r>
    <s v="ORD03722"/>
    <d v="2026-07-09T00:00:00"/>
    <s v="C1209"/>
    <s v="Headphones"/>
    <x v="2"/>
    <n v="5"/>
    <n v="4999"/>
    <n v="0.1"/>
    <s v="North"/>
    <s v="COD"/>
    <x v="0"/>
    <n v="2276.1999999999998"/>
  </r>
  <r>
    <s v="ORD03723"/>
    <d v="2026-04-21T00:00:00"/>
    <s v="C1491"/>
    <s v="Mechanical Keyboard"/>
    <x v="0"/>
    <n v="5"/>
    <n v="7999"/>
    <n v="0.15"/>
    <s v="North"/>
    <s v="COD"/>
    <x v="2"/>
    <n v="22495.5"/>
  </r>
  <r>
    <s v="ORD03724"/>
    <d v="2026-07-29T00:00:00"/>
    <s v="C1201"/>
    <s v="Headphones"/>
    <x v="1"/>
    <n v="1"/>
    <n v="4999"/>
    <n v="0"/>
    <s v="Central"/>
    <s v="Credit Card"/>
    <x v="0"/>
    <n v="33995.75"/>
  </r>
  <r>
    <s v="ORD03725"/>
    <d v="2026-09-13T00:00:00"/>
    <s v="C1416"/>
    <s v="Webcam"/>
    <x v="2"/>
    <n v="1"/>
    <n v="499"/>
    <n v="0.1"/>
    <s v="South"/>
    <s v="Net Banking"/>
    <x v="0"/>
    <n v="4999"/>
  </r>
  <r>
    <s v="ORD03726"/>
    <d v="2026-06-06T00:00:00"/>
    <s v="C1614"/>
    <s v="Headphones"/>
    <x v="3"/>
    <n v="3"/>
    <n v="799"/>
    <n v="0"/>
    <s v="West"/>
    <s v="Debit Card"/>
    <x v="0"/>
    <n v="449.1"/>
  </r>
  <r>
    <s v="ORD03727"/>
    <d v="2026-07-24T00:00:00"/>
    <s v="C1731"/>
    <s v="Keyboard"/>
    <x v="1"/>
    <n v="3"/>
    <n v="1299"/>
    <n v="0"/>
    <s v="North"/>
    <s v="UPI"/>
    <x v="2"/>
    <n v="2397"/>
  </r>
  <r>
    <s v="ORD03728"/>
    <d v="2026-02-03T00:00:00"/>
    <s v="C1225"/>
    <s v="Keyboard"/>
    <x v="2"/>
    <n v="4"/>
    <n v="1299"/>
    <n v="0"/>
    <s v="North"/>
    <s v="Debit Card"/>
    <x v="2"/>
    <n v="3897"/>
  </r>
  <r>
    <s v="ORD03729"/>
    <d v="2026-04-17T00:00:00"/>
    <s v="C1358"/>
    <s v="Monitor"/>
    <x v="2"/>
    <n v="3"/>
    <n v="1999"/>
    <n v="0.15"/>
    <s v="Central"/>
    <s v="Debit Card"/>
    <x v="0"/>
    <n v="5196"/>
  </r>
  <r>
    <s v="ORD03730"/>
    <d v="2026-09-26T00:00:00"/>
    <s v="C1129"/>
    <s v="Keyboard"/>
    <x v="1"/>
    <n v="5"/>
    <n v="1999"/>
    <n v="0"/>
    <s v="South"/>
    <s v="Credit Card"/>
    <x v="2"/>
    <n v="5097.45"/>
  </r>
  <r>
    <s v="ORD03731"/>
    <d v="2026-08-19T00:00:00"/>
    <s v="C1171"/>
    <s v="Headphones"/>
    <x v="4"/>
    <n v="1"/>
    <n v="1999"/>
    <n v="0.05"/>
    <s v="West"/>
    <s v="Net Banking"/>
    <x v="0"/>
    <n v="9995"/>
  </r>
  <r>
    <s v="ORD03732"/>
    <d v="2026-05-02T00:00:00"/>
    <s v="C1263"/>
    <s v="Bluetooth Speaker"/>
    <x v="4"/>
    <n v="2"/>
    <n v="1999"/>
    <n v="0"/>
    <s v="North"/>
    <s v="Credit Card"/>
    <x v="0"/>
    <n v="1899.05"/>
  </r>
  <r>
    <s v="ORD03733"/>
    <d v="2026-07-08T00:00:00"/>
    <s v="C1260"/>
    <s v="Mechanical Keyboard"/>
    <x v="3"/>
    <n v="2"/>
    <n v="1499"/>
    <n v="0.1"/>
    <s v="West"/>
    <s v="UPI"/>
    <x v="0"/>
    <n v="3998"/>
  </r>
  <r>
    <s v="ORD03734"/>
    <d v="2026-04-24T00:00:00"/>
    <s v="C1424"/>
    <s v="Bluetooth Speaker"/>
    <x v="3"/>
    <n v="1"/>
    <n v="1299"/>
    <n v="0.1"/>
    <s v="East"/>
    <s v="Debit Card"/>
    <x v="0"/>
    <n v="2698.2000000000003"/>
  </r>
  <r>
    <s v="ORD03735"/>
    <d v="2026-07-14T00:00:00"/>
    <s v="C1179"/>
    <s v="Mechanical Keyboard"/>
    <x v="4"/>
    <n v="1"/>
    <n v="1499"/>
    <n v="0.15"/>
    <s v="Central"/>
    <s v="Net Banking"/>
    <x v="1"/>
    <n v="1169.1000000000001"/>
  </r>
  <r>
    <s v="ORD03736"/>
    <d v="2026-05-14T00:00:00"/>
    <s v="C1187"/>
    <s v="Keyboard"/>
    <x v="2"/>
    <n v="3"/>
    <n v="1299"/>
    <n v="0"/>
    <s v="South"/>
    <s v="COD"/>
    <x v="0"/>
    <n v="1274.1499999999999"/>
  </r>
  <r>
    <s v="ORD03737"/>
    <d v="2026-02-07T00:00:00"/>
    <s v="C1469"/>
    <s v="Monitor"/>
    <x v="2"/>
    <n v="3"/>
    <n v="599"/>
    <n v="0.1"/>
    <s v="North"/>
    <s v="COD"/>
    <x v="2"/>
    <n v="3897"/>
  </r>
  <r>
    <s v="ORD03738"/>
    <d v="2026-03-08T00:00:00"/>
    <s v="C1127"/>
    <s v="Keyboard"/>
    <x v="0"/>
    <n v="5"/>
    <n v="1299"/>
    <n v="0.05"/>
    <s v="East"/>
    <s v="Debit Card"/>
    <x v="2"/>
    <n v="1617.3"/>
  </r>
  <r>
    <s v="ORD03739"/>
    <d v="2026-05-18T00:00:00"/>
    <s v="C1746"/>
    <s v="Bluetooth Speaker"/>
    <x v="0"/>
    <n v="5"/>
    <n v="1499"/>
    <n v="0"/>
    <s v="South"/>
    <s v="UPI"/>
    <x v="2"/>
    <n v="6170.25"/>
  </r>
  <r>
    <s v="ORD03740"/>
    <d v="2026-05-02T00:00:00"/>
    <s v="C1420"/>
    <s v="USB-C Hub"/>
    <x v="2"/>
    <n v="5"/>
    <n v="599"/>
    <n v="0"/>
    <s v="Central"/>
    <s v="Credit Card"/>
    <x v="0"/>
    <n v="7495"/>
  </r>
  <r>
    <s v="ORD03741"/>
    <d v="2026-04-09T00:00:00"/>
    <s v="C1773"/>
    <s v="Wireless Mouse"/>
    <x v="1"/>
    <n v="3"/>
    <n v="1999"/>
    <n v="0"/>
    <s v="Central"/>
    <s v="UPI"/>
    <x v="0"/>
    <n v="2995"/>
  </r>
  <r>
    <s v="ORD03742"/>
    <d v="2026-06-20T00:00:00"/>
    <s v="C1310"/>
    <s v="Power Bank"/>
    <x v="3"/>
    <n v="5"/>
    <n v="1499"/>
    <n v="0.1"/>
    <s v="South"/>
    <s v="UPI"/>
    <x v="0"/>
    <n v="5997"/>
  </r>
  <r>
    <s v="ORD03743"/>
    <d v="2026-01-28T00:00:00"/>
    <s v="C1660"/>
    <s v="Monitor"/>
    <x v="2"/>
    <n v="2"/>
    <n v="799"/>
    <n v="0"/>
    <s v="South"/>
    <s v="COD"/>
    <x v="2"/>
    <n v="6745.5"/>
  </r>
  <r>
    <s v="ORD03744"/>
    <d v="2026-06-21T00:00:00"/>
    <s v="C1136"/>
    <s v="Webcam"/>
    <x v="4"/>
    <n v="4"/>
    <n v="1999"/>
    <n v="0"/>
    <s v="Central"/>
    <s v="Debit Card"/>
    <x v="0"/>
    <n v="1598"/>
  </r>
  <r>
    <s v="ORD03745"/>
    <d v="2026-03-08T00:00:00"/>
    <s v="C1798"/>
    <s v="USB-C Hub"/>
    <x v="2"/>
    <n v="2"/>
    <n v="799"/>
    <n v="0"/>
    <s v="South"/>
    <s v="Net Banking"/>
    <x v="2"/>
    <n v="7996"/>
  </r>
  <r>
    <s v="ORD03746"/>
    <d v="2026-08-01T00:00:00"/>
    <s v="C1576"/>
    <s v="Headphones"/>
    <x v="4"/>
    <n v="5"/>
    <n v="599"/>
    <n v="0.05"/>
    <s v="South"/>
    <s v="Net Banking"/>
    <x v="0"/>
    <n v="1598"/>
  </r>
  <r>
    <s v="ORD03747"/>
    <d v="2026-03-22T00:00:00"/>
    <s v="C1032"/>
    <s v="Keyboard"/>
    <x v="0"/>
    <n v="5"/>
    <n v="1999"/>
    <n v="0"/>
    <s v="North"/>
    <s v="Net Banking"/>
    <x v="0"/>
    <n v="2845.25"/>
  </r>
  <r>
    <s v="ORD03748"/>
    <d v="2026-06-25T00:00:00"/>
    <s v="C1792"/>
    <s v="Laptop Stand"/>
    <x v="3"/>
    <n v="5"/>
    <n v="599"/>
    <n v="0"/>
    <s v="West"/>
    <s v="Debit Card"/>
    <x v="0"/>
    <n v="9995"/>
  </r>
  <r>
    <s v="ORD03749"/>
    <d v="2026-06-19T00:00:00"/>
    <s v="C1448"/>
    <s v="Bluetooth Speaker"/>
    <x v="3"/>
    <n v="3"/>
    <n v="7999"/>
    <n v="0"/>
    <s v="West"/>
    <s v="UPI"/>
    <x v="0"/>
    <n v="2995"/>
  </r>
  <r>
    <s v="ORD03750"/>
    <d v="2026-07-24T00:00:00"/>
    <s v="C1346"/>
    <s v="Wireless Mouse"/>
    <x v="3"/>
    <n v="4"/>
    <n v="1499"/>
    <n v="0"/>
    <s v="West"/>
    <s v="COD"/>
    <x v="1"/>
    <n v="23997"/>
  </r>
  <r>
    <s v="ORD03751"/>
    <d v="2026-01-22T00:00:00"/>
    <s v="C1136"/>
    <s v="Laptop Stand"/>
    <x v="1"/>
    <n v="3"/>
    <n v="2499"/>
    <n v="0"/>
    <s v="West"/>
    <s v="Net Banking"/>
    <x v="0"/>
    <n v="5996"/>
  </r>
  <r>
    <s v="ORD03752"/>
    <d v="2026-07-02T00:00:00"/>
    <s v="C1689"/>
    <s v="Power Bank"/>
    <x v="0"/>
    <n v="2"/>
    <n v="799"/>
    <n v="0.15"/>
    <s v="North"/>
    <s v="UPI"/>
    <x v="0"/>
    <n v="7497"/>
  </r>
  <r>
    <s v="ORD03753"/>
    <d v="2026-01-28T00:00:00"/>
    <s v="C1244"/>
    <s v="Keyboard"/>
    <x v="0"/>
    <n v="2"/>
    <n v="999"/>
    <n v="0"/>
    <s v="West"/>
    <s v="Credit Card"/>
    <x v="2"/>
    <n v="1358.3"/>
  </r>
  <r>
    <s v="ORD03754"/>
    <d v="2026-04-09T00:00:00"/>
    <s v="C1004"/>
    <s v="Webcam"/>
    <x v="4"/>
    <n v="3"/>
    <n v="1299"/>
    <n v="0.1"/>
    <s v="North"/>
    <s v="Debit Card"/>
    <x v="0"/>
    <n v="1998"/>
  </r>
  <r>
    <s v="ORD03755"/>
    <d v="2026-07-18T00:00:00"/>
    <s v="C1056"/>
    <s v="Headphones"/>
    <x v="3"/>
    <n v="3"/>
    <n v="7999"/>
    <n v="0.05"/>
    <s v="Central"/>
    <s v="Net Banking"/>
    <x v="0"/>
    <n v="3507.3"/>
  </r>
  <r>
    <s v="ORD03756"/>
    <d v="2026-04-16T00:00:00"/>
    <s v="C1600"/>
    <s v="Wireless Mouse"/>
    <x v="2"/>
    <n v="5"/>
    <n v="599"/>
    <n v="0.1"/>
    <s v="East"/>
    <s v="Net Banking"/>
    <x v="0"/>
    <n v="22797.149999999998"/>
  </r>
  <r>
    <s v="ORD03757"/>
    <d v="2026-09-07T00:00:00"/>
    <s v="C1305"/>
    <s v="Webcam"/>
    <x v="4"/>
    <n v="4"/>
    <n v="1499"/>
    <n v="0"/>
    <s v="Central"/>
    <s v="UPI"/>
    <x v="0"/>
    <n v="2695.5"/>
  </r>
  <r>
    <s v="ORD03758"/>
    <d v="2026-08-30T00:00:00"/>
    <s v="C1562"/>
    <s v="Keyboard"/>
    <x v="2"/>
    <n v="5"/>
    <n v="4999"/>
    <n v="0.1"/>
    <s v="South"/>
    <s v="UPI"/>
    <x v="0"/>
    <n v="5996"/>
  </r>
  <r>
    <s v="ORD03759"/>
    <d v="2026-09-03T00:00:00"/>
    <s v="C1439"/>
    <s v="Headphones"/>
    <x v="4"/>
    <n v="5"/>
    <n v="799"/>
    <n v="0.1"/>
    <s v="South"/>
    <s v="Debit Card"/>
    <x v="1"/>
    <n v="22495.5"/>
  </r>
  <r>
    <s v="ORD03760"/>
    <d v="2026-02-12T00:00:00"/>
    <s v="C1582"/>
    <s v="Monitor"/>
    <x v="1"/>
    <n v="5"/>
    <n v="1999"/>
    <n v="0.15"/>
    <s v="Central"/>
    <s v="Net Banking"/>
    <x v="0"/>
    <n v="3595.5"/>
  </r>
  <r>
    <s v="ORD03761"/>
    <d v="2026-02-15T00:00:00"/>
    <s v="C1657"/>
    <s v="Wireless Mouse"/>
    <x v="2"/>
    <n v="3"/>
    <n v="999"/>
    <n v="0.15"/>
    <s v="South"/>
    <s v="Net Banking"/>
    <x v="0"/>
    <n v="8495.75"/>
  </r>
  <r>
    <s v="ORD03762"/>
    <d v="2026-07-15T00:00:00"/>
    <s v="C1578"/>
    <s v="Laptop Stand"/>
    <x v="2"/>
    <n v="1"/>
    <n v="1299"/>
    <n v="0"/>
    <s v="West"/>
    <s v="Net Banking"/>
    <x v="0"/>
    <n v="2547.4499999999998"/>
  </r>
  <r>
    <s v="ORD03763"/>
    <d v="2026-03-15T00:00:00"/>
    <s v="C1464"/>
    <s v="Keyboard"/>
    <x v="1"/>
    <n v="2"/>
    <n v="499"/>
    <n v="0.1"/>
    <s v="West"/>
    <s v="Credit Card"/>
    <x v="0"/>
    <n v="1299"/>
  </r>
  <r>
    <s v="ORD03764"/>
    <d v="2026-02-13T00:00:00"/>
    <s v="C1118"/>
    <s v="Mechanical Keyboard"/>
    <x v="3"/>
    <n v="3"/>
    <n v="7999"/>
    <n v="0"/>
    <s v="Central"/>
    <s v="Credit Card"/>
    <x v="0"/>
    <n v="898.2"/>
  </r>
  <r>
    <s v="ORD03765"/>
    <d v="2026-08-09T00:00:00"/>
    <s v="C1037"/>
    <s v="Keyboard"/>
    <x v="0"/>
    <n v="2"/>
    <n v="599"/>
    <n v="0.1"/>
    <s v="South"/>
    <s v="Debit Card"/>
    <x v="2"/>
    <n v="23997"/>
  </r>
  <r>
    <s v="ORD03766"/>
    <d v="2026-06-09T00:00:00"/>
    <s v="C1278"/>
    <s v="Laptop Stand"/>
    <x v="4"/>
    <n v="3"/>
    <n v="799"/>
    <n v="0"/>
    <s v="North"/>
    <s v="UPI"/>
    <x v="1"/>
    <n v="1078.2"/>
  </r>
  <r>
    <s v="ORD03767"/>
    <d v="2026-05-21T00:00:00"/>
    <s v="C1143"/>
    <s v="Bluetooth Speaker"/>
    <x v="3"/>
    <n v="2"/>
    <n v="1999"/>
    <n v="0.05"/>
    <s v="North"/>
    <s v="Credit Card"/>
    <x v="1"/>
    <n v="2397"/>
  </r>
  <r>
    <s v="ORD03768"/>
    <d v="2026-06-23T00:00:00"/>
    <s v="C1023"/>
    <s v="Headphones"/>
    <x v="3"/>
    <n v="5"/>
    <n v="1299"/>
    <n v="0.05"/>
    <s v="North"/>
    <s v="Debit Card"/>
    <x v="1"/>
    <n v="3798.1"/>
  </r>
  <r>
    <s v="ORD03769"/>
    <d v="2026-01-19T00:00:00"/>
    <s v="C1131"/>
    <s v="Wireless Mouse"/>
    <x v="3"/>
    <n v="1"/>
    <n v="999"/>
    <n v="0.05"/>
    <s v="South"/>
    <s v="Credit Card"/>
    <x v="1"/>
    <n v="6170.25"/>
  </r>
  <r>
    <s v="ORD03770"/>
    <d v="2026-02-09T00:00:00"/>
    <s v="C1700"/>
    <s v="USB-C Hub"/>
    <x v="0"/>
    <n v="3"/>
    <n v="799"/>
    <n v="0"/>
    <s v="East"/>
    <s v="Net Banking"/>
    <x v="2"/>
    <n v="949.05"/>
  </r>
  <r>
    <s v="ORD03771"/>
    <d v="2026-02-06T00:00:00"/>
    <s v="C1332"/>
    <s v="Mechanical Keyboard"/>
    <x v="0"/>
    <n v="3"/>
    <n v="1299"/>
    <n v="0.1"/>
    <s v="East"/>
    <s v="Debit Card"/>
    <x v="2"/>
    <n v="2397"/>
  </r>
  <r>
    <s v="ORD03772"/>
    <d v="2026-09-30T00:00:00"/>
    <s v="C1222"/>
    <s v="Wireless Mouse"/>
    <x v="2"/>
    <n v="3"/>
    <n v="799"/>
    <n v="0"/>
    <s v="South"/>
    <s v="Credit Card"/>
    <x v="0"/>
    <n v="3507.3"/>
  </r>
  <r>
    <s v="ORD03773"/>
    <d v="2026-04-25T00:00:00"/>
    <s v="C1558"/>
    <s v="Headphones"/>
    <x v="0"/>
    <n v="2"/>
    <n v="7999"/>
    <n v="0.1"/>
    <s v="South"/>
    <s v="Credit Card"/>
    <x v="0"/>
    <n v="2397"/>
  </r>
  <r>
    <s v="ORD03774"/>
    <d v="2026-06-22T00:00:00"/>
    <s v="C1799"/>
    <s v="USB-C Hub"/>
    <x v="0"/>
    <n v="1"/>
    <n v="1499"/>
    <n v="0"/>
    <s v="Central"/>
    <s v="Credit Card"/>
    <x v="1"/>
    <n v="14398.2"/>
  </r>
  <r>
    <s v="ORD03775"/>
    <d v="2026-03-22T00:00:00"/>
    <s v="C1146"/>
    <s v="Webcam"/>
    <x v="3"/>
    <n v="3"/>
    <n v="4999"/>
    <n v="0.05"/>
    <s v="Central"/>
    <s v="COD"/>
    <x v="0"/>
    <n v="1499"/>
  </r>
  <r>
    <s v="ORD03776"/>
    <d v="2026-05-23T00:00:00"/>
    <s v="C1496"/>
    <s v="Headphones"/>
    <x v="4"/>
    <n v="1"/>
    <n v="999"/>
    <n v="0.15"/>
    <s v="Central"/>
    <s v="Debit Card"/>
    <x v="1"/>
    <n v="14247.15"/>
  </r>
  <r>
    <s v="ORD03777"/>
    <d v="2026-02-22T00:00:00"/>
    <s v="C1724"/>
    <s v="USB-C Hub"/>
    <x v="4"/>
    <n v="5"/>
    <n v="4999"/>
    <n v="0.1"/>
    <s v="South"/>
    <s v="Debit Card"/>
    <x v="0"/>
    <n v="849.15"/>
  </r>
  <r>
    <s v="ORD03778"/>
    <d v="2026-05-16T00:00:00"/>
    <s v="C1789"/>
    <s v="Wireless Mouse"/>
    <x v="1"/>
    <n v="1"/>
    <n v="499"/>
    <n v="0.1"/>
    <s v="East"/>
    <s v="UPI"/>
    <x v="0"/>
    <n v="22495.5"/>
  </r>
  <r>
    <s v="ORD03779"/>
    <d v="2026-03-05T00:00:00"/>
    <s v="C1188"/>
    <s v="Laptop Stand"/>
    <x v="2"/>
    <n v="5"/>
    <n v="1499"/>
    <n v="0"/>
    <s v="North"/>
    <s v="Credit Card"/>
    <x v="0"/>
    <n v="449.1"/>
  </r>
  <r>
    <s v="ORD03780"/>
    <d v="2026-06-04T00:00:00"/>
    <s v="C1295"/>
    <s v="Webcam"/>
    <x v="2"/>
    <n v="4"/>
    <n v="1999"/>
    <n v="0"/>
    <s v="East"/>
    <s v="UPI"/>
    <x v="0"/>
    <n v="7495"/>
  </r>
  <r>
    <s v="ORD03781"/>
    <d v="2026-01-20T00:00:00"/>
    <s v="C1513"/>
    <s v="Headphones"/>
    <x v="1"/>
    <n v="2"/>
    <n v="1299"/>
    <n v="0.1"/>
    <s v="West"/>
    <s v="Net Banking"/>
    <x v="0"/>
    <n v="7996"/>
  </r>
  <r>
    <s v="ORD03782"/>
    <d v="2026-04-20T00:00:00"/>
    <s v="C1523"/>
    <s v="Monitor"/>
    <x v="3"/>
    <n v="3"/>
    <n v="999"/>
    <n v="0.1"/>
    <s v="North"/>
    <s v="COD"/>
    <x v="0"/>
    <n v="2338.2000000000003"/>
  </r>
  <r>
    <s v="ORD03783"/>
    <d v="2026-07-21T00:00:00"/>
    <s v="C1795"/>
    <s v="Mechanical Keyboard"/>
    <x v="1"/>
    <n v="2"/>
    <n v="2499"/>
    <n v="0"/>
    <s v="South"/>
    <s v="Credit Card"/>
    <x v="0"/>
    <n v="2697.3"/>
  </r>
  <r>
    <s v="ORD03784"/>
    <d v="2026-06-05T00:00:00"/>
    <s v="C1702"/>
    <s v="Keyboard"/>
    <x v="0"/>
    <n v="5"/>
    <n v="599"/>
    <n v="0.15"/>
    <s v="North"/>
    <s v="Credit Card"/>
    <x v="0"/>
    <n v="4998"/>
  </r>
  <r>
    <s v="ORD03785"/>
    <d v="2026-08-19T00:00:00"/>
    <s v="C1267"/>
    <s v="Power Bank"/>
    <x v="2"/>
    <n v="3"/>
    <n v="4999"/>
    <n v="0"/>
    <s v="West"/>
    <s v="Debit Card"/>
    <x v="1"/>
    <n v="2545.75"/>
  </r>
  <r>
    <s v="ORD03786"/>
    <d v="2026-05-07T00:00:00"/>
    <s v="C1559"/>
    <s v="Webcam"/>
    <x v="4"/>
    <n v="2"/>
    <n v="599"/>
    <n v="0.05"/>
    <s v="North"/>
    <s v="Debit Card"/>
    <x v="1"/>
    <n v="14997"/>
  </r>
  <r>
    <s v="ORD03787"/>
    <d v="2026-04-04T00:00:00"/>
    <s v="C1613"/>
    <s v="Power Bank"/>
    <x v="2"/>
    <n v="4"/>
    <n v="2499"/>
    <n v="0.1"/>
    <s v="West"/>
    <s v="Debit Card"/>
    <x v="0"/>
    <n v="1138.0999999999999"/>
  </r>
  <r>
    <s v="ORD03788"/>
    <d v="2026-06-10T00:00:00"/>
    <s v="C1742"/>
    <s v="USB-C Hub"/>
    <x v="0"/>
    <n v="2"/>
    <n v="1499"/>
    <n v="0.1"/>
    <s v="East"/>
    <s v="Debit Card"/>
    <x v="0"/>
    <n v="8996.4"/>
  </r>
  <r>
    <s v="ORD03789"/>
    <d v="2026-07-04T00:00:00"/>
    <s v="C1692"/>
    <s v="Bluetooth Speaker"/>
    <x v="3"/>
    <n v="4"/>
    <n v="1299"/>
    <n v="0.05"/>
    <s v="South"/>
    <s v="Net Banking"/>
    <x v="0"/>
    <n v="2698.2000000000003"/>
  </r>
  <r>
    <s v="ORD03790"/>
    <d v="2026-05-13T00:00:00"/>
    <s v="C1224"/>
    <s v="Monitor"/>
    <x v="1"/>
    <n v="5"/>
    <n v="2499"/>
    <n v="0"/>
    <s v="West"/>
    <s v="COD"/>
    <x v="0"/>
    <n v="4936.2"/>
  </r>
  <r>
    <s v="ORD03791"/>
    <d v="2026-09-17T00:00:00"/>
    <s v="C1254"/>
    <s v="Keyboard"/>
    <x v="1"/>
    <n v="2"/>
    <n v="7999"/>
    <n v="0"/>
    <s v="South"/>
    <s v="Credit Card"/>
    <x v="0"/>
    <n v="12495"/>
  </r>
  <r>
    <s v="ORD03792"/>
    <d v="2026-08-18T00:00:00"/>
    <s v="C1646"/>
    <s v="Keyboard"/>
    <x v="1"/>
    <n v="3"/>
    <n v="999"/>
    <n v="0.15"/>
    <s v="North"/>
    <s v="UPI"/>
    <x v="1"/>
    <n v="15998"/>
  </r>
  <r>
    <s v="ORD03793"/>
    <d v="2026-08-01T00:00:00"/>
    <s v="C1634"/>
    <s v="Keyboard"/>
    <x v="2"/>
    <n v="2"/>
    <n v="799"/>
    <n v="0.15"/>
    <s v="West"/>
    <s v="Net Banking"/>
    <x v="1"/>
    <n v="2547.4499999999998"/>
  </r>
  <r>
    <s v="ORD03794"/>
    <d v="2026-05-21T00:00:00"/>
    <s v="C1505"/>
    <s v="Keyboard"/>
    <x v="3"/>
    <n v="5"/>
    <n v="499"/>
    <n v="0"/>
    <s v="North"/>
    <s v="UPI"/>
    <x v="0"/>
    <n v="1358.3"/>
  </r>
  <r>
    <s v="ORD03795"/>
    <d v="2026-05-09T00:00:00"/>
    <s v="C1140"/>
    <s v="Webcam"/>
    <x v="2"/>
    <n v="1"/>
    <n v="1499"/>
    <n v="0"/>
    <s v="West"/>
    <s v="Debit Card"/>
    <x v="2"/>
    <n v="2495"/>
  </r>
  <r>
    <s v="ORD03796"/>
    <d v="2026-01-30T00:00:00"/>
    <s v="C1634"/>
    <s v="Laptop Stand"/>
    <x v="3"/>
    <n v="5"/>
    <n v="1999"/>
    <n v="0.05"/>
    <s v="Central"/>
    <s v="UPI"/>
    <x v="0"/>
    <n v="1499"/>
  </r>
  <r>
    <s v="ORD03797"/>
    <d v="2026-07-10T00:00:00"/>
    <s v="C1617"/>
    <s v="Laptop Stand"/>
    <x v="0"/>
    <n v="5"/>
    <n v="999"/>
    <n v="0.15"/>
    <s v="South"/>
    <s v="COD"/>
    <x v="0"/>
    <n v="9495.25"/>
  </r>
  <r>
    <s v="ORD03798"/>
    <d v="2026-04-28T00:00:00"/>
    <s v="C1626"/>
    <s v="Monitor"/>
    <x v="2"/>
    <n v="2"/>
    <n v="1499"/>
    <n v="0"/>
    <s v="East"/>
    <s v="COD"/>
    <x v="0"/>
    <n v="4245.75"/>
  </r>
  <r>
    <s v="ORD03799"/>
    <d v="2026-09-21T00:00:00"/>
    <s v="C1488"/>
    <s v="Power Bank"/>
    <x v="4"/>
    <n v="1"/>
    <n v="499"/>
    <n v="0.1"/>
    <s v="South"/>
    <s v="Debit Card"/>
    <x v="1"/>
    <n v="2998"/>
  </r>
  <r>
    <s v="ORD03800"/>
    <d v="2026-02-12T00:00:00"/>
    <s v="C1415"/>
    <s v="Webcam"/>
    <x v="2"/>
    <n v="5"/>
    <n v="499"/>
    <n v="0.1"/>
    <s v="West"/>
    <s v="Credit Card"/>
    <x v="1"/>
    <n v="449.1"/>
  </r>
  <r>
    <s v="ORD03801"/>
    <d v="2026-02-08T00:00:00"/>
    <s v="C1734"/>
    <s v="Mechanical Keyboard"/>
    <x v="0"/>
    <n v="2"/>
    <n v="2499"/>
    <n v="0"/>
    <s v="Central"/>
    <s v="Net Banking"/>
    <x v="0"/>
    <n v="2245.5"/>
  </r>
  <r>
    <s v="ORD03802"/>
    <d v="2026-04-13T00:00:00"/>
    <s v="C1314"/>
    <s v="Wireless Mouse"/>
    <x v="0"/>
    <n v="2"/>
    <n v="2499"/>
    <n v="0.1"/>
    <s v="North"/>
    <s v="Credit Card"/>
    <x v="1"/>
    <n v="4998"/>
  </r>
  <r>
    <s v="ORD03803"/>
    <d v="2026-03-22T00:00:00"/>
    <s v="C1234"/>
    <s v="Wireless Mouse"/>
    <x v="4"/>
    <n v="2"/>
    <n v="1499"/>
    <n v="0"/>
    <s v="West"/>
    <s v="UPI"/>
    <x v="0"/>
    <n v="4498.2"/>
  </r>
  <r>
    <s v="ORD03804"/>
    <d v="2026-09-17T00:00:00"/>
    <s v="C1453"/>
    <s v="Monitor"/>
    <x v="0"/>
    <n v="1"/>
    <n v="1999"/>
    <n v="0.05"/>
    <s v="West"/>
    <s v="Credit Card"/>
    <x v="1"/>
    <n v="2998"/>
  </r>
  <r>
    <s v="ORD03805"/>
    <d v="2026-02-28T00:00:00"/>
    <s v="C1310"/>
    <s v="Headphones"/>
    <x v="3"/>
    <n v="5"/>
    <n v="2499"/>
    <n v="0"/>
    <s v="South"/>
    <s v="UPI"/>
    <x v="0"/>
    <n v="1899.05"/>
  </r>
  <r>
    <s v="ORD03806"/>
    <d v="2026-09-08T00:00:00"/>
    <s v="C1602"/>
    <s v="Power Bank"/>
    <x v="4"/>
    <n v="3"/>
    <n v="599"/>
    <n v="0.15"/>
    <s v="Central"/>
    <s v="COD"/>
    <x v="1"/>
    <n v="12495"/>
  </r>
  <r>
    <s v="ORD03807"/>
    <d v="2026-02-26T00:00:00"/>
    <s v="C1242"/>
    <s v="Power Bank"/>
    <x v="3"/>
    <n v="3"/>
    <n v="1299"/>
    <n v="0"/>
    <s v="Central"/>
    <s v="Credit Card"/>
    <x v="0"/>
    <n v="1527.45"/>
  </r>
  <r>
    <s v="ORD03808"/>
    <d v="2026-02-26T00:00:00"/>
    <s v="C1622"/>
    <s v="Headphones"/>
    <x v="4"/>
    <n v="2"/>
    <n v="599"/>
    <n v="0"/>
    <s v="Central"/>
    <s v="Debit Card"/>
    <x v="0"/>
    <n v="3897"/>
  </r>
  <r>
    <s v="ORD03809"/>
    <d v="2026-06-16T00:00:00"/>
    <s v="C1341"/>
    <s v="Monitor"/>
    <x v="2"/>
    <n v="5"/>
    <n v="1999"/>
    <n v="0"/>
    <s v="South"/>
    <s v="Debit Card"/>
    <x v="0"/>
    <n v="1198"/>
  </r>
  <r>
    <s v="ORD03810"/>
    <d v="2026-09-12T00:00:00"/>
    <s v="C1314"/>
    <s v="Bluetooth Speaker"/>
    <x v="3"/>
    <n v="2"/>
    <n v="7999"/>
    <n v="0"/>
    <s v="West"/>
    <s v="Credit Card"/>
    <x v="1"/>
    <n v="9995"/>
  </r>
  <r>
    <s v="ORD03811"/>
    <d v="2026-01-20T00:00:00"/>
    <s v="C1390"/>
    <s v="Power Bank"/>
    <x v="0"/>
    <n v="1"/>
    <n v="1999"/>
    <n v="0.1"/>
    <s v="South"/>
    <s v="Debit Card"/>
    <x v="0"/>
    <n v="15998"/>
  </r>
  <r>
    <s v="ORD03812"/>
    <d v="2026-02-07T00:00:00"/>
    <s v="C1095"/>
    <s v="Mechanical Keyboard"/>
    <x v="3"/>
    <n v="2"/>
    <n v="7999"/>
    <n v="0.05"/>
    <s v="West"/>
    <s v="Debit Card"/>
    <x v="2"/>
    <n v="1799.1000000000001"/>
  </r>
  <r>
    <s v="ORD03813"/>
    <d v="2026-03-31T00:00:00"/>
    <s v="C1776"/>
    <s v="Webcam"/>
    <x v="1"/>
    <n v="5"/>
    <n v="499"/>
    <n v="0"/>
    <s v="North"/>
    <s v="UPI"/>
    <x v="0"/>
    <n v="15198.099999999999"/>
  </r>
  <r>
    <s v="ORD03814"/>
    <d v="2026-07-21T00:00:00"/>
    <s v="C1256"/>
    <s v="Monitor"/>
    <x v="1"/>
    <n v="4"/>
    <n v="7999"/>
    <n v="0.1"/>
    <s v="East"/>
    <s v="Debit Card"/>
    <x v="0"/>
    <n v="2495"/>
  </r>
  <r>
    <s v="ORD03815"/>
    <d v="2026-08-01T00:00:00"/>
    <s v="C1042"/>
    <s v="Monitor"/>
    <x v="2"/>
    <n v="4"/>
    <n v="799"/>
    <n v="0"/>
    <s v="Central"/>
    <s v="UPI"/>
    <x v="1"/>
    <n v="28796.400000000001"/>
  </r>
  <r>
    <s v="ORD03816"/>
    <d v="2026-08-31T00:00:00"/>
    <s v="C1324"/>
    <s v="Headphones"/>
    <x v="3"/>
    <n v="5"/>
    <n v="7999"/>
    <n v="0.15"/>
    <s v="South"/>
    <s v="Debit Card"/>
    <x v="0"/>
    <n v="3196"/>
  </r>
  <r>
    <s v="ORD03817"/>
    <d v="2026-01-20T00:00:00"/>
    <s v="C1369"/>
    <s v="Laptop Stand"/>
    <x v="2"/>
    <n v="2"/>
    <n v="7999"/>
    <n v="0"/>
    <s v="West"/>
    <s v="Credit Card"/>
    <x v="2"/>
    <n v="33995.75"/>
  </r>
  <r>
    <s v="ORD03818"/>
    <d v="2026-04-05T00:00:00"/>
    <s v="C1614"/>
    <s v="Keyboard"/>
    <x v="3"/>
    <n v="3"/>
    <n v="7999"/>
    <n v="0.1"/>
    <s v="West"/>
    <s v="Net Banking"/>
    <x v="0"/>
    <n v="15998"/>
  </r>
  <r>
    <s v="ORD03819"/>
    <d v="2026-06-14T00:00:00"/>
    <s v="C1571"/>
    <s v="Power Bank"/>
    <x v="3"/>
    <n v="4"/>
    <n v="599"/>
    <n v="0.05"/>
    <s v="South"/>
    <s v="Credit Card"/>
    <x v="0"/>
    <n v="21597.3"/>
  </r>
  <r>
    <s v="ORD03820"/>
    <d v="2026-08-20T00:00:00"/>
    <s v="C1081"/>
    <s v="Bluetooth Speaker"/>
    <x v="3"/>
    <n v="3"/>
    <n v="4999"/>
    <n v="0.15"/>
    <s v="Central"/>
    <s v="Net Banking"/>
    <x v="1"/>
    <n v="2276.1999999999998"/>
  </r>
  <r>
    <s v="ORD03821"/>
    <d v="2026-08-26T00:00:00"/>
    <s v="C1706"/>
    <s v="Laptop Stand"/>
    <x v="1"/>
    <n v="1"/>
    <n v="999"/>
    <n v="0"/>
    <s v="East"/>
    <s v="Net Banking"/>
    <x v="0"/>
    <n v="12747.449999999999"/>
  </r>
  <r>
    <s v="ORD03822"/>
    <d v="2026-05-18T00:00:00"/>
    <s v="C1365"/>
    <s v="Bluetooth Speaker"/>
    <x v="3"/>
    <n v="1"/>
    <n v="799"/>
    <n v="0.05"/>
    <s v="West"/>
    <s v="Debit Card"/>
    <x v="0"/>
    <n v="999"/>
  </r>
  <r>
    <s v="ORD03823"/>
    <d v="2026-08-31T00:00:00"/>
    <s v="C1669"/>
    <s v="Headphones"/>
    <x v="4"/>
    <n v="3"/>
    <n v="1499"/>
    <n v="0.15"/>
    <s v="West"/>
    <s v="Credit Card"/>
    <x v="0"/>
    <n v="759.05"/>
  </r>
  <r>
    <s v="ORD03824"/>
    <d v="2026-01-21T00:00:00"/>
    <s v="C1509"/>
    <s v="Keyboard"/>
    <x v="3"/>
    <n v="4"/>
    <n v="599"/>
    <n v="0.1"/>
    <s v="North"/>
    <s v="Debit Card"/>
    <x v="0"/>
    <n v="3822.45"/>
  </r>
  <r>
    <s v="ORD03825"/>
    <d v="2026-08-17T00:00:00"/>
    <s v="C1148"/>
    <s v="Monitor"/>
    <x v="1"/>
    <n v="2"/>
    <n v="7999"/>
    <n v="0.05"/>
    <s v="Central"/>
    <s v="COD"/>
    <x v="0"/>
    <n v="2156.4"/>
  </r>
  <r>
    <s v="ORD03826"/>
    <d v="2026-07-04T00:00:00"/>
    <s v="C1550"/>
    <s v="Bluetooth Speaker"/>
    <x v="2"/>
    <n v="2"/>
    <n v="799"/>
    <n v="0"/>
    <s v="East"/>
    <s v="UPI"/>
    <x v="1"/>
    <n v="15198.099999999999"/>
  </r>
  <r>
    <s v="ORD03827"/>
    <d v="2026-04-26T00:00:00"/>
    <s v="C1040"/>
    <s v="Headphones"/>
    <x v="4"/>
    <n v="4"/>
    <n v="1499"/>
    <n v="0.1"/>
    <s v="North"/>
    <s v="COD"/>
    <x v="2"/>
    <n v="1598"/>
  </r>
  <r>
    <s v="ORD03828"/>
    <d v="2026-03-16T00:00:00"/>
    <s v="C1518"/>
    <s v="Power Bank"/>
    <x v="1"/>
    <n v="5"/>
    <n v="7999"/>
    <n v="0.1"/>
    <s v="West"/>
    <s v="Net Banking"/>
    <x v="0"/>
    <n v="5396.4000000000005"/>
  </r>
  <r>
    <s v="ORD03829"/>
    <d v="2026-01-13T00:00:00"/>
    <s v="C1214"/>
    <s v="Laptop Stand"/>
    <x v="3"/>
    <n v="1"/>
    <n v="7999"/>
    <n v="0"/>
    <s v="Central"/>
    <s v="COD"/>
    <x v="1"/>
    <n v="35995.5"/>
  </r>
  <r>
    <s v="ORD03830"/>
    <d v="2026-09-25T00:00:00"/>
    <s v="C1453"/>
    <s v="Bluetooth Speaker"/>
    <x v="1"/>
    <n v="2"/>
    <n v="599"/>
    <n v="0.15"/>
    <s v="East"/>
    <s v="UPI"/>
    <x v="0"/>
    <n v="7999"/>
  </r>
  <r>
    <s v="ORD03831"/>
    <d v="2026-03-12T00:00:00"/>
    <s v="C1290"/>
    <s v="Mechanical Keyboard"/>
    <x v="1"/>
    <n v="3"/>
    <n v="599"/>
    <n v="0.05"/>
    <s v="East"/>
    <s v="Credit Card"/>
    <x v="0"/>
    <n v="1018.3"/>
  </r>
  <r>
    <s v="ORD03832"/>
    <d v="2026-07-21T00:00:00"/>
    <s v="C1792"/>
    <s v="USB-C Hub"/>
    <x v="0"/>
    <n v="1"/>
    <n v="1999"/>
    <n v="0.05"/>
    <s v="East"/>
    <s v="COD"/>
    <x v="0"/>
    <n v="1707.1499999999999"/>
  </r>
  <r>
    <s v="ORD03833"/>
    <d v="2026-03-03T00:00:00"/>
    <s v="C1377"/>
    <s v="Bluetooth Speaker"/>
    <x v="1"/>
    <n v="2"/>
    <n v="1299"/>
    <n v="0.1"/>
    <s v="East"/>
    <s v="UPI"/>
    <x v="0"/>
    <n v="1899.05"/>
  </r>
  <r>
    <s v="ORD03834"/>
    <d v="2026-06-10T00:00:00"/>
    <s v="C1666"/>
    <s v="Headphones"/>
    <x v="3"/>
    <n v="4"/>
    <n v="4999"/>
    <n v="0"/>
    <s v="East"/>
    <s v="Net Banking"/>
    <x v="0"/>
    <n v="2338.2000000000003"/>
  </r>
  <r>
    <s v="ORD03835"/>
    <d v="2026-01-28T00:00:00"/>
    <s v="C1649"/>
    <s v="Keyboard"/>
    <x v="4"/>
    <n v="1"/>
    <n v="499"/>
    <n v="0"/>
    <s v="North"/>
    <s v="Credit Card"/>
    <x v="2"/>
    <n v="19996"/>
  </r>
  <r>
    <s v="ORD03836"/>
    <d v="2026-01-26T00:00:00"/>
    <s v="C1486"/>
    <s v="Mechanical Keyboard"/>
    <x v="1"/>
    <n v="1"/>
    <n v="1299"/>
    <n v="0"/>
    <s v="North"/>
    <s v="Net Banking"/>
    <x v="1"/>
    <n v="499"/>
  </r>
  <r>
    <s v="ORD03837"/>
    <d v="2026-08-05T00:00:00"/>
    <s v="C1538"/>
    <s v="Headphones"/>
    <x v="3"/>
    <n v="3"/>
    <n v="599"/>
    <n v="0"/>
    <s v="North"/>
    <s v="Credit Card"/>
    <x v="0"/>
    <n v="1299"/>
  </r>
  <r>
    <s v="ORD03838"/>
    <d v="2026-03-28T00:00:00"/>
    <s v="C1017"/>
    <s v="Webcam"/>
    <x v="2"/>
    <n v="2"/>
    <n v="7999"/>
    <n v="0.1"/>
    <s v="North"/>
    <s v="Debit Card"/>
    <x v="1"/>
    <n v="1797"/>
  </r>
  <r>
    <s v="ORD03839"/>
    <d v="2026-01-21T00:00:00"/>
    <s v="C1607"/>
    <s v="Keyboard"/>
    <x v="0"/>
    <n v="4"/>
    <n v="1499"/>
    <n v="0"/>
    <s v="Central"/>
    <s v="Credit Card"/>
    <x v="1"/>
    <n v="14398.2"/>
  </r>
  <r>
    <s v="ORD03840"/>
    <d v="2026-02-08T00:00:00"/>
    <s v="C1275"/>
    <s v="Monitor"/>
    <x v="0"/>
    <n v="5"/>
    <n v="2499"/>
    <n v="0"/>
    <s v="West"/>
    <s v="Credit Card"/>
    <x v="0"/>
    <n v="5996"/>
  </r>
  <r>
    <s v="ORD03841"/>
    <d v="2026-06-02T00:00:00"/>
    <s v="C1282"/>
    <s v="Webcam"/>
    <x v="2"/>
    <n v="4"/>
    <n v="1499"/>
    <n v="0"/>
    <s v="East"/>
    <s v="UPI"/>
    <x v="0"/>
    <n v="12495"/>
  </r>
  <r>
    <s v="ORD03842"/>
    <d v="2026-09-02T00:00:00"/>
    <s v="C1170"/>
    <s v="Headphones"/>
    <x v="1"/>
    <n v="5"/>
    <n v="7999"/>
    <n v="0.05"/>
    <s v="West"/>
    <s v="Debit Card"/>
    <x v="2"/>
    <n v="5996"/>
  </r>
  <r>
    <s v="ORD03843"/>
    <d v="2026-07-21T00:00:00"/>
    <s v="C1358"/>
    <s v="Monitor"/>
    <x v="4"/>
    <n v="2"/>
    <n v="999"/>
    <n v="0.15"/>
    <s v="North"/>
    <s v="Net Banking"/>
    <x v="2"/>
    <n v="37995.25"/>
  </r>
  <r>
    <s v="ORD03844"/>
    <d v="2026-02-24T00:00:00"/>
    <s v="C1061"/>
    <s v="Power Bank"/>
    <x v="3"/>
    <n v="1"/>
    <n v="599"/>
    <n v="0.15"/>
    <s v="West"/>
    <s v="COD"/>
    <x v="0"/>
    <n v="1698.3"/>
  </r>
  <r>
    <s v="ORD03845"/>
    <d v="2026-08-15T00:00:00"/>
    <s v="C1728"/>
    <s v="Monitor"/>
    <x v="2"/>
    <n v="3"/>
    <n v="999"/>
    <n v="0.1"/>
    <s v="South"/>
    <s v="Debit Card"/>
    <x v="0"/>
    <n v="509.15"/>
  </r>
  <r>
    <s v="ORD03846"/>
    <d v="2026-08-03T00:00:00"/>
    <s v="C1579"/>
    <s v="Wireless Mouse"/>
    <x v="2"/>
    <n v="5"/>
    <n v="1999"/>
    <n v="0.1"/>
    <s v="Central"/>
    <s v="Debit Card"/>
    <x v="2"/>
    <n v="2697.3"/>
  </r>
  <r>
    <s v="ORD03847"/>
    <d v="2026-08-16T00:00:00"/>
    <s v="C1476"/>
    <s v="Keyboard"/>
    <x v="2"/>
    <n v="2"/>
    <n v="7999"/>
    <n v="0.05"/>
    <s v="Central"/>
    <s v="Net Banking"/>
    <x v="0"/>
    <n v="8995.5"/>
  </r>
  <r>
    <s v="ORD03848"/>
    <d v="2026-03-12T00:00:00"/>
    <s v="C1243"/>
    <s v="Webcam"/>
    <x v="0"/>
    <n v="4"/>
    <n v="499"/>
    <n v="0"/>
    <s v="North"/>
    <s v="Credit Card"/>
    <x v="0"/>
    <n v="15198.099999999999"/>
  </r>
  <r>
    <s v="ORD03849"/>
    <d v="2026-01-09T00:00:00"/>
    <s v="C1376"/>
    <s v="Headphones"/>
    <x v="2"/>
    <n v="2"/>
    <n v="7999"/>
    <n v="0.15"/>
    <s v="East"/>
    <s v="COD"/>
    <x v="0"/>
    <n v="1996"/>
  </r>
  <r>
    <s v="ORD03850"/>
    <d v="2026-02-18T00:00:00"/>
    <s v="C1659"/>
    <s v="Monitor"/>
    <x v="0"/>
    <n v="4"/>
    <n v="999"/>
    <n v="0"/>
    <s v="West"/>
    <s v="Net Banking"/>
    <x v="0"/>
    <n v="13598.3"/>
  </r>
  <r>
    <s v="ORD03851"/>
    <d v="2026-07-16T00:00:00"/>
    <s v="C1013"/>
    <s v="Webcam"/>
    <x v="1"/>
    <n v="1"/>
    <n v="599"/>
    <n v="0"/>
    <s v="East"/>
    <s v="Debit Card"/>
    <x v="0"/>
    <n v="3996"/>
  </r>
  <r>
    <s v="ORD03852"/>
    <d v="2026-03-24T00:00:00"/>
    <s v="C1150"/>
    <s v="Monitor"/>
    <x v="3"/>
    <n v="1"/>
    <n v="999"/>
    <n v="0.05"/>
    <s v="Central"/>
    <s v="Debit Card"/>
    <x v="0"/>
    <n v="599"/>
  </r>
  <r>
    <s v="ORD03853"/>
    <d v="2026-04-17T00:00:00"/>
    <s v="C1744"/>
    <s v="Laptop Stand"/>
    <x v="3"/>
    <n v="2"/>
    <n v="499"/>
    <n v="0"/>
    <s v="North"/>
    <s v="Debit Card"/>
    <x v="0"/>
    <n v="949.05"/>
  </r>
  <r>
    <s v="ORD03854"/>
    <d v="2026-03-19T00:00:00"/>
    <s v="C1152"/>
    <s v="Keyboard"/>
    <x v="3"/>
    <n v="5"/>
    <n v="599"/>
    <n v="0"/>
    <s v="South"/>
    <s v="Credit Card"/>
    <x v="0"/>
    <n v="998"/>
  </r>
  <r>
    <s v="ORD03855"/>
    <d v="2026-09-22T00:00:00"/>
    <s v="C1011"/>
    <s v="Bluetooth Speaker"/>
    <x v="4"/>
    <n v="2"/>
    <n v="1499"/>
    <n v="0"/>
    <s v="East"/>
    <s v="Net Banking"/>
    <x v="2"/>
    <n v="2995"/>
  </r>
  <r>
    <s v="ORD03856"/>
    <d v="2026-09-10T00:00:00"/>
    <s v="C1673"/>
    <s v="Monitor"/>
    <x v="4"/>
    <n v="3"/>
    <n v="1499"/>
    <n v="0.15"/>
    <s v="Central"/>
    <s v="Credit Card"/>
    <x v="2"/>
    <n v="2998"/>
  </r>
  <r>
    <s v="ORD03857"/>
    <d v="2026-02-13T00:00:00"/>
    <s v="C1481"/>
    <s v="Wireless Mouse"/>
    <x v="4"/>
    <n v="3"/>
    <n v="4999"/>
    <n v="0.05"/>
    <s v="North"/>
    <s v="Debit Card"/>
    <x v="1"/>
    <n v="3822.45"/>
  </r>
  <r>
    <s v="ORD03858"/>
    <d v="2026-05-07T00:00:00"/>
    <s v="C1706"/>
    <s v="Headphones"/>
    <x v="1"/>
    <n v="3"/>
    <n v="999"/>
    <n v="0"/>
    <s v="South"/>
    <s v="COD"/>
    <x v="0"/>
    <n v="14247.15"/>
  </r>
  <r>
    <s v="ORD03859"/>
    <d v="2026-08-23T00:00:00"/>
    <s v="C1369"/>
    <s v="Bluetooth Speaker"/>
    <x v="1"/>
    <n v="5"/>
    <n v="7999"/>
    <n v="0"/>
    <s v="West"/>
    <s v="COD"/>
    <x v="0"/>
    <n v="2997"/>
  </r>
  <r>
    <s v="ORD03860"/>
    <d v="2026-08-07T00:00:00"/>
    <s v="C1256"/>
    <s v="Mechanical Keyboard"/>
    <x v="1"/>
    <n v="2"/>
    <n v="499"/>
    <n v="0.15"/>
    <s v="South"/>
    <s v="Net Banking"/>
    <x v="0"/>
    <n v="39995"/>
  </r>
  <r>
    <s v="ORD03861"/>
    <d v="2026-09-07T00:00:00"/>
    <s v="C1105"/>
    <s v="Webcam"/>
    <x v="2"/>
    <n v="4"/>
    <n v="1299"/>
    <n v="0"/>
    <s v="Central"/>
    <s v="Credit Card"/>
    <x v="0"/>
    <n v="848.3"/>
  </r>
  <r>
    <s v="ORD03862"/>
    <d v="2026-02-05T00:00:00"/>
    <s v="C1545"/>
    <s v="Keyboard"/>
    <x v="1"/>
    <n v="5"/>
    <n v="1499"/>
    <n v="0"/>
    <s v="Central"/>
    <s v="Debit Card"/>
    <x v="1"/>
    <n v="5196"/>
  </r>
  <r>
    <s v="ORD03863"/>
    <d v="2026-07-02T00:00:00"/>
    <s v="C1548"/>
    <s v="Monitor"/>
    <x v="3"/>
    <n v="2"/>
    <n v="799"/>
    <n v="0"/>
    <s v="South"/>
    <s v="Net Banking"/>
    <x v="0"/>
    <n v="7495"/>
  </r>
  <r>
    <s v="ORD03864"/>
    <d v="2026-05-25T00:00:00"/>
    <s v="C1650"/>
    <s v="Power Bank"/>
    <x v="3"/>
    <n v="4"/>
    <n v="4999"/>
    <n v="0"/>
    <s v="Central"/>
    <s v="Debit Card"/>
    <x v="0"/>
    <n v="1598"/>
  </r>
  <r>
    <s v="ORD03865"/>
    <d v="2026-07-13T00:00:00"/>
    <s v="C1764"/>
    <s v="USB-C Hub"/>
    <x v="1"/>
    <n v="3"/>
    <n v="1499"/>
    <n v="0.05"/>
    <s v="Central"/>
    <s v="UPI"/>
    <x v="2"/>
    <n v="19996"/>
  </r>
  <r>
    <s v="ORD03866"/>
    <d v="2026-05-18T00:00:00"/>
    <s v="C1744"/>
    <s v="Laptop Stand"/>
    <x v="4"/>
    <n v="4"/>
    <n v="1299"/>
    <n v="0.05"/>
    <s v="Central"/>
    <s v="Credit Card"/>
    <x v="1"/>
    <n v="4272.1499999999996"/>
  </r>
  <r>
    <s v="ORD03867"/>
    <d v="2026-08-04T00:00:00"/>
    <s v="C1793"/>
    <s v="Bluetooth Speaker"/>
    <x v="3"/>
    <n v="1"/>
    <n v="4999"/>
    <n v="0.05"/>
    <s v="North"/>
    <s v="COD"/>
    <x v="2"/>
    <n v="4936.2"/>
  </r>
  <r>
    <s v="ORD03868"/>
    <d v="2026-05-12T00:00:00"/>
    <s v="C1784"/>
    <s v="Power Bank"/>
    <x v="4"/>
    <n v="1"/>
    <n v="1299"/>
    <n v="0"/>
    <s v="North"/>
    <s v="UPI"/>
    <x v="0"/>
    <n v="4749.05"/>
  </r>
  <r>
    <s v="ORD03869"/>
    <d v="2026-03-29T00:00:00"/>
    <s v="C1575"/>
    <s v="Webcam"/>
    <x v="1"/>
    <n v="3"/>
    <n v="1499"/>
    <n v="0.15"/>
    <s v="Central"/>
    <s v="UPI"/>
    <x v="0"/>
    <n v="1299"/>
  </r>
  <r>
    <s v="ORD03870"/>
    <d v="2026-05-08T00:00:00"/>
    <s v="C1561"/>
    <s v="Bluetooth Speaker"/>
    <x v="0"/>
    <n v="4"/>
    <n v="999"/>
    <n v="0"/>
    <s v="North"/>
    <s v="Credit Card"/>
    <x v="2"/>
    <n v="3822.45"/>
  </r>
  <r>
    <s v="ORD03871"/>
    <d v="2026-06-12T00:00:00"/>
    <s v="C1496"/>
    <s v="Wireless Mouse"/>
    <x v="4"/>
    <n v="1"/>
    <n v="7999"/>
    <n v="0.05"/>
    <s v="South"/>
    <s v="COD"/>
    <x v="1"/>
    <n v="3996"/>
  </r>
  <r>
    <s v="ORD03872"/>
    <d v="2026-01-11T00:00:00"/>
    <s v="C1180"/>
    <s v="Laptop Stand"/>
    <x v="3"/>
    <n v="4"/>
    <n v="599"/>
    <n v="0"/>
    <s v="North"/>
    <s v="Net Banking"/>
    <x v="2"/>
    <n v="7599.0499999999993"/>
  </r>
  <r>
    <s v="ORD03873"/>
    <d v="2026-05-03T00:00:00"/>
    <s v="C1383"/>
    <s v="Bluetooth Speaker"/>
    <x v="2"/>
    <n v="2"/>
    <n v="599"/>
    <n v="0.1"/>
    <s v="North"/>
    <s v="COD"/>
    <x v="0"/>
    <n v="2396"/>
  </r>
  <r>
    <s v="ORD03874"/>
    <d v="2026-06-13T00:00:00"/>
    <s v="C1334"/>
    <s v="Laptop Stand"/>
    <x v="3"/>
    <n v="2"/>
    <n v="1499"/>
    <n v="0.05"/>
    <s v="East"/>
    <s v="COD"/>
    <x v="1"/>
    <n v="1078.2"/>
  </r>
  <r>
    <s v="ORD03875"/>
    <d v="2026-01-09T00:00:00"/>
    <s v="C1470"/>
    <s v="Webcam"/>
    <x v="2"/>
    <n v="2"/>
    <n v="4999"/>
    <n v="0"/>
    <s v="East"/>
    <s v="Net Banking"/>
    <x v="0"/>
    <n v="2848.1"/>
  </r>
  <r>
    <s v="ORD03876"/>
    <d v="2026-06-20T00:00:00"/>
    <s v="C1383"/>
    <s v="Laptop Stand"/>
    <x v="4"/>
    <n v="1"/>
    <n v="2499"/>
    <n v="0.05"/>
    <s v="West"/>
    <s v="Credit Card"/>
    <x v="2"/>
    <n v="9998"/>
  </r>
  <r>
    <s v="ORD03877"/>
    <d v="2026-06-17T00:00:00"/>
    <s v="C1686"/>
    <s v="Monitor"/>
    <x v="3"/>
    <n v="5"/>
    <n v="2499"/>
    <n v="0"/>
    <s v="North"/>
    <s v="Debit Card"/>
    <x v="2"/>
    <n v="2374.0499999999997"/>
  </r>
  <r>
    <s v="ORD03878"/>
    <d v="2026-01-02T00:00:00"/>
    <s v="C1659"/>
    <s v="Power Bank"/>
    <x v="1"/>
    <n v="4"/>
    <n v="599"/>
    <n v="0.1"/>
    <s v="East"/>
    <s v="COD"/>
    <x v="2"/>
    <n v="12495"/>
  </r>
  <r>
    <s v="ORD03879"/>
    <d v="2026-03-14T00:00:00"/>
    <s v="C1691"/>
    <s v="Monitor"/>
    <x v="0"/>
    <n v="1"/>
    <n v="499"/>
    <n v="0.15"/>
    <s v="North"/>
    <s v="COD"/>
    <x v="0"/>
    <n v="2156.4"/>
  </r>
  <r>
    <s v="ORD03880"/>
    <d v="2026-05-12T00:00:00"/>
    <s v="C1560"/>
    <s v="USB-C Hub"/>
    <x v="2"/>
    <n v="4"/>
    <n v="999"/>
    <n v="0.1"/>
    <s v="North"/>
    <s v="Credit Card"/>
    <x v="1"/>
    <n v="424.15"/>
  </r>
  <r>
    <s v="ORD03881"/>
    <d v="2026-03-10T00:00:00"/>
    <s v="C1609"/>
    <s v="Mechanical Keyboard"/>
    <x v="1"/>
    <n v="1"/>
    <n v="999"/>
    <n v="0.1"/>
    <s v="West"/>
    <s v="Debit Card"/>
    <x v="0"/>
    <n v="3596.4"/>
  </r>
  <r>
    <s v="ORD03882"/>
    <d v="2026-09-09T00:00:00"/>
    <s v="C1507"/>
    <s v="Power Bank"/>
    <x v="0"/>
    <n v="2"/>
    <n v="1999"/>
    <n v="0"/>
    <s v="South"/>
    <s v="COD"/>
    <x v="2"/>
    <n v="899.1"/>
  </r>
  <r>
    <s v="ORD03883"/>
    <d v="2026-04-30T00:00:00"/>
    <s v="C1371"/>
    <s v="Power Bank"/>
    <x v="3"/>
    <n v="3"/>
    <n v="1299"/>
    <n v="0.1"/>
    <s v="Central"/>
    <s v="Net Banking"/>
    <x v="1"/>
    <n v="3998"/>
  </r>
  <r>
    <s v="ORD03884"/>
    <d v="2026-08-03T00:00:00"/>
    <s v="C1733"/>
    <s v="Bluetooth Speaker"/>
    <x v="2"/>
    <n v="5"/>
    <n v="1499"/>
    <n v="0"/>
    <s v="East"/>
    <s v="UPI"/>
    <x v="1"/>
    <n v="3507.3"/>
  </r>
  <r>
    <s v="ORD03885"/>
    <d v="2026-07-18T00:00:00"/>
    <s v="C1189"/>
    <s v="Keyboard"/>
    <x v="1"/>
    <n v="5"/>
    <n v="799"/>
    <n v="0"/>
    <s v="West"/>
    <s v="Credit Card"/>
    <x v="2"/>
    <n v="7495"/>
  </r>
  <r>
    <s v="ORD03886"/>
    <d v="2026-06-10T00:00:00"/>
    <s v="C1236"/>
    <s v="USB-C Hub"/>
    <x v="0"/>
    <n v="5"/>
    <n v="7999"/>
    <n v="0.05"/>
    <s v="Central"/>
    <s v="UPI"/>
    <x v="0"/>
    <n v="3995"/>
  </r>
  <r>
    <s v="ORD03887"/>
    <d v="2026-03-18T00:00:00"/>
    <s v="C1066"/>
    <s v="Wireless Mouse"/>
    <x v="3"/>
    <n v="3"/>
    <n v="2499"/>
    <n v="0.05"/>
    <s v="North"/>
    <s v="UPI"/>
    <x v="0"/>
    <n v="37995.25"/>
  </r>
  <r>
    <s v="ORD03888"/>
    <d v="2026-07-12T00:00:00"/>
    <s v="C1428"/>
    <s v="USB-C Hub"/>
    <x v="2"/>
    <n v="2"/>
    <n v="4999"/>
    <n v="0"/>
    <s v="East"/>
    <s v="Net Banking"/>
    <x v="2"/>
    <n v="7122.15"/>
  </r>
  <r>
    <s v="ORD03889"/>
    <d v="2026-03-31T00:00:00"/>
    <s v="C1400"/>
    <s v="Webcam"/>
    <x v="4"/>
    <n v="1"/>
    <n v="499"/>
    <n v="0"/>
    <s v="North"/>
    <s v="Credit Card"/>
    <x v="0"/>
    <n v="9998"/>
  </r>
  <r>
    <s v="ORD03890"/>
    <d v="2026-05-16T00:00:00"/>
    <s v="C1675"/>
    <s v="Laptop Stand"/>
    <x v="4"/>
    <n v="1"/>
    <n v="1999"/>
    <n v="0.15"/>
    <s v="West"/>
    <s v="Credit Card"/>
    <x v="1"/>
    <n v="499"/>
  </r>
  <r>
    <s v="ORD03891"/>
    <d v="2026-04-08T00:00:00"/>
    <s v="C1101"/>
    <s v="Keyboard"/>
    <x v="3"/>
    <n v="2"/>
    <n v="499"/>
    <n v="0.1"/>
    <s v="Central"/>
    <s v="Net Banking"/>
    <x v="2"/>
    <n v="1699.1499999999999"/>
  </r>
  <r>
    <s v="ORD03892"/>
    <d v="2026-02-07T00:00:00"/>
    <s v="C1233"/>
    <s v="Power Bank"/>
    <x v="1"/>
    <n v="2"/>
    <n v="1999"/>
    <n v="0.1"/>
    <s v="East"/>
    <s v="Net Banking"/>
    <x v="0"/>
    <n v="898.2"/>
  </r>
  <r>
    <s v="ORD03893"/>
    <d v="2026-01-23T00:00:00"/>
    <s v="C1792"/>
    <s v="Laptop Stand"/>
    <x v="0"/>
    <n v="1"/>
    <n v="499"/>
    <n v="0"/>
    <s v="East"/>
    <s v="UPI"/>
    <x v="1"/>
    <n v="3598.2000000000003"/>
  </r>
  <r>
    <s v="ORD03894"/>
    <d v="2026-06-23T00:00:00"/>
    <s v="C1664"/>
    <s v="Wireless Mouse"/>
    <x v="4"/>
    <n v="2"/>
    <n v="4999"/>
    <n v="0.05"/>
    <s v="East"/>
    <s v="UPI"/>
    <x v="0"/>
    <n v="499"/>
  </r>
  <r>
    <s v="ORD03895"/>
    <d v="2026-06-12T00:00:00"/>
    <s v="C1174"/>
    <s v="Headphones"/>
    <x v="0"/>
    <n v="1"/>
    <n v="799"/>
    <n v="0.15"/>
    <s v="East"/>
    <s v="UPI"/>
    <x v="1"/>
    <n v="9498.1"/>
  </r>
  <r>
    <s v="ORD03896"/>
    <d v="2026-05-16T00:00:00"/>
    <s v="C1618"/>
    <s v="Laptop Stand"/>
    <x v="2"/>
    <n v="2"/>
    <n v="1999"/>
    <n v="0.15"/>
    <s v="West"/>
    <s v="Credit Card"/>
    <x v="0"/>
    <n v="679.15"/>
  </r>
  <r>
    <s v="ORD03897"/>
    <d v="2026-08-11T00:00:00"/>
    <s v="C1176"/>
    <s v="Headphones"/>
    <x v="1"/>
    <n v="1"/>
    <n v="7999"/>
    <n v="0.1"/>
    <s v="North"/>
    <s v="Credit Card"/>
    <x v="0"/>
    <n v="3398.2999999999997"/>
  </r>
  <r>
    <s v="ORD03898"/>
    <d v="2026-05-22T00:00:00"/>
    <s v="C1589"/>
    <s v="Wireless Mouse"/>
    <x v="4"/>
    <n v="2"/>
    <n v="499"/>
    <n v="0.15"/>
    <s v="West"/>
    <s v="Net Banking"/>
    <x v="0"/>
    <n v="7199.1"/>
  </r>
  <r>
    <s v="ORD03899"/>
    <d v="2026-08-27T00:00:00"/>
    <s v="C1361"/>
    <s v="Keyboard"/>
    <x v="0"/>
    <n v="2"/>
    <n v="999"/>
    <n v="0.05"/>
    <s v="West"/>
    <s v="Net Banking"/>
    <x v="0"/>
    <n v="848.3"/>
  </r>
  <r>
    <s v="ORD03900"/>
    <d v="2026-07-05T00:00:00"/>
    <s v="C1354"/>
    <s v="Wireless Mouse"/>
    <x v="0"/>
    <n v="2"/>
    <n v="499"/>
    <n v="0"/>
    <s v="North"/>
    <s v="Credit Card"/>
    <x v="0"/>
    <n v="1898.1"/>
  </r>
  <r>
    <s v="ORD03901"/>
    <d v="2026-07-31T00:00:00"/>
    <s v="C1499"/>
    <s v="Monitor"/>
    <x v="4"/>
    <n v="3"/>
    <n v="7999"/>
    <n v="0"/>
    <s v="North"/>
    <s v="Net Banking"/>
    <x v="0"/>
    <n v="998"/>
  </r>
  <r>
    <s v="ORD03902"/>
    <d v="2026-08-16T00:00:00"/>
    <s v="C1258"/>
    <s v="Webcam"/>
    <x v="0"/>
    <n v="5"/>
    <n v="2499"/>
    <n v="0.1"/>
    <s v="Central"/>
    <s v="Credit Card"/>
    <x v="0"/>
    <n v="23997"/>
  </r>
  <r>
    <s v="ORD03903"/>
    <d v="2026-04-04T00:00:00"/>
    <s v="C1415"/>
    <s v="Laptop Stand"/>
    <x v="4"/>
    <n v="5"/>
    <n v="4999"/>
    <n v="0"/>
    <s v="West"/>
    <s v="Net Banking"/>
    <x v="1"/>
    <n v="11245.5"/>
  </r>
  <r>
    <s v="ORD03904"/>
    <d v="2026-06-25T00:00:00"/>
    <s v="C1167"/>
    <s v="Wireless Mouse"/>
    <x v="0"/>
    <n v="1"/>
    <n v="599"/>
    <n v="0"/>
    <s v="South"/>
    <s v="Credit Card"/>
    <x v="1"/>
    <n v="24995"/>
  </r>
  <r>
    <s v="ORD03905"/>
    <d v="2026-08-26T00:00:00"/>
    <s v="C1498"/>
    <s v="Headphones"/>
    <x v="1"/>
    <n v="4"/>
    <n v="1999"/>
    <n v="0"/>
    <s v="South"/>
    <s v="Net Banking"/>
    <x v="0"/>
    <n v="599"/>
  </r>
  <r>
    <s v="ORD03906"/>
    <d v="2026-05-07T00:00:00"/>
    <s v="C1375"/>
    <s v="Wireless Mouse"/>
    <x v="0"/>
    <n v="3"/>
    <n v="1299"/>
    <n v="0"/>
    <s v="North"/>
    <s v="UPI"/>
    <x v="1"/>
    <n v="7996"/>
  </r>
  <r>
    <s v="ORD03907"/>
    <d v="2026-04-11T00:00:00"/>
    <s v="C1397"/>
    <s v="Webcam"/>
    <x v="0"/>
    <n v="1"/>
    <n v="7999"/>
    <n v="0.05"/>
    <s v="Central"/>
    <s v="Credit Card"/>
    <x v="0"/>
    <n v="3897"/>
  </r>
  <r>
    <s v="ORD03908"/>
    <d v="2026-07-19T00:00:00"/>
    <s v="C1573"/>
    <s v="Monitor"/>
    <x v="0"/>
    <n v="3"/>
    <n v="2499"/>
    <n v="0.15"/>
    <s v="Central"/>
    <s v="COD"/>
    <x v="0"/>
    <n v="7599.0499999999993"/>
  </r>
  <r>
    <s v="ORD03909"/>
    <d v="2026-08-20T00:00:00"/>
    <s v="C1334"/>
    <s v="USB-C Hub"/>
    <x v="2"/>
    <n v="5"/>
    <n v="999"/>
    <n v="0"/>
    <s v="Central"/>
    <s v="COD"/>
    <x v="0"/>
    <n v="6372.45"/>
  </r>
  <r>
    <s v="ORD03910"/>
    <d v="2026-01-26T00:00:00"/>
    <s v="C1766"/>
    <s v="Laptop Stand"/>
    <x v="1"/>
    <n v="5"/>
    <n v="499"/>
    <n v="0"/>
    <s v="West"/>
    <s v="Net Banking"/>
    <x v="0"/>
    <n v="4995"/>
  </r>
  <r>
    <s v="ORD03911"/>
    <d v="2026-09-22T00:00:00"/>
    <s v="C1442"/>
    <s v="Headphones"/>
    <x v="4"/>
    <n v="2"/>
    <n v="1999"/>
    <n v="0"/>
    <s v="West"/>
    <s v="UPI"/>
    <x v="2"/>
    <n v="2495"/>
  </r>
  <r>
    <s v="ORD03912"/>
    <d v="2026-09-22T00:00:00"/>
    <s v="C1488"/>
    <s v="Mechanical Keyboard"/>
    <x v="3"/>
    <n v="3"/>
    <n v="2499"/>
    <n v="0.05"/>
    <s v="South"/>
    <s v="Net Banking"/>
    <x v="0"/>
    <n v="3998"/>
  </r>
  <r>
    <s v="ORD03913"/>
    <d v="2026-02-18T00:00:00"/>
    <s v="C1552"/>
    <s v="Power Bank"/>
    <x v="0"/>
    <n v="1"/>
    <n v="999"/>
    <n v="0"/>
    <s v="West"/>
    <s v="Debit Card"/>
    <x v="0"/>
    <n v="7122.15"/>
  </r>
  <r>
    <s v="ORD03914"/>
    <d v="2026-09-28T00:00:00"/>
    <s v="C1171"/>
    <s v="Power Bank"/>
    <x v="0"/>
    <n v="1"/>
    <n v="1299"/>
    <n v="0.15"/>
    <s v="East"/>
    <s v="UPI"/>
    <x v="2"/>
    <n v="999"/>
  </r>
  <r>
    <s v="ORD03915"/>
    <d v="2026-02-20T00:00:00"/>
    <s v="C1486"/>
    <s v="USB-C Hub"/>
    <x v="0"/>
    <n v="2"/>
    <n v="2499"/>
    <n v="0.1"/>
    <s v="Central"/>
    <s v="Net Banking"/>
    <x v="0"/>
    <n v="1104.1499999999999"/>
  </r>
  <r>
    <s v="ORD03916"/>
    <d v="2026-06-01T00:00:00"/>
    <s v="C1431"/>
    <s v="Power Bank"/>
    <x v="2"/>
    <n v="1"/>
    <n v="1499"/>
    <n v="0.1"/>
    <s v="South"/>
    <s v="COD"/>
    <x v="1"/>
    <n v="4498.2"/>
  </r>
  <r>
    <s v="ORD03917"/>
    <d v="2026-09-07T00:00:00"/>
    <s v="C1393"/>
    <s v="Keyboard"/>
    <x v="1"/>
    <n v="1"/>
    <n v="7999"/>
    <n v="0.1"/>
    <s v="West"/>
    <s v="Debit Card"/>
    <x v="2"/>
    <n v="1349.1000000000001"/>
  </r>
  <r>
    <s v="ORD03918"/>
    <d v="2026-04-09T00:00:00"/>
    <s v="C1172"/>
    <s v="Headphones"/>
    <x v="4"/>
    <n v="2"/>
    <n v="7999"/>
    <n v="0.05"/>
    <s v="East"/>
    <s v="Net Banking"/>
    <x v="0"/>
    <n v="7199.1"/>
  </r>
  <r>
    <s v="ORD03919"/>
    <d v="2026-08-14T00:00:00"/>
    <s v="C1110"/>
    <s v="Wireless Mouse"/>
    <x v="4"/>
    <n v="4"/>
    <n v="599"/>
    <n v="0"/>
    <s v="North"/>
    <s v="Debit Card"/>
    <x v="0"/>
    <n v="15198.099999999999"/>
  </r>
  <r>
    <s v="ORD03920"/>
    <d v="2026-09-27T00:00:00"/>
    <s v="C1314"/>
    <s v="Headphones"/>
    <x v="0"/>
    <n v="5"/>
    <n v="4999"/>
    <n v="0.15"/>
    <s v="Central"/>
    <s v="UPI"/>
    <x v="0"/>
    <n v="2396"/>
  </r>
  <r>
    <s v="ORD03921"/>
    <d v="2026-06-10T00:00:00"/>
    <s v="C1405"/>
    <s v="Laptop Stand"/>
    <x v="4"/>
    <n v="2"/>
    <n v="4999"/>
    <n v="0.1"/>
    <s v="North"/>
    <s v="Credit Card"/>
    <x v="0"/>
    <n v="21245.75"/>
  </r>
  <r>
    <s v="ORD03922"/>
    <d v="2026-05-05T00:00:00"/>
    <s v="C1435"/>
    <s v="Keyboard"/>
    <x v="3"/>
    <n v="4"/>
    <n v="2499"/>
    <n v="0.1"/>
    <s v="West"/>
    <s v="Net Banking"/>
    <x v="0"/>
    <n v="8998.2000000000007"/>
  </r>
  <r>
    <s v="ORD03923"/>
    <d v="2026-03-03T00:00:00"/>
    <s v="C1113"/>
    <s v="Wireless Mouse"/>
    <x v="1"/>
    <n v="2"/>
    <n v="1999"/>
    <n v="0"/>
    <s v="North"/>
    <s v="COD"/>
    <x v="0"/>
    <n v="8996.4"/>
  </r>
  <r>
    <s v="ORD03924"/>
    <d v="2026-06-07T00:00:00"/>
    <s v="C1639"/>
    <s v="Webcam"/>
    <x v="3"/>
    <n v="4"/>
    <n v="999"/>
    <n v="0.1"/>
    <s v="Central"/>
    <s v="Net Banking"/>
    <x v="0"/>
    <n v="3998"/>
  </r>
  <r>
    <s v="ORD03925"/>
    <d v="2026-06-15T00:00:00"/>
    <s v="C1716"/>
    <s v="Monitor"/>
    <x v="3"/>
    <n v="3"/>
    <n v="2499"/>
    <n v="0.15"/>
    <s v="North"/>
    <s v="UPI"/>
    <x v="0"/>
    <n v="3596.4"/>
  </r>
  <r>
    <s v="ORD03926"/>
    <d v="2026-08-11T00:00:00"/>
    <s v="C1474"/>
    <s v="Power Bank"/>
    <x v="2"/>
    <n v="1"/>
    <n v="999"/>
    <n v="0.05"/>
    <s v="West"/>
    <s v="UPI"/>
    <x v="1"/>
    <n v="6372.45"/>
  </r>
  <r>
    <s v="ORD03927"/>
    <d v="2026-09-03T00:00:00"/>
    <s v="C1490"/>
    <s v="Bluetooth Speaker"/>
    <x v="1"/>
    <n v="2"/>
    <n v="1499"/>
    <n v="0.1"/>
    <s v="North"/>
    <s v="Debit Card"/>
    <x v="1"/>
    <n v="949.05"/>
  </r>
  <r>
    <s v="ORD03928"/>
    <d v="2026-09-14T00:00:00"/>
    <s v="C1730"/>
    <s v="Webcam"/>
    <x v="0"/>
    <n v="4"/>
    <n v="1999"/>
    <n v="0"/>
    <s v="East"/>
    <s v="Credit Card"/>
    <x v="2"/>
    <n v="2698.2000000000003"/>
  </r>
  <r>
    <s v="ORD03929"/>
    <d v="2026-08-09T00:00:00"/>
    <s v="C1012"/>
    <s v="Headphones"/>
    <x v="0"/>
    <n v="1"/>
    <n v="799"/>
    <n v="0"/>
    <s v="North"/>
    <s v="COD"/>
    <x v="0"/>
    <n v="7996"/>
  </r>
  <r>
    <s v="ORD03930"/>
    <d v="2026-04-06T00:00:00"/>
    <s v="C1522"/>
    <s v="Bluetooth Speaker"/>
    <x v="1"/>
    <n v="1"/>
    <n v="999"/>
    <n v="0"/>
    <s v="East"/>
    <s v="COD"/>
    <x v="2"/>
    <n v="799"/>
  </r>
  <r>
    <s v="ORD03931"/>
    <d v="2026-03-09T00:00:00"/>
    <s v="C1095"/>
    <s v="Headphones"/>
    <x v="1"/>
    <n v="5"/>
    <n v="1499"/>
    <n v="0"/>
    <s v="South"/>
    <s v="UPI"/>
    <x v="0"/>
    <n v="999"/>
  </r>
  <r>
    <s v="ORD03932"/>
    <d v="2026-03-05T00:00:00"/>
    <s v="C1106"/>
    <s v="Bluetooth Speaker"/>
    <x v="1"/>
    <n v="2"/>
    <n v="7999"/>
    <n v="0"/>
    <s v="West"/>
    <s v="COD"/>
    <x v="0"/>
    <n v="7495"/>
  </r>
  <r>
    <s v="ORD03933"/>
    <d v="2026-07-12T00:00:00"/>
    <s v="C1258"/>
    <s v="Monitor"/>
    <x v="3"/>
    <n v="5"/>
    <n v="599"/>
    <n v="0.1"/>
    <s v="North"/>
    <s v="Debit Card"/>
    <x v="0"/>
    <n v="15998"/>
  </r>
  <r>
    <s v="ORD03934"/>
    <d v="2026-08-22T00:00:00"/>
    <s v="C1481"/>
    <s v="Webcam"/>
    <x v="4"/>
    <n v="2"/>
    <n v="1999"/>
    <n v="0"/>
    <s v="North"/>
    <s v="UPI"/>
    <x v="0"/>
    <n v="2695.5"/>
  </r>
  <r>
    <s v="ORD03935"/>
    <d v="2026-05-08T00:00:00"/>
    <s v="C1063"/>
    <s v="USB-C Hub"/>
    <x v="4"/>
    <n v="4"/>
    <n v="1999"/>
    <n v="0"/>
    <s v="North"/>
    <s v="Net Banking"/>
    <x v="2"/>
    <n v="3998"/>
  </r>
  <r>
    <s v="ORD03936"/>
    <d v="2026-08-18T00:00:00"/>
    <s v="C1229"/>
    <s v="Power Bank"/>
    <x v="3"/>
    <n v="3"/>
    <n v="499"/>
    <n v="0.05"/>
    <s v="Central"/>
    <s v="UPI"/>
    <x v="2"/>
    <n v="7996"/>
  </r>
  <r>
    <s v="ORD03937"/>
    <d v="2026-01-01T00:00:00"/>
    <s v="C1464"/>
    <s v="USB-C Hub"/>
    <x v="0"/>
    <n v="4"/>
    <n v="1299"/>
    <n v="0"/>
    <s v="Central"/>
    <s v="UPI"/>
    <x v="1"/>
    <n v="1422.1499999999999"/>
  </r>
  <r>
    <s v="ORD03938"/>
    <d v="2026-06-01T00:00:00"/>
    <s v="C1151"/>
    <s v="Bluetooth Speaker"/>
    <x v="1"/>
    <n v="1"/>
    <n v="4999"/>
    <n v="0"/>
    <s v="West"/>
    <s v="Net Banking"/>
    <x v="0"/>
    <n v="5196"/>
  </r>
  <r>
    <s v="ORD03939"/>
    <d v="2026-05-07T00:00:00"/>
    <s v="C1600"/>
    <s v="Keyboard"/>
    <x v="3"/>
    <n v="3"/>
    <n v="1499"/>
    <n v="0.05"/>
    <s v="Central"/>
    <s v="COD"/>
    <x v="0"/>
    <n v="4999"/>
  </r>
  <r>
    <s v="ORD03940"/>
    <d v="2026-07-30T00:00:00"/>
    <s v="C1579"/>
    <s v="USB-C Hub"/>
    <x v="1"/>
    <n v="1"/>
    <n v="1299"/>
    <n v="0.15"/>
    <s v="North"/>
    <s v="Net Banking"/>
    <x v="1"/>
    <n v="4272.1499999999996"/>
  </r>
  <r>
    <s v="ORD03941"/>
    <d v="2026-02-08T00:00:00"/>
    <s v="C1388"/>
    <s v="Mechanical Keyboard"/>
    <x v="3"/>
    <n v="3"/>
    <n v="1999"/>
    <n v="0"/>
    <s v="East"/>
    <s v="Debit Card"/>
    <x v="0"/>
    <n v="1104.1499999999999"/>
  </r>
  <r>
    <s v="ORD03942"/>
    <d v="2026-04-12T00:00:00"/>
    <s v="C1029"/>
    <s v="Headphones"/>
    <x v="2"/>
    <n v="1"/>
    <n v="1999"/>
    <n v="0"/>
    <s v="South"/>
    <s v="COD"/>
    <x v="0"/>
    <n v="5997"/>
  </r>
  <r>
    <s v="ORD03943"/>
    <d v="2026-05-19T00:00:00"/>
    <s v="C1080"/>
    <s v="Wireless Mouse"/>
    <x v="4"/>
    <n v="5"/>
    <n v="7999"/>
    <n v="0.1"/>
    <s v="South"/>
    <s v="UPI"/>
    <x v="0"/>
    <n v="1999"/>
  </r>
  <r>
    <s v="ORD03944"/>
    <d v="2026-02-11T00:00:00"/>
    <s v="C1788"/>
    <s v="Laptop Stand"/>
    <x v="2"/>
    <n v="3"/>
    <n v="1299"/>
    <n v="0.15"/>
    <s v="North"/>
    <s v="Credit Card"/>
    <x v="2"/>
    <n v="35995.5"/>
  </r>
  <r>
    <s v="ORD03945"/>
    <d v="2026-01-11T00:00:00"/>
    <s v="C1127"/>
    <s v="Power Bank"/>
    <x v="1"/>
    <n v="1"/>
    <n v="4999"/>
    <n v="0"/>
    <s v="Central"/>
    <s v="Net Banking"/>
    <x v="0"/>
    <n v="3312.45"/>
  </r>
  <r>
    <s v="ORD03946"/>
    <d v="2026-01-15T00:00:00"/>
    <s v="C1032"/>
    <s v="Wireless Mouse"/>
    <x v="0"/>
    <n v="5"/>
    <n v="1499"/>
    <n v="0.15"/>
    <s v="South"/>
    <s v="Net Banking"/>
    <x v="0"/>
    <n v="4999"/>
  </r>
  <r>
    <s v="ORD03947"/>
    <d v="2026-03-11T00:00:00"/>
    <s v="C1682"/>
    <s v="USB-C Hub"/>
    <x v="4"/>
    <n v="3"/>
    <n v="1499"/>
    <n v="0.05"/>
    <s v="Central"/>
    <s v="Credit Card"/>
    <x v="0"/>
    <n v="6370.75"/>
  </r>
  <r>
    <s v="ORD03948"/>
    <d v="2026-09-10T00:00:00"/>
    <s v="C1022"/>
    <s v="Wireless Mouse"/>
    <x v="3"/>
    <n v="4"/>
    <n v="799"/>
    <n v="0"/>
    <s v="South"/>
    <s v="UPI"/>
    <x v="0"/>
    <n v="4272.1499999999996"/>
  </r>
  <r>
    <s v="ORD03949"/>
    <d v="2026-09-11T00:00:00"/>
    <s v="C1245"/>
    <s v="Laptop Stand"/>
    <x v="2"/>
    <n v="3"/>
    <n v="999"/>
    <n v="0"/>
    <s v="South"/>
    <s v="UPI"/>
    <x v="2"/>
    <n v="3196"/>
  </r>
  <r>
    <s v="ORD03950"/>
    <d v="2026-03-30T00:00:00"/>
    <s v="C1414"/>
    <s v="Mechanical Keyboard"/>
    <x v="1"/>
    <n v="4"/>
    <n v="999"/>
    <n v="0"/>
    <s v="South"/>
    <s v="COD"/>
    <x v="0"/>
    <n v="2997"/>
  </r>
  <r>
    <s v="ORD03951"/>
    <d v="2026-03-02T00:00:00"/>
    <s v="C1392"/>
    <s v="Keyboard"/>
    <x v="0"/>
    <n v="5"/>
    <n v="1499"/>
    <n v="0"/>
    <s v="East"/>
    <s v="Credit Card"/>
    <x v="1"/>
    <n v="3996"/>
  </r>
  <r>
    <s v="ORD03952"/>
    <d v="2026-03-21T00:00:00"/>
    <s v="C1652"/>
    <s v="Keyboard"/>
    <x v="3"/>
    <n v="1"/>
    <n v="1499"/>
    <n v="0.15"/>
    <s v="South"/>
    <s v="COD"/>
    <x v="0"/>
    <n v="7495"/>
  </r>
  <r>
    <s v="ORD03953"/>
    <d v="2026-01-26T00:00:00"/>
    <s v="C1546"/>
    <s v="Power Bank"/>
    <x v="0"/>
    <n v="3"/>
    <n v="999"/>
    <n v="0"/>
    <s v="North"/>
    <s v="Credit Card"/>
    <x v="0"/>
    <n v="1274.1499999999999"/>
  </r>
  <r>
    <s v="ORD03954"/>
    <d v="2026-05-22T00:00:00"/>
    <s v="C1430"/>
    <s v="Power Bank"/>
    <x v="1"/>
    <n v="3"/>
    <n v="7999"/>
    <n v="0.1"/>
    <s v="West"/>
    <s v="Net Banking"/>
    <x v="0"/>
    <n v="2997"/>
  </r>
  <r>
    <s v="ORD03955"/>
    <d v="2026-09-21T00:00:00"/>
    <s v="C1289"/>
    <s v="Wireless Mouse"/>
    <x v="0"/>
    <n v="3"/>
    <n v="499"/>
    <n v="0.15"/>
    <s v="South"/>
    <s v="COD"/>
    <x v="0"/>
    <n v="21597.3"/>
  </r>
  <r>
    <s v="ORD03956"/>
    <d v="2026-07-31T00:00:00"/>
    <s v="C1606"/>
    <s v="Wireless Mouse"/>
    <x v="4"/>
    <n v="2"/>
    <n v="499"/>
    <n v="0"/>
    <s v="Central"/>
    <s v="Debit Card"/>
    <x v="0"/>
    <n v="1272.45"/>
  </r>
  <r>
    <s v="ORD03957"/>
    <d v="2026-09-27T00:00:00"/>
    <s v="C1579"/>
    <s v="Power Bank"/>
    <x v="1"/>
    <n v="2"/>
    <n v="999"/>
    <n v="0.1"/>
    <s v="South"/>
    <s v="Debit Card"/>
    <x v="0"/>
    <n v="998"/>
  </r>
  <r>
    <s v="ORD03958"/>
    <d v="2026-01-13T00:00:00"/>
    <s v="C1469"/>
    <s v="Power Bank"/>
    <x v="4"/>
    <n v="1"/>
    <n v="4999"/>
    <n v="0.1"/>
    <s v="North"/>
    <s v="Net Banking"/>
    <x v="1"/>
    <n v="1798.2"/>
  </r>
  <r>
    <s v="ORD03959"/>
    <d v="2026-09-03T00:00:00"/>
    <s v="C1298"/>
    <s v="Mechanical Keyboard"/>
    <x v="1"/>
    <n v="2"/>
    <n v="7999"/>
    <n v="0"/>
    <s v="West"/>
    <s v="Credit Card"/>
    <x v="0"/>
    <n v="4499.1000000000004"/>
  </r>
  <r>
    <s v="ORD03960"/>
    <d v="2026-07-19T00:00:00"/>
    <s v="C1592"/>
    <s v="Laptop Stand"/>
    <x v="2"/>
    <n v="4"/>
    <n v="599"/>
    <n v="0.15"/>
    <s v="East"/>
    <s v="COD"/>
    <x v="1"/>
    <n v="15998"/>
  </r>
  <r>
    <s v="ORD03961"/>
    <d v="2026-01-28T00:00:00"/>
    <s v="C1344"/>
    <s v="Webcam"/>
    <x v="3"/>
    <n v="1"/>
    <n v="7999"/>
    <n v="0.1"/>
    <s v="South"/>
    <s v="Debit Card"/>
    <x v="0"/>
    <n v="2036.6"/>
  </r>
  <r>
    <s v="ORD03962"/>
    <d v="2026-07-10T00:00:00"/>
    <s v="C1664"/>
    <s v="USB-C Hub"/>
    <x v="0"/>
    <n v="5"/>
    <n v="7999"/>
    <n v="0.05"/>
    <s v="East"/>
    <s v="UPI"/>
    <x v="1"/>
    <n v="7199.1"/>
  </r>
  <r>
    <s v="ORD03963"/>
    <d v="2026-09-15T00:00:00"/>
    <s v="C1547"/>
    <s v="Power Bank"/>
    <x v="1"/>
    <n v="3"/>
    <n v="599"/>
    <n v="0.15"/>
    <s v="North"/>
    <s v="Net Banking"/>
    <x v="0"/>
    <n v="37995.25"/>
  </r>
  <r>
    <s v="ORD03964"/>
    <d v="2026-01-16T00:00:00"/>
    <s v="C1762"/>
    <s v="Webcam"/>
    <x v="4"/>
    <n v="3"/>
    <n v="7999"/>
    <n v="0.1"/>
    <s v="North"/>
    <s v="COD"/>
    <x v="1"/>
    <n v="1527.45"/>
  </r>
  <r>
    <s v="ORD03965"/>
    <d v="2026-07-19T00:00:00"/>
    <s v="C1593"/>
    <s v="Keyboard"/>
    <x v="2"/>
    <n v="1"/>
    <n v="1499"/>
    <n v="0"/>
    <s v="East"/>
    <s v="UPI"/>
    <x v="1"/>
    <n v="21597.3"/>
  </r>
  <r>
    <s v="ORD03966"/>
    <d v="2026-07-31T00:00:00"/>
    <s v="C1597"/>
    <s v="Keyboard"/>
    <x v="3"/>
    <n v="2"/>
    <n v="7999"/>
    <n v="0"/>
    <s v="South"/>
    <s v="Debit Card"/>
    <x v="1"/>
    <n v="1499"/>
  </r>
  <r>
    <s v="ORD03967"/>
    <d v="2026-02-07T00:00:00"/>
    <s v="C1442"/>
    <s v="Monitor"/>
    <x v="2"/>
    <n v="1"/>
    <n v="1499"/>
    <n v="0"/>
    <s v="East"/>
    <s v="Debit Card"/>
    <x v="1"/>
    <n v="15998"/>
  </r>
  <r>
    <s v="ORD03968"/>
    <d v="2026-01-12T00:00:00"/>
    <s v="C1579"/>
    <s v="Webcam"/>
    <x v="0"/>
    <n v="2"/>
    <n v="999"/>
    <n v="0.15"/>
    <s v="West"/>
    <s v="COD"/>
    <x v="1"/>
    <n v="1499"/>
  </r>
  <r>
    <s v="ORD03969"/>
    <d v="2026-06-07T00:00:00"/>
    <s v="C1747"/>
    <s v="Headphones"/>
    <x v="3"/>
    <n v="3"/>
    <n v="499"/>
    <n v="0"/>
    <s v="East"/>
    <s v="UPI"/>
    <x v="2"/>
    <n v="1698.3"/>
  </r>
  <r>
    <s v="ORD03970"/>
    <d v="2026-08-20T00:00:00"/>
    <s v="C1104"/>
    <s v="USB-C Hub"/>
    <x v="1"/>
    <n v="1"/>
    <n v="499"/>
    <n v="0.1"/>
    <s v="West"/>
    <s v="Net Banking"/>
    <x v="2"/>
    <n v="1497"/>
  </r>
  <r>
    <s v="ORD03971"/>
    <d v="2026-05-21T00:00:00"/>
    <s v="C1371"/>
    <s v="Bluetooth Speaker"/>
    <x v="4"/>
    <n v="4"/>
    <n v="7999"/>
    <n v="0.1"/>
    <s v="West"/>
    <s v="Net Banking"/>
    <x v="2"/>
    <n v="449.1"/>
  </r>
  <r>
    <s v="ORD03972"/>
    <d v="2026-06-16T00:00:00"/>
    <s v="C1536"/>
    <s v="Laptop Stand"/>
    <x v="3"/>
    <n v="5"/>
    <n v="4999"/>
    <n v="0"/>
    <s v="East"/>
    <s v="UPI"/>
    <x v="1"/>
    <n v="28796.400000000001"/>
  </r>
  <r>
    <s v="ORD03973"/>
    <d v="2026-04-26T00:00:00"/>
    <s v="C1655"/>
    <s v="Bluetooth Speaker"/>
    <x v="2"/>
    <n v="2"/>
    <n v="7999"/>
    <n v="0.05"/>
    <s v="West"/>
    <s v="Net Banking"/>
    <x v="2"/>
    <n v="24995"/>
  </r>
  <r>
    <s v="ORD03974"/>
    <d v="2026-08-07T00:00:00"/>
    <s v="C1426"/>
    <s v="Monitor"/>
    <x v="0"/>
    <n v="2"/>
    <n v="4999"/>
    <n v="0.15"/>
    <s v="Central"/>
    <s v="Credit Card"/>
    <x v="1"/>
    <n v="15198.099999999999"/>
  </r>
  <r>
    <s v="ORD03975"/>
    <d v="2026-07-09T00:00:00"/>
    <s v="C1506"/>
    <s v="Monitor"/>
    <x v="3"/>
    <n v="1"/>
    <n v="1999"/>
    <n v="0"/>
    <s v="North"/>
    <s v="Net Banking"/>
    <x v="1"/>
    <n v="8498.2999999999993"/>
  </r>
  <r>
    <s v="ORD03976"/>
    <d v="2026-09-02T00:00:00"/>
    <s v="C1743"/>
    <s v="Power Bank"/>
    <x v="3"/>
    <n v="5"/>
    <n v="2499"/>
    <n v="0"/>
    <s v="West"/>
    <s v="Credit Card"/>
    <x v="0"/>
    <n v="1999"/>
  </r>
  <r>
    <s v="ORD03977"/>
    <d v="2026-01-25T00:00:00"/>
    <s v="C1046"/>
    <s v="Webcam"/>
    <x v="3"/>
    <n v="4"/>
    <n v="599"/>
    <n v="0.15"/>
    <s v="South"/>
    <s v="COD"/>
    <x v="0"/>
    <n v="12495"/>
  </r>
  <r>
    <s v="ORD03978"/>
    <d v="2026-07-14T00:00:00"/>
    <s v="C1775"/>
    <s v="Mechanical Keyboard"/>
    <x v="4"/>
    <n v="1"/>
    <n v="999"/>
    <n v="0"/>
    <s v="East"/>
    <s v="COD"/>
    <x v="1"/>
    <n v="2036.6"/>
  </r>
  <r>
    <s v="ORD03979"/>
    <d v="2026-09-14T00:00:00"/>
    <s v="C1508"/>
    <s v="Mechanical Keyboard"/>
    <x v="3"/>
    <n v="1"/>
    <n v="999"/>
    <n v="0"/>
    <s v="Central"/>
    <s v="Debit Card"/>
    <x v="0"/>
    <n v="999"/>
  </r>
  <r>
    <s v="ORD03980"/>
    <d v="2026-02-24T00:00:00"/>
    <s v="C1769"/>
    <s v="Bluetooth Speaker"/>
    <x v="4"/>
    <n v="3"/>
    <n v="1499"/>
    <n v="0"/>
    <s v="East"/>
    <s v="Net Banking"/>
    <x v="2"/>
    <n v="999"/>
  </r>
  <r>
    <s v="ORD03981"/>
    <d v="2026-08-11T00:00:00"/>
    <s v="C1479"/>
    <s v="Bluetooth Speaker"/>
    <x v="3"/>
    <n v="2"/>
    <n v="1999"/>
    <n v="0.05"/>
    <s v="Central"/>
    <s v="UPI"/>
    <x v="0"/>
    <n v="4497"/>
  </r>
  <r>
    <s v="ORD03982"/>
    <d v="2026-07-14T00:00:00"/>
    <s v="C1102"/>
    <s v="Headphones"/>
    <x v="2"/>
    <n v="3"/>
    <n v="599"/>
    <n v="0.05"/>
    <s v="North"/>
    <s v="Credit Card"/>
    <x v="0"/>
    <n v="3798.1"/>
  </r>
  <r>
    <s v="ORD03983"/>
    <d v="2026-08-10T00:00:00"/>
    <s v="C1527"/>
    <s v="Laptop Stand"/>
    <x v="1"/>
    <n v="5"/>
    <n v="599"/>
    <n v="0"/>
    <s v="West"/>
    <s v="COD"/>
    <x v="1"/>
    <n v="1707.1499999999999"/>
  </r>
  <r>
    <s v="ORD03984"/>
    <d v="2026-07-10T00:00:00"/>
    <s v="C1713"/>
    <s v="Monitor"/>
    <x v="0"/>
    <n v="2"/>
    <n v="999"/>
    <n v="0.15"/>
    <s v="Central"/>
    <s v="Debit Card"/>
    <x v="0"/>
    <n v="2995"/>
  </r>
  <r>
    <s v="ORD03985"/>
    <d v="2026-08-05T00:00:00"/>
    <s v="C1419"/>
    <s v="Keyboard"/>
    <x v="4"/>
    <n v="1"/>
    <n v="799"/>
    <n v="0.15"/>
    <s v="Central"/>
    <s v="Credit Card"/>
    <x v="2"/>
    <n v="1698.3"/>
  </r>
  <r>
    <s v="ORD03986"/>
    <d v="2026-01-23T00:00:00"/>
    <s v="C1651"/>
    <s v="Keyboard"/>
    <x v="0"/>
    <n v="4"/>
    <n v="4999"/>
    <n v="0"/>
    <s v="East"/>
    <s v="UPI"/>
    <x v="0"/>
    <n v="679.15"/>
  </r>
  <r>
    <s v="ORD03987"/>
    <d v="2026-03-22T00:00:00"/>
    <s v="C1454"/>
    <s v="Bluetooth Speaker"/>
    <x v="2"/>
    <n v="2"/>
    <n v="1999"/>
    <n v="0"/>
    <s v="Central"/>
    <s v="Debit Card"/>
    <x v="2"/>
    <n v="19996"/>
  </r>
  <r>
    <s v="ORD03988"/>
    <d v="2026-02-03T00:00:00"/>
    <s v="C1793"/>
    <s v="Laptop Stand"/>
    <x v="3"/>
    <n v="1"/>
    <n v="1499"/>
    <n v="0.05"/>
    <s v="East"/>
    <s v="UPI"/>
    <x v="0"/>
    <n v="3998"/>
  </r>
  <r>
    <s v="ORD03989"/>
    <d v="2026-08-16T00:00:00"/>
    <s v="C1502"/>
    <s v="Monitor"/>
    <x v="2"/>
    <n v="1"/>
    <n v="1299"/>
    <n v="0"/>
    <s v="North"/>
    <s v="Credit Card"/>
    <x v="1"/>
    <n v="1424.05"/>
  </r>
  <r>
    <s v="ORD03990"/>
    <d v="2026-02-16T00:00:00"/>
    <s v="C1674"/>
    <s v="Mechanical Keyboard"/>
    <x v="4"/>
    <n v="2"/>
    <n v="4999"/>
    <n v="0"/>
    <s v="South"/>
    <s v="Credit Card"/>
    <x v="2"/>
    <n v="1299"/>
  </r>
  <r>
    <s v="ORD03991"/>
    <d v="2026-02-12T00:00:00"/>
    <s v="C1776"/>
    <s v="Webcam"/>
    <x v="4"/>
    <n v="3"/>
    <n v="7999"/>
    <n v="0.1"/>
    <s v="Central"/>
    <s v="Credit Card"/>
    <x v="0"/>
    <n v="9998"/>
  </r>
  <r>
    <s v="ORD03992"/>
    <d v="2026-09-20T00:00:00"/>
    <s v="C1390"/>
    <s v="Webcam"/>
    <x v="4"/>
    <n v="3"/>
    <n v="1499"/>
    <n v="0"/>
    <s v="West"/>
    <s v="COD"/>
    <x v="0"/>
    <n v="21597.3"/>
  </r>
  <r>
    <s v="ORD03993"/>
    <d v="2026-04-27T00:00:00"/>
    <s v="C1092"/>
    <s v="Webcam"/>
    <x v="3"/>
    <n v="1"/>
    <n v="999"/>
    <n v="0"/>
    <s v="South"/>
    <s v="Debit Card"/>
    <x v="2"/>
    <n v="4497"/>
  </r>
  <r>
    <s v="ORD03994"/>
    <d v="2026-07-26T00:00:00"/>
    <s v="C1706"/>
    <s v="Keyboard"/>
    <x v="2"/>
    <n v="5"/>
    <n v="1499"/>
    <n v="0.1"/>
    <s v="East"/>
    <s v="UPI"/>
    <x v="1"/>
    <n v="999"/>
  </r>
  <r>
    <s v="ORD03995"/>
    <d v="2026-04-16T00:00:00"/>
    <s v="C1151"/>
    <s v="USB-C Hub"/>
    <x v="1"/>
    <n v="4"/>
    <n v="1499"/>
    <n v="0.15"/>
    <s v="West"/>
    <s v="Credit Card"/>
    <x v="0"/>
    <n v="6745.5"/>
  </r>
  <r>
    <s v="ORD03996"/>
    <d v="2026-08-06T00:00:00"/>
    <s v="C1699"/>
    <s v="Laptop Stand"/>
    <x v="1"/>
    <n v="3"/>
    <n v="1499"/>
    <n v="0.15"/>
    <s v="West"/>
    <s v="Credit Card"/>
    <x v="0"/>
    <n v="5096.5999999999995"/>
  </r>
  <r>
    <s v="ORD03997"/>
    <d v="2026-06-23T00:00:00"/>
    <s v="C1034"/>
    <s v="Bluetooth Speaker"/>
    <x v="4"/>
    <n v="1"/>
    <n v="2499"/>
    <n v="0"/>
    <s v="West"/>
    <s v="UPI"/>
    <x v="0"/>
    <n v="3822.45"/>
  </r>
  <r>
    <s v="ORD03998"/>
    <d v="2026-03-04T00:00:00"/>
    <s v="C1715"/>
    <s v="Wireless Mouse"/>
    <x v="2"/>
    <n v="3"/>
    <n v="1999"/>
    <n v="0"/>
    <s v="West"/>
    <s v="Net Banking"/>
    <x v="0"/>
    <n v="2499"/>
  </r>
  <r>
    <s v="ORD03999"/>
    <d v="2026-07-07T00:00:00"/>
    <s v="C1377"/>
    <s v="Headphones"/>
    <x v="1"/>
    <n v="5"/>
    <n v="599"/>
    <n v="0.05"/>
    <s v="North"/>
    <s v="Net Banking"/>
    <x v="2"/>
    <n v="5997"/>
  </r>
  <r>
    <s v="ORD04000"/>
    <d v="2026-02-07T00:00:00"/>
    <s v="C1391"/>
    <s v="Power Bank"/>
    <x v="4"/>
    <n v="3"/>
    <n v="599"/>
    <n v="0.05"/>
    <s v="North"/>
    <s v="Debit Card"/>
    <x v="0"/>
    <n v="2845.25"/>
  </r>
  <r>
    <s v="ORD04001"/>
    <d v="2026-03-28T00:00:00"/>
    <s v="C1184"/>
    <s v="Power Bank"/>
    <x v="1"/>
    <n v="4"/>
    <n v="799"/>
    <n v="0.15"/>
    <s v="West"/>
    <s v="COD"/>
    <x v="0"/>
    <n v="1707.1499999999999"/>
  </r>
  <r>
    <s v="ORD04002"/>
    <d v="2026-05-18T00:00:00"/>
    <s v="C1088"/>
    <s v="Wireless Mouse"/>
    <x v="0"/>
    <n v="3"/>
    <n v="1299"/>
    <n v="0.15"/>
    <s v="Central"/>
    <s v="COD"/>
    <x v="2"/>
    <n v="2716.6"/>
  </r>
  <r>
    <s v="ORD04003"/>
    <d v="2026-04-15T00:00:00"/>
    <s v="C1683"/>
    <s v="Wireless Mouse"/>
    <x v="1"/>
    <n v="2"/>
    <n v="4999"/>
    <n v="0.05"/>
    <s v="South"/>
    <s v="Debit Card"/>
    <x v="0"/>
    <n v="3312.45"/>
  </r>
  <r>
    <s v="ORD04004"/>
    <d v="2026-02-05T00:00:00"/>
    <s v="C1480"/>
    <s v="Keyboard"/>
    <x v="0"/>
    <n v="3"/>
    <n v="1299"/>
    <n v="0"/>
    <s v="West"/>
    <s v="Credit Card"/>
    <x v="0"/>
    <n v="9498.1"/>
  </r>
  <r>
    <s v="ORD04005"/>
    <d v="2026-04-01T00:00:00"/>
    <s v="C1420"/>
    <s v="USB-C Hub"/>
    <x v="4"/>
    <n v="5"/>
    <n v="7999"/>
    <n v="0"/>
    <s v="South"/>
    <s v="Debit Card"/>
    <x v="0"/>
    <n v="3897"/>
  </r>
  <r>
    <s v="ORD04006"/>
    <d v="2026-08-01T00:00:00"/>
    <s v="C1594"/>
    <s v="Headphones"/>
    <x v="2"/>
    <n v="3"/>
    <n v="1299"/>
    <n v="0"/>
    <s v="East"/>
    <s v="Net Banking"/>
    <x v="0"/>
    <n v="39995"/>
  </r>
  <r>
    <s v="ORD04007"/>
    <d v="2026-02-08T00:00:00"/>
    <s v="C1249"/>
    <s v="Laptop Stand"/>
    <x v="2"/>
    <n v="1"/>
    <n v="1299"/>
    <n v="0.1"/>
    <s v="East"/>
    <s v="UPI"/>
    <x v="1"/>
    <n v="3897"/>
  </r>
  <r>
    <s v="ORD04008"/>
    <d v="2026-09-13T00:00:00"/>
    <s v="C1526"/>
    <s v="Wireless Mouse"/>
    <x v="3"/>
    <n v="3"/>
    <n v="799"/>
    <n v="0.05"/>
    <s v="South"/>
    <s v="COD"/>
    <x v="2"/>
    <n v="1169.1000000000001"/>
  </r>
  <r>
    <s v="ORD04009"/>
    <d v="2026-03-30T00:00:00"/>
    <s v="C1617"/>
    <s v="Webcam"/>
    <x v="2"/>
    <n v="2"/>
    <n v="2499"/>
    <n v="0.05"/>
    <s v="East"/>
    <s v="UPI"/>
    <x v="0"/>
    <n v="2277.15"/>
  </r>
  <r>
    <s v="ORD04010"/>
    <d v="2026-02-07T00:00:00"/>
    <s v="C1356"/>
    <s v="Bluetooth Speaker"/>
    <x v="0"/>
    <n v="1"/>
    <n v="2499"/>
    <n v="0.05"/>
    <s v="East"/>
    <s v="UPI"/>
    <x v="0"/>
    <n v="4748.0999999999995"/>
  </r>
  <r>
    <s v="ORD04011"/>
    <d v="2026-09-04T00:00:00"/>
    <s v="C1776"/>
    <s v="Keyboard"/>
    <x v="0"/>
    <n v="2"/>
    <n v="599"/>
    <n v="0"/>
    <s v="West"/>
    <s v="UPI"/>
    <x v="0"/>
    <n v="2374.0499999999997"/>
  </r>
  <r>
    <s v="ORD04012"/>
    <d v="2026-08-03T00:00:00"/>
    <s v="C1652"/>
    <s v="Headphones"/>
    <x v="1"/>
    <n v="2"/>
    <n v="4999"/>
    <n v="0.15"/>
    <s v="West"/>
    <s v="Credit Card"/>
    <x v="1"/>
    <n v="1198"/>
  </r>
  <r>
    <s v="ORD04013"/>
    <d v="2026-01-04T00:00:00"/>
    <s v="C1452"/>
    <s v="Bluetooth Speaker"/>
    <x v="2"/>
    <n v="5"/>
    <n v="4999"/>
    <n v="0"/>
    <s v="South"/>
    <s v="UPI"/>
    <x v="2"/>
    <n v="8498.2999999999993"/>
  </r>
  <r>
    <s v="ORD04014"/>
    <d v="2026-06-10T00:00:00"/>
    <s v="C1762"/>
    <s v="Mechanical Keyboard"/>
    <x v="3"/>
    <n v="1"/>
    <n v="1499"/>
    <n v="0.15"/>
    <s v="North"/>
    <s v="Net Banking"/>
    <x v="0"/>
    <n v="24995"/>
  </r>
  <r>
    <s v="ORD04015"/>
    <d v="2026-06-19T00:00:00"/>
    <s v="C1318"/>
    <s v="Wireless Mouse"/>
    <x v="2"/>
    <n v="3"/>
    <n v="499"/>
    <n v="0"/>
    <s v="South"/>
    <s v="Debit Card"/>
    <x v="0"/>
    <n v="1274.1499999999999"/>
  </r>
  <r>
    <s v="ORD04016"/>
    <d v="2026-02-18T00:00:00"/>
    <s v="C1763"/>
    <s v="Monitor"/>
    <x v="3"/>
    <n v="4"/>
    <n v="1999"/>
    <n v="0.05"/>
    <s v="East"/>
    <s v="Credit Card"/>
    <x v="0"/>
    <n v="1497"/>
  </r>
  <r>
    <s v="ORD04017"/>
    <d v="2026-03-27T00:00:00"/>
    <s v="C1151"/>
    <s v="Bluetooth Speaker"/>
    <x v="2"/>
    <n v="3"/>
    <n v="999"/>
    <n v="0"/>
    <s v="East"/>
    <s v="COD"/>
    <x v="0"/>
    <n v="7596.2"/>
  </r>
  <r>
    <s v="ORD04018"/>
    <d v="2026-04-05T00:00:00"/>
    <s v="C1435"/>
    <s v="Monitor"/>
    <x v="4"/>
    <n v="2"/>
    <n v="799"/>
    <n v="0"/>
    <s v="North"/>
    <s v="Credit Card"/>
    <x v="0"/>
    <n v="2997"/>
  </r>
  <r>
    <s v="ORD04019"/>
    <d v="2026-03-26T00:00:00"/>
    <s v="C1437"/>
    <s v="Bluetooth Speaker"/>
    <x v="2"/>
    <n v="5"/>
    <n v="4999"/>
    <n v="0.15"/>
    <s v="West"/>
    <s v="Credit Card"/>
    <x v="0"/>
    <n v="1598"/>
  </r>
  <r>
    <s v="ORD04020"/>
    <d v="2026-06-30T00:00:00"/>
    <s v="C1197"/>
    <s v="Bluetooth Speaker"/>
    <x v="0"/>
    <n v="2"/>
    <n v="1999"/>
    <n v="0.05"/>
    <s v="West"/>
    <s v="UPI"/>
    <x v="1"/>
    <n v="21245.75"/>
  </r>
  <r>
    <s v="ORD04021"/>
    <d v="2026-08-08T00:00:00"/>
    <s v="C1265"/>
    <s v="Laptop Stand"/>
    <x v="4"/>
    <n v="1"/>
    <n v="999"/>
    <n v="0.15"/>
    <s v="North"/>
    <s v="COD"/>
    <x v="1"/>
    <n v="3798.1"/>
  </r>
  <r>
    <s v="ORD04022"/>
    <d v="2026-09-14T00:00:00"/>
    <s v="C1247"/>
    <s v="Mechanical Keyboard"/>
    <x v="4"/>
    <n v="1"/>
    <n v="999"/>
    <n v="0"/>
    <s v="South"/>
    <s v="Debit Card"/>
    <x v="0"/>
    <n v="849.15"/>
  </r>
  <r>
    <s v="ORD04023"/>
    <d v="2026-05-20T00:00:00"/>
    <s v="C1396"/>
    <s v="Mechanical Keyboard"/>
    <x v="2"/>
    <n v="2"/>
    <n v="799"/>
    <n v="0.15"/>
    <s v="West"/>
    <s v="COD"/>
    <x v="0"/>
    <n v="999"/>
  </r>
  <r>
    <s v="ORD04024"/>
    <d v="2026-03-14T00:00:00"/>
    <s v="C1596"/>
    <s v="Bluetooth Speaker"/>
    <x v="3"/>
    <n v="2"/>
    <n v="2499"/>
    <n v="0"/>
    <s v="East"/>
    <s v="UPI"/>
    <x v="1"/>
    <n v="1358.3"/>
  </r>
  <r>
    <s v="ORD04025"/>
    <d v="2026-09-11T00:00:00"/>
    <s v="C1765"/>
    <s v="Monitor"/>
    <x v="0"/>
    <n v="5"/>
    <n v="499"/>
    <n v="0"/>
    <s v="South"/>
    <s v="COD"/>
    <x v="0"/>
    <n v="4998"/>
  </r>
  <r>
    <s v="ORD04026"/>
    <d v="2026-07-07T00:00:00"/>
    <s v="C1047"/>
    <s v="Power Bank"/>
    <x v="3"/>
    <n v="4"/>
    <n v="799"/>
    <n v="0"/>
    <s v="South"/>
    <s v="COD"/>
    <x v="0"/>
    <n v="2495"/>
  </r>
  <r>
    <s v="ORD04027"/>
    <d v="2026-03-01T00:00:00"/>
    <s v="C1105"/>
    <s v="Keyboard"/>
    <x v="1"/>
    <n v="3"/>
    <n v="599"/>
    <n v="0.15"/>
    <s v="South"/>
    <s v="UPI"/>
    <x v="2"/>
    <n v="3196"/>
  </r>
  <r>
    <s v="ORD04028"/>
    <d v="2026-04-08T00:00:00"/>
    <s v="C1225"/>
    <s v="Monitor"/>
    <x v="2"/>
    <n v="1"/>
    <n v="1299"/>
    <n v="0"/>
    <s v="Central"/>
    <s v="Debit Card"/>
    <x v="1"/>
    <n v="1527.45"/>
  </r>
  <r>
    <s v="ORD04029"/>
    <d v="2026-02-24T00:00:00"/>
    <s v="C1520"/>
    <s v="Mechanical Keyboard"/>
    <x v="2"/>
    <n v="4"/>
    <n v="1299"/>
    <n v="0.15"/>
    <s v="West"/>
    <s v="COD"/>
    <x v="2"/>
    <n v="1299"/>
  </r>
  <r>
    <s v="ORD04030"/>
    <d v="2026-08-08T00:00:00"/>
    <s v="C1568"/>
    <s v="Mechanical Keyboard"/>
    <x v="4"/>
    <n v="5"/>
    <n v="1299"/>
    <n v="0.1"/>
    <s v="North"/>
    <s v="Debit Card"/>
    <x v="0"/>
    <n v="4416.5999999999995"/>
  </r>
  <r>
    <s v="ORD04031"/>
    <d v="2026-04-29T00:00:00"/>
    <s v="C1519"/>
    <s v="Headphones"/>
    <x v="0"/>
    <n v="5"/>
    <n v="2499"/>
    <n v="0.1"/>
    <s v="East"/>
    <s v="Debit Card"/>
    <x v="1"/>
    <n v="5845.5"/>
  </r>
  <r>
    <s v="ORD04032"/>
    <d v="2026-01-11T00:00:00"/>
    <s v="C1770"/>
    <s v="USB-C Hub"/>
    <x v="0"/>
    <n v="2"/>
    <n v="1499"/>
    <n v="0"/>
    <s v="West"/>
    <s v="Credit Card"/>
    <x v="0"/>
    <n v="11245.5"/>
  </r>
  <r>
    <s v="ORD04033"/>
    <d v="2026-08-26T00:00:00"/>
    <s v="C1084"/>
    <s v="USB-C Hub"/>
    <x v="2"/>
    <n v="1"/>
    <n v="7999"/>
    <n v="0.05"/>
    <s v="Central"/>
    <s v="COD"/>
    <x v="0"/>
    <n v="2998"/>
  </r>
  <r>
    <s v="ORD04034"/>
    <d v="2026-01-09T00:00:00"/>
    <s v="C1301"/>
    <s v="Monitor"/>
    <x v="3"/>
    <n v="1"/>
    <n v="4999"/>
    <n v="0.1"/>
    <s v="West"/>
    <s v="UPI"/>
    <x v="1"/>
    <n v="7599.0499999999993"/>
  </r>
  <r>
    <s v="ORD04035"/>
    <d v="2026-04-10T00:00:00"/>
    <s v="C1270"/>
    <s v="Keyboard"/>
    <x v="4"/>
    <n v="3"/>
    <n v="1299"/>
    <n v="0"/>
    <s v="East"/>
    <s v="UPI"/>
    <x v="0"/>
    <n v="4499.1000000000004"/>
  </r>
  <r>
    <s v="ORD04036"/>
    <d v="2026-09-25T00:00:00"/>
    <s v="C1332"/>
    <s v="Monitor"/>
    <x v="4"/>
    <n v="5"/>
    <n v="1499"/>
    <n v="0"/>
    <s v="Central"/>
    <s v="Net Banking"/>
    <x v="2"/>
    <n v="3897"/>
  </r>
  <r>
    <s v="ORD04037"/>
    <d v="2026-02-12T00:00:00"/>
    <s v="C1528"/>
    <s v="Webcam"/>
    <x v="0"/>
    <n v="1"/>
    <n v="1299"/>
    <n v="0"/>
    <s v="Central"/>
    <s v="Debit Card"/>
    <x v="0"/>
    <n v="7495"/>
  </r>
  <r>
    <s v="ORD04038"/>
    <d v="2026-03-26T00:00:00"/>
    <s v="C1649"/>
    <s v="Wireless Mouse"/>
    <x v="0"/>
    <n v="4"/>
    <n v="4999"/>
    <n v="0"/>
    <s v="South"/>
    <s v="UPI"/>
    <x v="0"/>
    <n v="1299"/>
  </r>
  <r>
    <s v="ORD04039"/>
    <d v="2026-05-11T00:00:00"/>
    <s v="C1224"/>
    <s v="Monitor"/>
    <x v="3"/>
    <n v="1"/>
    <n v="7999"/>
    <n v="0.1"/>
    <s v="South"/>
    <s v="Debit Card"/>
    <x v="1"/>
    <n v="19996"/>
  </r>
  <r>
    <s v="ORD04040"/>
    <d v="2026-01-29T00:00:00"/>
    <s v="C1194"/>
    <s v="Mechanical Keyboard"/>
    <x v="2"/>
    <n v="4"/>
    <n v="599"/>
    <n v="0"/>
    <s v="East"/>
    <s v="UPI"/>
    <x v="0"/>
    <n v="7199.1"/>
  </r>
  <r>
    <s v="ORD04041"/>
    <d v="2026-05-18T00:00:00"/>
    <s v="C1327"/>
    <s v="Keyboard"/>
    <x v="4"/>
    <n v="4"/>
    <n v="7999"/>
    <n v="0.05"/>
    <s v="North"/>
    <s v="UPI"/>
    <x v="0"/>
    <n v="2396"/>
  </r>
  <r>
    <s v="ORD04042"/>
    <d v="2026-08-28T00:00:00"/>
    <s v="C1297"/>
    <s v="Mechanical Keyboard"/>
    <x v="4"/>
    <n v="3"/>
    <n v="499"/>
    <n v="0.15"/>
    <s v="East"/>
    <s v="UPI"/>
    <x v="1"/>
    <n v="30396.199999999997"/>
  </r>
  <r>
    <s v="ORD04043"/>
    <d v="2026-08-31T00:00:00"/>
    <s v="C1458"/>
    <s v="USB-C Hub"/>
    <x v="4"/>
    <n v="5"/>
    <n v="799"/>
    <n v="0"/>
    <s v="North"/>
    <s v="UPI"/>
    <x v="2"/>
    <n v="1272.45"/>
  </r>
  <r>
    <s v="ORD04044"/>
    <d v="2026-09-18T00:00:00"/>
    <s v="C1677"/>
    <s v="Laptop Stand"/>
    <x v="3"/>
    <n v="5"/>
    <n v="599"/>
    <n v="0.1"/>
    <s v="West"/>
    <s v="Net Banking"/>
    <x v="1"/>
    <n v="3995"/>
  </r>
  <r>
    <s v="ORD04045"/>
    <d v="2026-09-29T00:00:00"/>
    <s v="C1701"/>
    <s v="Laptop Stand"/>
    <x v="0"/>
    <n v="5"/>
    <n v="7999"/>
    <n v="0"/>
    <s v="West"/>
    <s v="Credit Card"/>
    <x v="0"/>
    <n v="2695.5"/>
  </r>
  <r>
    <s v="ORD04046"/>
    <d v="2026-01-23T00:00:00"/>
    <s v="C1320"/>
    <s v="Webcam"/>
    <x v="2"/>
    <n v="1"/>
    <n v="499"/>
    <n v="0.05"/>
    <s v="North"/>
    <s v="Net Banking"/>
    <x v="0"/>
    <n v="39995"/>
  </r>
  <r>
    <s v="ORD04047"/>
    <d v="2026-04-24T00:00:00"/>
    <s v="C1075"/>
    <s v="Monitor"/>
    <x v="2"/>
    <n v="5"/>
    <n v="799"/>
    <n v="0"/>
    <s v="South"/>
    <s v="COD"/>
    <x v="0"/>
    <n v="474.04999999999995"/>
  </r>
  <r>
    <s v="ORD04048"/>
    <d v="2026-05-06T00:00:00"/>
    <s v="C1560"/>
    <s v="Webcam"/>
    <x v="0"/>
    <n v="4"/>
    <n v="499"/>
    <n v="0.15"/>
    <s v="West"/>
    <s v="Net Banking"/>
    <x v="0"/>
    <n v="3995"/>
  </r>
  <r>
    <s v="ORD04049"/>
    <d v="2026-04-18T00:00:00"/>
    <s v="C1504"/>
    <s v="Power Bank"/>
    <x v="3"/>
    <n v="4"/>
    <n v="1999"/>
    <n v="0"/>
    <s v="North"/>
    <s v="UPI"/>
    <x v="0"/>
    <n v="1696.6"/>
  </r>
  <r>
    <s v="ORD04050"/>
    <d v="2026-04-05T00:00:00"/>
    <s v="C1696"/>
    <s v="Webcam"/>
    <x v="1"/>
    <n v="5"/>
    <n v="7999"/>
    <n v="0.1"/>
    <s v="North"/>
    <s v="UPI"/>
    <x v="0"/>
    <n v="7996"/>
  </r>
  <r>
    <s v="ORD04051"/>
    <d v="2026-04-01T00:00:00"/>
    <s v="C1704"/>
    <s v="Headphones"/>
    <x v="2"/>
    <n v="4"/>
    <n v="799"/>
    <n v="0.1"/>
    <s v="South"/>
    <s v="UPI"/>
    <x v="1"/>
    <n v="35995.5"/>
  </r>
  <r>
    <s v="ORD04052"/>
    <d v="2026-02-13T00:00:00"/>
    <s v="C1419"/>
    <s v="Power Bank"/>
    <x v="3"/>
    <n v="2"/>
    <n v="4999"/>
    <n v="0"/>
    <s v="West"/>
    <s v="Debit Card"/>
    <x v="2"/>
    <n v="2876.4"/>
  </r>
  <r>
    <s v="ORD04053"/>
    <d v="2026-07-10T00:00:00"/>
    <s v="C1570"/>
    <s v="USB-C Hub"/>
    <x v="4"/>
    <n v="2"/>
    <n v="999"/>
    <n v="0.05"/>
    <s v="Central"/>
    <s v="Net Banking"/>
    <x v="0"/>
    <n v="9998"/>
  </r>
  <r>
    <s v="ORD04054"/>
    <d v="2026-06-09T00:00:00"/>
    <s v="C1031"/>
    <s v="Bluetooth Speaker"/>
    <x v="0"/>
    <n v="2"/>
    <n v="1299"/>
    <n v="0.15"/>
    <s v="North"/>
    <s v="Debit Card"/>
    <x v="1"/>
    <n v="1898.1"/>
  </r>
  <r>
    <s v="ORD04055"/>
    <d v="2026-06-14T00:00:00"/>
    <s v="C1779"/>
    <s v="Power Bank"/>
    <x v="3"/>
    <n v="1"/>
    <n v="999"/>
    <n v="0.05"/>
    <s v="North"/>
    <s v="Credit Card"/>
    <x v="0"/>
    <n v="2208.2999999999997"/>
  </r>
  <r>
    <s v="ORD04056"/>
    <d v="2026-02-08T00:00:00"/>
    <s v="C1069"/>
    <s v="Laptop Stand"/>
    <x v="1"/>
    <n v="5"/>
    <n v="799"/>
    <n v="0.1"/>
    <s v="North"/>
    <s v="Net Banking"/>
    <x v="2"/>
    <n v="949.05"/>
  </r>
  <r>
    <s v="ORD04057"/>
    <d v="2026-03-29T00:00:00"/>
    <s v="C1015"/>
    <s v="Power Bank"/>
    <x v="0"/>
    <n v="1"/>
    <n v="4999"/>
    <n v="0.15"/>
    <s v="North"/>
    <s v="COD"/>
    <x v="0"/>
    <n v="3595.5"/>
  </r>
  <r>
    <s v="ORD04058"/>
    <d v="2026-04-07T00:00:00"/>
    <s v="C1544"/>
    <s v="Webcam"/>
    <x v="3"/>
    <n v="4"/>
    <n v="1999"/>
    <n v="0"/>
    <s v="West"/>
    <s v="Credit Card"/>
    <x v="0"/>
    <n v="4249.1499999999996"/>
  </r>
  <r>
    <s v="ORD04059"/>
    <d v="2026-07-17T00:00:00"/>
    <s v="C1206"/>
    <s v="Keyboard"/>
    <x v="0"/>
    <n v="3"/>
    <n v="799"/>
    <n v="0.1"/>
    <s v="East"/>
    <s v="COD"/>
    <x v="0"/>
    <n v="7996"/>
  </r>
  <r>
    <s v="ORD04060"/>
    <d v="2026-08-13T00:00:00"/>
    <s v="C1732"/>
    <s v="Wireless Mouse"/>
    <x v="4"/>
    <n v="3"/>
    <n v="1499"/>
    <n v="0"/>
    <s v="West"/>
    <s v="Net Banking"/>
    <x v="1"/>
    <n v="2157.3000000000002"/>
  </r>
  <r>
    <s v="ORD04061"/>
    <d v="2026-02-20T00:00:00"/>
    <s v="C1700"/>
    <s v="Mechanical Keyboard"/>
    <x v="1"/>
    <n v="5"/>
    <n v="4999"/>
    <n v="0"/>
    <s v="North"/>
    <s v="Credit Card"/>
    <x v="0"/>
    <n v="4497"/>
  </r>
  <r>
    <s v="ORD04062"/>
    <d v="2026-05-21T00:00:00"/>
    <s v="C1146"/>
    <s v="Laptop Stand"/>
    <x v="2"/>
    <n v="5"/>
    <n v="799"/>
    <n v="0"/>
    <s v="West"/>
    <s v="Credit Card"/>
    <x v="1"/>
    <n v="24995"/>
  </r>
  <r>
    <s v="ORD04063"/>
    <d v="2026-01-20T00:00:00"/>
    <s v="C1022"/>
    <s v="Wireless Mouse"/>
    <x v="4"/>
    <n v="2"/>
    <n v="1999"/>
    <n v="0"/>
    <s v="South"/>
    <s v="COD"/>
    <x v="0"/>
    <n v="3995"/>
  </r>
  <r>
    <s v="ORD04064"/>
    <d v="2026-01-24T00:00:00"/>
    <s v="C1513"/>
    <s v="Laptop Stand"/>
    <x v="2"/>
    <n v="5"/>
    <n v="499"/>
    <n v="0"/>
    <s v="West"/>
    <s v="UPI"/>
    <x v="0"/>
    <n v="3998"/>
  </r>
  <r>
    <s v="ORD04065"/>
    <d v="2026-01-10T00:00:00"/>
    <s v="C1460"/>
    <s v="Keyboard"/>
    <x v="3"/>
    <n v="4"/>
    <n v="2499"/>
    <n v="0"/>
    <s v="Central"/>
    <s v="Credit Card"/>
    <x v="0"/>
    <n v="2495"/>
  </r>
  <r>
    <s v="ORD04066"/>
    <d v="2026-02-04T00:00:00"/>
    <s v="C1178"/>
    <s v="Wireless Mouse"/>
    <x v="1"/>
    <n v="2"/>
    <n v="1999"/>
    <n v="0"/>
    <s v="East"/>
    <s v="Debit Card"/>
    <x v="0"/>
    <n v="9996"/>
  </r>
  <r>
    <s v="ORD04067"/>
    <d v="2026-09-16T00:00:00"/>
    <s v="C1075"/>
    <s v="Headphones"/>
    <x v="3"/>
    <n v="1"/>
    <n v="999"/>
    <n v="0"/>
    <s v="North"/>
    <s v="Net Banking"/>
    <x v="0"/>
    <n v="3998"/>
  </r>
  <r>
    <s v="ORD04068"/>
    <d v="2026-08-13T00:00:00"/>
    <s v="C1113"/>
    <s v="Keyboard"/>
    <x v="2"/>
    <n v="2"/>
    <n v="2499"/>
    <n v="0.1"/>
    <s v="South"/>
    <s v="COD"/>
    <x v="0"/>
    <n v="999"/>
  </r>
  <r>
    <s v="ORD04069"/>
    <d v="2026-07-20T00:00:00"/>
    <s v="C1387"/>
    <s v="Wireless Mouse"/>
    <x v="4"/>
    <n v="2"/>
    <n v="2499"/>
    <n v="0.05"/>
    <s v="West"/>
    <s v="UPI"/>
    <x v="0"/>
    <n v="4498.2"/>
  </r>
  <r>
    <s v="ORD04070"/>
    <d v="2026-01-12T00:00:00"/>
    <s v="C1548"/>
    <s v="Laptop Stand"/>
    <x v="1"/>
    <n v="1"/>
    <n v="999"/>
    <n v="0.1"/>
    <s v="North"/>
    <s v="Credit Card"/>
    <x v="2"/>
    <n v="4748.0999999999995"/>
  </r>
  <r>
    <s v="ORD04071"/>
    <d v="2026-07-08T00:00:00"/>
    <s v="C1020"/>
    <s v="Webcam"/>
    <x v="2"/>
    <n v="2"/>
    <n v="2499"/>
    <n v="0.05"/>
    <s v="West"/>
    <s v="Credit Card"/>
    <x v="0"/>
    <n v="899.1"/>
  </r>
  <r>
    <s v="ORD04072"/>
    <d v="2026-08-09T00:00:00"/>
    <s v="C1611"/>
    <s v="Webcam"/>
    <x v="4"/>
    <n v="1"/>
    <n v="1999"/>
    <n v="0"/>
    <s v="East"/>
    <s v="Debit Card"/>
    <x v="0"/>
    <n v="4748.0999999999995"/>
  </r>
  <r>
    <s v="ORD04073"/>
    <d v="2026-09-07T00:00:00"/>
    <s v="C1563"/>
    <s v="Webcam"/>
    <x v="0"/>
    <n v="5"/>
    <n v="999"/>
    <n v="0.05"/>
    <s v="North"/>
    <s v="Net Banking"/>
    <x v="1"/>
    <n v="1999"/>
  </r>
  <r>
    <s v="ORD04074"/>
    <d v="2026-01-08T00:00:00"/>
    <s v="C1121"/>
    <s v="Headphones"/>
    <x v="2"/>
    <n v="3"/>
    <n v="7999"/>
    <n v="0"/>
    <s v="West"/>
    <s v="Net Banking"/>
    <x v="2"/>
    <n v="4745.25"/>
  </r>
  <r>
    <s v="ORD04075"/>
    <d v="2026-02-27T00:00:00"/>
    <s v="C1228"/>
    <s v="Headphones"/>
    <x v="1"/>
    <n v="1"/>
    <n v="1999"/>
    <n v="0.1"/>
    <s v="East"/>
    <s v="Net Banking"/>
    <x v="0"/>
    <n v="23997"/>
  </r>
  <r>
    <s v="ORD04076"/>
    <d v="2026-02-25T00:00:00"/>
    <s v="C1036"/>
    <s v="Webcam"/>
    <x v="4"/>
    <n v="5"/>
    <n v="799"/>
    <n v="0.1"/>
    <s v="South"/>
    <s v="Net Banking"/>
    <x v="1"/>
    <n v="1799.1000000000001"/>
  </r>
  <r>
    <s v="ORD04077"/>
    <d v="2026-01-10T00:00:00"/>
    <s v="C1589"/>
    <s v="Monitor"/>
    <x v="1"/>
    <n v="5"/>
    <n v="7999"/>
    <n v="0.05"/>
    <s v="West"/>
    <s v="Debit Card"/>
    <x v="0"/>
    <n v="3595.5"/>
  </r>
  <r>
    <s v="ORD04078"/>
    <d v="2026-09-13T00:00:00"/>
    <s v="C1447"/>
    <s v="USB-C Hub"/>
    <x v="2"/>
    <n v="4"/>
    <n v="599"/>
    <n v="0.1"/>
    <s v="North"/>
    <s v="UPI"/>
    <x v="0"/>
    <n v="37995.25"/>
  </r>
  <r>
    <s v="ORD04079"/>
    <d v="2026-07-14T00:00:00"/>
    <s v="C1027"/>
    <s v="Bluetooth Speaker"/>
    <x v="2"/>
    <n v="5"/>
    <n v="1499"/>
    <n v="0"/>
    <s v="North"/>
    <s v="UPI"/>
    <x v="0"/>
    <n v="2156.4"/>
  </r>
  <r>
    <s v="ORD04080"/>
    <d v="2026-02-09T00:00:00"/>
    <s v="C1199"/>
    <s v="Laptop Stand"/>
    <x v="0"/>
    <n v="2"/>
    <n v="1299"/>
    <n v="0"/>
    <s v="East"/>
    <s v="Net Banking"/>
    <x v="1"/>
    <n v="7495"/>
  </r>
  <r>
    <s v="ORD04081"/>
    <d v="2026-04-03T00:00:00"/>
    <s v="C1257"/>
    <s v="Headphones"/>
    <x v="1"/>
    <n v="5"/>
    <n v="1499"/>
    <n v="0.1"/>
    <s v="Central"/>
    <s v="Credit Card"/>
    <x v="2"/>
    <n v="2598"/>
  </r>
  <r>
    <s v="ORD04082"/>
    <d v="2026-05-24T00:00:00"/>
    <s v="C1348"/>
    <s v="Webcam"/>
    <x v="4"/>
    <n v="4"/>
    <n v="2499"/>
    <n v="0.1"/>
    <s v="East"/>
    <s v="Credit Card"/>
    <x v="0"/>
    <n v="6745.5"/>
  </r>
  <r>
    <s v="ORD04083"/>
    <d v="2026-06-11T00:00:00"/>
    <s v="C1588"/>
    <s v="Power Bank"/>
    <x v="4"/>
    <n v="1"/>
    <n v="1999"/>
    <n v="0.15"/>
    <s v="East"/>
    <s v="Debit Card"/>
    <x v="0"/>
    <n v="8996.4"/>
  </r>
  <r>
    <s v="ORD04084"/>
    <d v="2026-07-04T00:00:00"/>
    <s v="C1653"/>
    <s v="Power Bank"/>
    <x v="3"/>
    <n v="4"/>
    <n v="599"/>
    <n v="0.1"/>
    <s v="East"/>
    <s v="COD"/>
    <x v="0"/>
    <n v="1699.1499999999999"/>
  </r>
  <r>
    <s v="ORD04085"/>
    <d v="2026-02-21T00:00:00"/>
    <s v="C1327"/>
    <s v="Bluetooth Speaker"/>
    <x v="3"/>
    <n v="1"/>
    <n v="499"/>
    <n v="0.05"/>
    <s v="West"/>
    <s v="COD"/>
    <x v="2"/>
    <n v="2156.4"/>
  </r>
  <r>
    <s v="ORD04086"/>
    <d v="2026-09-12T00:00:00"/>
    <s v="C1580"/>
    <s v="Webcam"/>
    <x v="2"/>
    <n v="1"/>
    <n v="4999"/>
    <n v="0.15"/>
    <s v="East"/>
    <s v="Credit Card"/>
    <x v="2"/>
    <n v="474.04999999999995"/>
  </r>
  <r>
    <s v="ORD04087"/>
    <d v="2026-02-07T00:00:00"/>
    <s v="C1376"/>
    <s v="USB-C Hub"/>
    <x v="3"/>
    <n v="4"/>
    <n v="7999"/>
    <n v="0.1"/>
    <s v="West"/>
    <s v="Credit Card"/>
    <x v="1"/>
    <n v="4249.1499999999996"/>
  </r>
  <r>
    <s v="ORD04088"/>
    <d v="2026-06-22T00:00:00"/>
    <s v="C1634"/>
    <s v="Laptop Stand"/>
    <x v="3"/>
    <n v="3"/>
    <n v="7999"/>
    <n v="0.05"/>
    <s v="East"/>
    <s v="Credit Card"/>
    <x v="2"/>
    <n v="28796.400000000001"/>
  </r>
  <r>
    <s v="ORD04089"/>
    <d v="2026-01-09T00:00:00"/>
    <s v="C1375"/>
    <s v="Bluetooth Speaker"/>
    <x v="1"/>
    <n v="3"/>
    <n v="1299"/>
    <n v="0.1"/>
    <s v="Central"/>
    <s v="COD"/>
    <x v="0"/>
    <n v="22797.149999999998"/>
  </r>
  <r>
    <s v="ORD04090"/>
    <d v="2026-09-12T00:00:00"/>
    <s v="C1099"/>
    <s v="Webcam"/>
    <x v="4"/>
    <n v="5"/>
    <n v="1999"/>
    <n v="0"/>
    <s v="West"/>
    <s v="COD"/>
    <x v="0"/>
    <n v="3507.3"/>
  </r>
  <r>
    <s v="ORD04091"/>
    <d v="2026-02-10T00:00:00"/>
    <s v="C1078"/>
    <s v="Power Bank"/>
    <x v="2"/>
    <n v="3"/>
    <n v="4999"/>
    <n v="0"/>
    <s v="Central"/>
    <s v="Net Banking"/>
    <x v="0"/>
    <n v="9995"/>
  </r>
  <r>
    <s v="ORD04092"/>
    <d v="2026-02-18T00:00:00"/>
    <s v="C1476"/>
    <s v="Monitor"/>
    <x v="1"/>
    <n v="4"/>
    <n v="1999"/>
    <n v="0"/>
    <s v="South"/>
    <s v="Credit Card"/>
    <x v="1"/>
    <n v="14997"/>
  </r>
  <r>
    <s v="ORD04093"/>
    <d v="2026-01-08T00:00:00"/>
    <s v="C1017"/>
    <s v="Laptop Stand"/>
    <x v="0"/>
    <n v="3"/>
    <n v="499"/>
    <n v="0"/>
    <s v="Central"/>
    <s v="Credit Card"/>
    <x v="1"/>
    <n v="7996"/>
  </r>
  <r>
    <s v="ORD04094"/>
    <d v="2026-07-01T00:00:00"/>
    <s v="C1109"/>
    <s v="Mechanical Keyboard"/>
    <x v="0"/>
    <n v="1"/>
    <n v="1299"/>
    <n v="0"/>
    <s v="East"/>
    <s v="Debit Card"/>
    <x v="2"/>
    <n v="1497"/>
  </r>
  <r>
    <s v="ORD04095"/>
    <d v="2026-01-12T00:00:00"/>
    <s v="C1478"/>
    <s v="Keyboard"/>
    <x v="2"/>
    <n v="3"/>
    <n v="499"/>
    <n v="0"/>
    <s v="North"/>
    <s v="UPI"/>
    <x v="0"/>
    <n v="1299"/>
  </r>
  <r>
    <s v="ORD04096"/>
    <d v="2026-07-02T00:00:00"/>
    <s v="C1604"/>
    <s v="USB-C Hub"/>
    <x v="4"/>
    <n v="2"/>
    <n v="799"/>
    <n v="0.05"/>
    <s v="Central"/>
    <s v="Net Banking"/>
    <x v="1"/>
    <n v="1497"/>
  </r>
  <r>
    <s v="ORD04097"/>
    <d v="2026-06-27T00:00:00"/>
    <s v="C1582"/>
    <s v="Laptop Stand"/>
    <x v="3"/>
    <n v="4"/>
    <n v="2499"/>
    <n v="0.1"/>
    <s v="East"/>
    <s v="Debit Card"/>
    <x v="0"/>
    <n v="1518.1"/>
  </r>
  <r>
    <s v="ORD04098"/>
    <d v="2026-08-16T00:00:00"/>
    <s v="C1573"/>
    <s v="Mechanical Keyboard"/>
    <x v="4"/>
    <n v="1"/>
    <n v="2499"/>
    <n v="0"/>
    <s v="Central"/>
    <s v="UPI"/>
    <x v="0"/>
    <n v="8996.4"/>
  </r>
  <r>
    <s v="ORD04099"/>
    <d v="2026-02-01T00:00:00"/>
    <s v="C1409"/>
    <s v="Bluetooth Speaker"/>
    <x v="0"/>
    <n v="1"/>
    <n v="1299"/>
    <n v="0.1"/>
    <s v="South"/>
    <s v="UPI"/>
    <x v="0"/>
    <n v="2499"/>
  </r>
  <r>
    <s v="ORD04100"/>
    <d v="2026-02-28T00:00:00"/>
    <s v="C1649"/>
    <s v="Webcam"/>
    <x v="3"/>
    <n v="4"/>
    <n v="999"/>
    <n v="0.05"/>
    <s v="Central"/>
    <s v="Net Banking"/>
    <x v="0"/>
    <n v="1169.1000000000001"/>
  </r>
  <r>
    <s v="ORD04101"/>
    <d v="2026-07-18T00:00:00"/>
    <s v="C1397"/>
    <s v="Laptop Stand"/>
    <x v="2"/>
    <n v="4"/>
    <n v="599"/>
    <n v="0.1"/>
    <s v="West"/>
    <s v="UPI"/>
    <x v="0"/>
    <n v="3796.2"/>
  </r>
  <r>
    <s v="ORD04102"/>
    <d v="2026-04-28T00:00:00"/>
    <s v="C1293"/>
    <s v="Power Bank"/>
    <x v="1"/>
    <n v="2"/>
    <n v="2499"/>
    <n v="0.1"/>
    <s v="North"/>
    <s v="Debit Card"/>
    <x v="1"/>
    <n v="2156.4"/>
  </r>
  <r>
    <s v="ORD04103"/>
    <d v="2026-02-18T00:00:00"/>
    <s v="C1180"/>
    <s v="Webcam"/>
    <x v="4"/>
    <n v="3"/>
    <n v="1299"/>
    <n v="0"/>
    <s v="North"/>
    <s v="Credit Card"/>
    <x v="1"/>
    <n v="4498.2"/>
  </r>
  <r>
    <s v="ORD04104"/>
    <d v="2026-03-07T00:00:00"/>
    <s v="C1052"/>
    <s v="Wireless Mouse"/>
    <x v="2"/>
    <n v="1"/>
    <n v="599"/>
    <n v="0.15"/>
    <s v="Central"/>
    <s v="Net Banking"/>
    <x v="2"/>
    <n v="3897"/>
  </r>
  <r>
    <s v="ORD04105"/>
    <d v="2026-01-07T00:00:00"/>
    <s v="C1286"/>
    <s v="USB-C Hub"/>
    <x v="3"/>
    <n v="3"/>
    <n v="4999"/>
    <n v="0"/>
    <s v="West"/>
    <s v="COD"/>
    <x v="0"/>
    <n v="509.15"/>
  </r>
  <r>
    <s v="ORD04106"/>
    <d v="2026-06-08T00:00:00"/>
    <s v="C1074"/>
    <s v="Headphones"/>
    <x v="4"/>
    <n v="5"/>
    <n v="2499"/>
    <n v="0.15"/>
    <s v="South"/>
    <s v="Credit Card"/>
    <x v="0"/>
    <n v="14997"/>
  </r>
  <r>
    <s v="ORD04107"/>
    <d v="2026-09-05T00:00:00"/>
    <s v="C1536"/>
    <s v="Power Bank"/>
    <x v="0"/>
    <n v="2"/>
    <n v="2499"/>
    <n v="0"/>
    <s v="East"/>
    <s v="Credit Card"/>
    <x v="2"/>
    <n v="10620.75"/>
  </r>
  <r>
    <s v="ORD04108"/>
    <d v="2026-01-13T00:00:00"/>
    <s v="C1451"/>
    <s v="Mechanical Keyboard"/>
    <x v="2"/>
    <n v="3"/>
    <n v="1499"/>
    <n v="0.05"/>
    <s v="East"/>
    <s v="Net Banking"/>
    <x v="0"/>
    <n v="4998"/>
  </r>
  <r>
    <s v="ORD04109"/>
    <d v="2026-03-01T00:00:00"/>
    <s v="C1641"/>
    <s v="Mechanical Keyboard"/>
    <x v="3"/>
    <n v="5"/>
    <n v="1999"/>
    <n v="0.1"/>
    <s v="South"/>
    <s v="Credit Card"/>
    <x v="2"/>
    <n v="4272.1499999999996"/>
  </r>
  <r>
    <s v="ORD04110"/>
    <d v="2026-02-26T00:00:00"/>
    <s v="C1225"/>
    <s v="Headphones"/>
    <x v="0"/>
    <n v="5"/>
    <n v="7999"/>
    <n v="0.05"/>
    <s v="West"/>
    <s v="UPI"/>
    <x v="2"/>
    <n v="8995.5"/>
  </r>
  <r>
    <s v="ORD04111"/>
    <d v="2026-05-28T00:00:00"/>
    <s v="C1111"/>
    <s v="Keyboard"/>
    <x v="2"/>
    <n v="1"/>
    <n v="1999"/>
    <n v="0.15"/>
    <s v="West"/>
    <s v="Net Banking"/>
    <x v="2"/>
    <n v="37995.25"/>
  </r>
  <r>
    <s v="ORD04112"/>
    <d v="2026-03-30T00:00:00"/>
    <s v="C1730"/>
    <s v="Monitor"/>
    <x v="3"/>
    <n v="1"/>
    <n v="799"/>
    <n v="0.15"/>
    <s v="North"/>
    <s v="COD"/>
    <x v="0"/>
    <n v="1699.1499999999999"/>
  </r>
  <r>
    <s v="ORD04113"/>
    <d v="2026-03-20T00:00:00"/>
    <s v="C1324"/>
    <s v="Headphones"/>
    <x v="0"/>
    <n v="5"/>
    <n v="999"/>
    <n v="0.05"/>
    <s v="Central"/>
    <s v="Credit Card"/>
    <x v="0"/>
    <n v="679.15"/>
  </r>
  <r>
    <s v="ORD04114"/>
    <d v="2026-02-28T00:00:00"/>
    <s v="C1458"/>
    <s v="Monitor"/>
    <x v="2"/>
    <n v="2"/>
    <n v="2499"/>
    <n v="0"/>
    <s v="East"/>
    <s v="Net Banking"/>
    <x v="2"/>
    <n v="4745.25"/>
  </r>
  <r>
    <s v="ORD04115"/>
    <d v="2026-07-28T00:00:00"/>
    <s v="C1362"/>
    <s v="USB-C Hub"/>
    <x v="2"/>
    <n v="2"/>
    <n v="599"/>
    <n v="0.15"/>
    <s v="Central"/>
    <s v="Net Banking"/>
    <x v="0"/>
    <n v="4998"/>
  </r>
  <r>
    <s v="ORD04116"/>
    <d v="2026-08-27T00:00:00"/>
    <s v="C1630"/>
    <s v="Laptop Stand"/>
    <x v="4"/>
    <n v="2"/>
    <n v="1999"/>
    <n v="0.15"/>
    <s v="East"/>
    <s v="UPI"/>
    <x v="1"/>
    <n v="1018.3"/>
  </r>
  <r>
    <s v="ORD04117"/>
    <d v="2026-03-30T00:00:00"/>
    <s v="C1111"/>
    <s v="Headphones"/>
    <x v="1"/>
    <n v="4"/>
    <n v="4999"/>
    <n v="0"/>
    <s v="South"/>
    <s v="COD"/>
    <x v="0"/>
    <n v="3398.2999999999997"/>
  </r>
  <r>
    <s v="ORD04118"/>
    <d v="2026-06-11T00:00:00"/>
    <s v="C1053"/>
    <s v="Bluetooth Speaker"/>
    <x v="1"/>
    <n v="1"/>
    <n v="599"/>
    <n v="0.15"/>
    <s v="East"/>
    <s v="Credit Card"/>
    <x v="1"/>
    <n v="19996"/>
  </r>
  <r>
    <s v="ORD04119"/>
    <d v="2026-01-26T00:00:00"/>
    <s v="C1040"/>
    <s v="Wireless Mouse"/>
    <x v="1"/>
    <n v="3"/>
    <n v="2499"/>
    <n v="0.15"/>
    <s v="South"/>
    <s v="Credit Card"/>
    <x v="0"/>
    <n v="509.15"/>
  </r>
  <r>
    <s v="ORD04120"/>
    <d v="2026-02-25T00:00:00"/>
    <s v="C1477"/>
    <s v="Bluetooth Speaker"/>
    <x v="2"/>
    <n v="3"/>
    <n v="799"/>
    <n v="0.1"/>
    <s v="Central"/>
    <s v="Credit Card"/>
    <x v="0"/>
    <n v="6372.45"/>
  </r>
  <r>
    <s v="ORD04121"/>
    <d v="2026-02-15T00:00:00"/>
    <s v="C1224"/>
    <s v="Headphones"/>
    <x v="3"/>
    <n v="1"/>
    <n v="2499"/>
    <n v="0"/>
    <s v="South"/>
    <s v="Credit Card"/>
    <x v="2"/>
    <n v="2157.3000000000002"/>
  </r>
  <r>
    <s v="ORD04122"/>
    <d v="2026-04-18T00:00:00"/>
    <s v="C1475"/>
    <s v="Laptop Stand"/>
    <x v="3"/>
    <n v="3"/>
    <n v="1499"/>
    <n v="0.1"/>
    <s v="West"/>
    <s v="Debit Card"/>
    <x v="2"/>
    <n v="2499"/>
  </r>
  <r>
    <s v="ORD04123"/>
    <d v="2026-03-15T00:00:00"/>
    <s v="C1457"/>
    <s v="Wireless Mouse"/>
    <x v="0"/>
    <n v="1"/>
    <n v="999"/>
    <n v="0"/>
    <s v="South"/>
    <s v="Net Banking"/>
    <x v="1"/>
    <n v="4047.3"/>
  </r>
  <r>
    <s v="ORD04124"/>
    <d v="2026-09-04T00:00:00"/>
    <s v="C1324"/>
    <s v="Bluetooth Speaker"/>
    <x v="3"/>
    <n v="1"/>
    <n v="1499"/>
    <n v="0.05"/>
    <s v="West"/>
    <s v="UPI"/>
    <x v="0"/>
    <n v="999"/>
  </r>
  <r>
    <s v="ORD04125"/>
    <d v="2026-04-20T00:00:00"/>
    <s v="C1026"/>
    <s v="Laptop Stand"/>
    <x v="3"/>
    <n v="3"/>
    <n v="4999"/>
    <n v="0.15"/>
    <s v="East"/>
    <s v="COD"/>
    <x v="0"/>
    <n v="1424.05"/>
  </r>
  <r>
    <s v="ORD04126"/>
    <d v="2026-07-29T00:00:00"/>
    <s v="C1613"/>
    <s v="Bluetooth Speaker"/>
    <x v="4"/>
    <n v="4"/>
    <n v="1499"/>
    <n v="0"/>
    <s v="South"/>
    <s v="COD"/>
    <x v="1"/>
    <n v="12747.449999999999"/>
  </r>
  <r>
    <s v="ORD04127"/>
    <d v="2026-04-04T00:00:00"/>
    <s v="C1473"/>
    <s v="Power Bank"/>
    <x v="4"/>
    <n v="5"/>
    <n v="7999"/>
    <n v="0"/>
    <s v="West"/>
    <s v="Debit Card"/>
    <x v="0"/>
    <n v="5996"/>
  </r>
  <r>
    <s v="ORD04128"/>
    <d v="2026-04-12T00:00:00"/>
    <s v="C1600"/>
    <s v="Monitor"/>
    <x v="4"/>
    <n v="5"/>
    <n v="7999"/>
    <n v="0.15"/>
    <s v="East"/>
    <s v="Net Banking"/>
    <x v="0"/>
    <n v="39995"/>
  </r>
  <r>
    <s v="ORD04129"/>
    <d v="2026-07-06T00:00:00"/>
    <s v="C1419"/>
    <s v="Power Bank"/>
    <x v="1"/>
    <n v="1"/>
    <n v="1999"/>
    <n v="0.05"/>
    <s v="North"/>
    <s v="Credit Card"/>
    <x v="0"/>
    <n v="33995.75"/>
  </r>
  <r>
    <s v="ORD04130"/>
    <d v="2026-05-03T00:00:00"/>
    <s v="C1356"/>
    <s v="Power Bank"/>
    <x v="0"/>
    <n v="4"/>
    <n v="2499"/>
    <n v="0.1"/>
    <s v="South"/>
    <s v="Net Banking"/>
    <x v="0"/>
    <n v="1899.05"/>
  </r>
  <r>
    <s v="ORD04131"/>
    <d v="2026-06-04T00:00:00"/>
    <s v="C1027"/>
    <s v="Bluetooth Speaker"/>
    <x v="4"/>
    <n v="1"/>
    <n v="1499"/>
    <n v="0"/>
    <s v="North"/>
    <s v="Net Banking"/>
    <x v="0"/>
    <n v="8996.4"/>
  </r>
  <r>
    <s v="ORD04132"/>
    <d v="2026-08-07T00:00:00"/>
    <s v="C1214"/>
    <s v="USB-C Hub"/>
    <x v="3"/>
    <n v="1"/>
    <n v="4999"/>
    <n v="0"/>
    <s v="East"/>
    <s v="Debit Card"/>
    <x v="0"/>
    <n v="1499"/>
  </r>
  <r>
    <s v="ORD04133"/>
    <d v="2026-05-23T00:00:00"/>
    <s v="C1610"/>
    <s v="Keyboard"/>
    <x v="2"/>
    <n v="5"/>
    <n v="4999"/>
    <n v="0"/>
    <s v="East"/>
    <s v="UPI"/>
    <x v="0"/>
    <n v="4999"/>
  </r>
  <r>
    <s v="ORD04134"/>
    <d v="2026-03-25T00:00:00"/>
    <s v="C1018"/>
    <s v="Keyboard"/>
    <x v="1"/>
    <n v="2"/>
    <n v="4999"/>
    <n v="0.05"/>
    <s v="West"/>
    <s v="Net Banking"/>
    <x v="1"/>
    <n v="24995"/>
  </r>
  <r>
    <s v="ORD04135"/>
    <d v="2026-05-28T00:00:00"/>
    <s v="C1498"/>
    <s v="Monitor"/>
    <x v="2"/>
    <n v="5"/>
    <n v="4999"/>
    <n v="0"/>
    <s v="North"/>
    <s v="Credit Card"/>
    <x v="0"/>
    <n v="9498.1"/>
  </r>
  <r>
    <s v="ORD04136"/>
    <d v="2026-02-26T00:00:00"/>
    <s v="C1341"/>
    <s v="USB-C Hub"/>
    <x v="4"/>
    <n v="1"/>
    <n v="1299"/>
    <n v="0.1"/>
    <s v="West"/>
    <s v="Net Banking"/>
    <x v="1"/>
    <n v="24995"/>
  </r>
  <r>
    <s v="ORD04137"/>
    <d v="2026-04-18T00:00:00"/>
    <s v="C1204"/>
    <s v="Bluetooth Speaker"/>
    <x v="4"/>
    <n v="4"/>
    <n v="599"/>
    <n v="0.1"/>
    <s v="East"/>
    <s v="UPI"/>
    <x v="0"/>
    <n v="1169.1000000000001"/>
  </r>
  <r>
    <s v="ORD04138"/>
    <d v="2026-05-23T00:00:00"/>
    <s v="C1647"/>
    <s v="Power Bank"/>
    <x v="1"/>
    <n v="5"/>
    <n v="499"/>
    <n v="0.05"/>
    <s v="Central"/>
    <s v="UPI"/>
    <x v="2"/>
    <n v="2156.4"/>
  </r>
  <r>
    <s v="ORD04139"/>
    <d v="2026-03-19T00:00:00"/>
    <s v="C1171"/>
    <s v="USB-C Hub"/>
    <x v="1"/>
    <n v="5"/>
    <n v="999"/>
    <n v="0.15"/>
    <s v="West"/>
    <s v="Debit Card"/>
    <x v="0"/>
    <n v="2370.25"/>
  </r>
  <r>
    <s v="ORD04140"/>
    <d v="2026-07-07T00:00:00"/>
    <s v="C1130"/>
    <s v="Mechanical Keyboard"/>
    <x v="1"/>
    <n v="4"/>
    <n v="4999"/>
    <n v="0"/>
    <s v="North"/>
    <s v="Credit Card"/>
    <x v="0"/>
    <n v="4245.75"/>
  </r>
  <r>
    <s v="ORD04141"/>
    <d v="2026-08-22T00:00:00"/>
    <s v="C1294"/>
    <s v="Wireless Mouse"/>
    <x v="2"/>
    <n v="4"/>
    <n v="2499"/>
    <n v="0"/>
    <s v="West"/>
    <s v="Debit Card"/>
    <x v="0"/>
    <n v="19996"/>
  </r>
  <r>
    <s v="ORD04142"/>
    <d v="2026-05-06T00:00:00"/>
    <s v="C1303"/>
    <s v="Laptop Stand"/>
    <x v="2"/>
    <n v="2"/>
    <n v="799"/>
    <n v="0.1"/>
    <s v="Central"/>
    <s v="COD"/>
    <x v="1"/>
    <n v="9996"/>
  </r>
  <r>
    <s v="ORD04143"/>
    <d v="2026-04-09T00:00:00"/>
    <s v="C1666"/>
    <s v="Bluetooth Speaker"/>
    <x v="4"/>
    <n v="1"/>
    <n v="4999"/>
    <n v="0.15"/>
    <s v="Central"/>
    <s v="Debit Card"/>
    <x v="0"/>
    <n v="1438.2"/>
  </r>
  <r>
    <s v="ORD04144"/>
    <d v="2026-09-15T00:00:00"/>
    <s v="C1382"/>
    <s v="Power Bank"/>
    <x v="4"/>
    <n v="5"/>
    <n v="1999"/>
    <n v="0.15"/>
    <s v="North"/>
    <s v="Debit Card"/>
    <x v="2"/>
    <n v="4249.1499999999996"/>
  </r>
  <r>
    <s v="ORD04145"/>
    <d v="2026-02-06T00:00:00"/>
    <s v="C1252"/>
    <s v="Wireless Mouse"/>
    <x v="1"/>
    <n v="1"/>
    <n v="499"/>
    <n v="0.05"/>
    <s v="Central"/>
    <s v="UPI"/>
    <x v="0"/>
    <n v="8495.75"/>
  </r>
  <r>
    <s v="ORD04146"/>
    <d v="2026-07-05T00:00:00"/>
    <s v="C1004"/>
    <s v="Laptop Stand"/>
    <x v="4"/>
    <n v="1"/>
    <n v="499"/>
    <n v="0.05"/>
    <s v="West"/>
    <s v="COD"/>
    <x v="2"/>
    <n v="474.04999999999995"/>
  </r>
  <r>
    <s v="ORD04147"/>
    <d v="2026-07-16T00:00:00"/>
    <s v="C1360"/>
    <s v="USB-C Hub"/>
    <x v="0"/>
    <n v="1"/>
    <n v="1999"/>
    <n v="0"/>
    <s v="South"/>
    <s v="Credit Card"/>
    <x v="0"/>
    <n v="474.04999999999995"/>
  </r>
  <r>
    <s v="ORD04148"/>
    <d v="2026-06-30T00:00:00"/>
    <s v="C1679"/>
    <s v="Keyboard"/>
    <x v="4"/>
    <n v="3"/>
    <n v="499"/>
    <n v="0.15"/>
    <s v="West"/>
    <s v="UPI"/>
    <x v="0"/>
    <n v="1999"/>
  </r>
  <r>
    <s v="ORD04149"/>
    <d v="2026-02-23T00:00:00"/>
    <s v="C1426"/>
    <s v="Monitor"/>
    <x v="3"/>
    <n v="1"/>
    <n v="799"/>
    <n v="0.15"/>
    <s v="North"/>
    <s v="Credit Card"/>
    <x v="0"/>
    <n v="1272.45"/>
  </r>
  <r>
    <s v="ORD04150"/>
    <d v="2026-03-27T00:00:00"/>
    <s v="C1605"/>
    <s v="Keyboard"/>
    <x v="1"/>
    <n v="5"/>
    <n v="1999"/>
    <n v="0.05"/>
    <s v="Central"/>
    <s v="Net Banking"/>
    <x v="2"/>
    <n v="679.15"/>
  </r>
  <r>
    <s v="ORD04151"/>
    <d v="2026-09-14T00:00:00"/>
    <s v="C1094"/>
    <s v="Power Bank"/>
    <x v="4"/>
    <n v="5"/>
    <n v="799"/>
    <n v="0"/>
    <s v="East"/>
    <s v="UPI"/>
    <x v="1"/>
    <n v="9495.25"/>
  </r>
  <r>
    <s v="ORD04152"/>
    <d v="2026-03-10T00:00:00"/>
    <s v="C1033"/>
    <s v="Laptop Stand"/>
    <x v="3"/>
    <n v="2"/>
    <n v="7999"/>
    <n v="0.05"/>
    <s v="Central"/>
    <s v="UPI"/>
    <x v="0"/>
    <n v="3995"/>
  </r>
  <r>
    <s v="ORD04153"/>
    <d v="2026-06-16T00:00:00"/>
    <s v="C1454"/>
    <s v="Laptop Stand"/>
    <x v="0"/>
    <n v="2"/>
    <n v="1299"/>
    <n v="0.15"/>
    <s v="North"/>
    <s v="Debit Card"/>
    <x v="0"/>
    <n v="15198.099999999999"/>
  </r>
  <r>
    <s v="ORD04154"/>
    <d v="2026-06-20T00:00:00"/>
    <s v="C1300"/>
    <s v="Webcam"/>
    <x v="2"/>
    <n v="1"/>
    <n v="1299"/>
    <n v="0"/>
    <s v="South"/>
    <s v="COD"/>
    <x v="1"/>
    <n v="2208.2999999999997"/>
  </r>
  <r>
    <s v="ORD04155"/>
    <d v="2026-07-11T00:00:00"/>
    <s v="C1655"/>
    <s v="Wireless Mouse"/>
    <x v="1"/>
    <n v="3"/>
    <n v="1999"/>
    <n v="0.05"/>
    <s v="West"/>
    <s v="UPI"/>
    <x v="1"/>
    <n v="1299"/>
  </r>
  <r>
    <s v="ORD04156"/>
    <d v="2026-05-21T00:00:00"/>
    <s v="C1104"/>
    <s v="Laptop Stand"/>
    <x v="2"/>
    <n v="4"/>
    <n v="2499"/>
    <n v="0.1"/>
    <s v="Central"/>
    <s v="Net Banking"/>
    <x v="0"/>
    <n v="5697.15"/>
  </r>
  <r>
    <s v="ORD04157"/>
    <d v="2026-07-03T00:00:00"/>
    <s v="C1790"/>
    <s v="Power Bank"/>
    <x v="4"/>
    <n v="4"/>
    <n v="1299"/>
    <n v="0"/>
    <s v="South"/>
    <s v="Debit Card"/>
    <x v="2"/>
    <n v="8996.4"/>
  </r>
  <r>
    <s v="ORD04158"/>
    <d v="2026-04-21T00:00:00"/>
    <s v="C1645"/>
    <s v="Monitor"/>
    <x v="0"/>
    <n v="5"/>
    <n v="599"/>
    <n v="0.05"/>
    <s v="North"/>
    <s v="UPI"/>
    <x v="0"/>
    <n v="5196"/>
  </r>
  <r>
    <s v="ORD04159"/>
    <d v="2026-07-14T00:00:00"/>
    <s v="C1374"/>
    <s v="Bluetooth Speaker"/>
    <x v="3"/>
    <n v="4"/>
    <n v="7999"/>
    <n v="0"/>
    <s v="East"/>
    <s v="Net Banking"/>
    <x v="0"/>
    <n v="2845.25"/>
  </r>
  <r>
    <s v="ORD04160"/>
    <d v="2026-04-22T00:00:00"/>
    <s v="C1347"/>
    <s v="Wireless Mouse"/>
    <x v="4"/>
    <n v="4"/>
    <n v="499"/>
    <n v="0.1"/>
    <s v="Central"/>
    <s v="Credit Card"/>
    <x v="0"/>
    <n v="31996"/>
  </r>
  <r>
    <s v="ORD04161"/>
    <d v="2026-05-13T00:00:00"/>
    <s v="C1334"/>
    <s v="Laptop Stand"/>
    <x v="1"/>
    <n v="5"/>
    <n v="1299"/>
    <n v="0.05"/>
    <s v="Central"/>
    <s v="Credit Card"/>
    <x v="0"/>
    <n v="1796.4"/>
  </r>
  <r>
    <s v="ORD04162"/>
    <d v="2026-05-12T00:00:00"/>
    <s v="C1552"/>
    <s v="Keyboard"/>
    <x v="4"/>
    <n v="3"/>
    <n v="799"/>
    <n v="0"/>
    <s v="West"/>
    <s v="Net Banking"/>
    <x v="0"/>
    <n v="6170.25"/>
  </r>
  <r>
    <s v="ORD04163"/>
    <d v="2026-05-16T00:00:00"/>
    <s v="C1015"/>
    <s v="Headphones"/>
    <x v="1"/>
    <n v="5"/>
    <n v="1499"/>
    <n v="0"/>
    <s v="East"/>
    <s v="UPI"/>
    <x v="0"/>
    <n v="2397"/>
  </r>
  <r>
    <s v="ORD04164"/>
    <d v="2026-05-11T00:00:00"/>
    <s v="C1029"/>
    <s v="USB-C Hub"/>
    <x v="3"/>
    <n v="2"/>
    <n v="499"/>
    <n v="0.15"/>
    <s v="North"/>
    <s v="COD"/>
    <x v="0"/>
    <n v="7495"/>
  </r>
  <r>
    <s v="ORD04165"/>
    <d v="2026-09-18T00:00:00"/>
    <s v="C1188"/>
    <s v="Laptop Stand"/>
    <x v="2"/>
    <n v="4"/>
    <n v="1499"/>
    <n v="0"/>
    <s v="West"/>
    <s v="Net Banking"/>
    <x v="1"/>
    <n v="848.3"/>
  </r>
  <r>
    <s v="ORD04166"/>
    <d v="2026-03-14T00:00:00"/>
    <s v="C1083"/>
    <s v="Keyboard"/>
    <x v="4"/>
    <n v="3"/>
    <n v="1999"/>
    <n v="0"/>
    <s v="South"/>
    <s v="Debit Card"/>
    <x v="0"/>
    <n v="5996"/>
  </r>
  <r>
    <s v="ORD04167"/>
    <d v="2026-06-21T00:00:00"/>
    <s v="C1545"/>
    <s v="USB-C Hub"/>
    <x v="4"/>
    <n v="4"/>
    <n v="1299"/>
    <n v="0.1"/>
    <s v="Central"/>
    <s v="Credit Card"/>
    <x v="0"/>
    <n v="5997"/>
  </r>
  <r>
    <s v="ORD04168"/>
    <d v="2026-06-03T00:00:00"/>
    <s v="C1539"/>
    <s v="Mechanical Keyboard"/>
    <x v="1"/>
    <n v="3"/>
    <n v="799"/>
    <n v="0"/>
    <s v="North"/>
    <s v="Credit Card"/>
    <x v="0"/>
    <n v="4676.4000000000005"/>
  </r>
  <r>
    <s v="ORD04169"/>
    <d v="2026-01-27T00:00:00"/>
    <s v="C1068"/>
    <s v="Mechanical Keyboard"/>
    <x v="3"/>
    <n v="4"/>
    <n v="1999"/>
    <n v="0.1"/>
    <s v="South"/>
    <s v="UPI"/>
    <x v="0"/>
    <n v="2397"/>
  </r>
  <r>
    <s v="ORD04170"/>
    <d v="2026-07-01T00:00:00"/>
    <s v="C1593"/>
    <s v="Wireless Mouse"/>
    <x v="3"/>
    <n v="2"/>
    <n v="2499"/>
    <n v="0.15"/>
    <s v="South"/>
    <s v="COD"/>
    <x v="0"/>
    <n v="7196.4000000000005"/>
  </r>
  <r>
    <s v="ORD04171"/>
    <d v="2026-08-05T00:00:00"/>
    <s v="C1403"/>
    <s v="Keyboard"/>
    <x v="2"/>
    <n v="2"/>
    <n v="999"/>
    <n v="0.05"/>
    <s v="South"/>
    <s v="Credit Card"/>
    <x v="0"/>
    <n v="4248.3"/>
  </r>
  <r>
    <s v="ORD04172"/>
    <d v="2026-09-05T00:00:00"/>
    <s v="C1006"/>
    <s v="Webcam"/>
    <x v="3"/>
    <n v="2"/>
    <n v="999"/>
    <n v="0.15"/>
    <s v="West"/>
    <s v="Credit Card"/>
    <x v="0"/>
    <n v="1898.1"/>
  </r>
  <r>
    <s v="ORD04173"/>
    <d v="2026-09-05T00:00:00"/>
    <s v="C1124"/>
    <s v="Keyboard"/>
    <x v="2"/>
    <n v="4"/>
    <n v="1499"/>
    <n v="0.1"/>
    <s v="East"/>
    <s v="Credit Card"/>
    <x v="1"/>
    <n v="1698.3"/>
  </r>
  <r>
    <s v="ORD04174"/>
    <d v="2026-07-27T00:00:00"/>
    <s v="C1652"/>
    <s v="Headphones"/>
    <x v="4"/>
    <n v="3"/>
    <n v="499"/>
    <n v="0.1"/>
    <s v="East"/>
    <s v="COD"/>
    <x v="1"/>
    <n v="5396.4000000000005"/>
  </r>
  <r>
    <s v="ORD04175"/>
    <d v="2026-01-16T00:00:00"/>
    <s v="C1714"/>
    <s v="Bluetooth Speaker"/>
    <x v="3"/>
    <n v="5"/>
    <n v="1999"/>
    <n v="0.05"/>
    <s v="West"/>
    <s v="Debit Card"/>
    <x v="0"/>
    <n v="1347.3"/>
  </r>
  <r>
    <s v="ORD04176"/>
    <d v="2026-05-10T00:00:00"/>
    <s v="C1550"/>
    <s v="Webcam"/>
    <x v="1"/>
    <n v="3"/>
    <n v="799"/>
    <n v="0"/>
    <s v="East"/>
    <s v="COD"/>
    <x v="0"/>
    <n v="9495.25"/>
  </r>
  <r>
    <s v="ORD04177"/>
    <d v="2026-03-02T00:00:00"/>
    <s v="C1709"/>
    <s v="Monitor"/>
    <x v="4"/>
    <n v="2"/>
    <n v="499"/>
    <n v="0.1"/>
    <s v="North"/>
    <s v="UPI"/>
    <x v="0"/>
    <n v="2397"/>
  </r>
  <r>
    <s v="ORD04178"/>
    <d v="2026-07-10T00:00:00"/>
    <s v="C1073"/>
    <s v="Keyboard"/>
    <x v="1"/>
    <n v="2"/>
    <n v="1299"/>
    <n v="0.05"/>
    <s v="East"/>
    <s v="Credit Card"/>
    <x v="2"/>
    <n v="898.2"/>
  </r>
  <r>
    <s v="ORD04179"/>
    <d v="2026-03-26T00:00:00"/>
    <s v="C1447"/>
    <s v="Webcam"/>
    <x v="0"/>
    <n v="1"/>
    <n v="999"/>
    <n v="0.1"/>
    <s v="North"/>
    <s v="Net Banking"/>
    <x v="0"/>
    <n v="2468.1"/>
  </r>
  <r>
    <s v="ORD04180"/>
    <d v="2026-08-30T00:00:00"/>
    <s v="C1535"/>
    <s v="Laptop Stand"/>
    <x v="2"/>
    <n v="5"/>
    <n v="4999"/>
    <n v="0"/>
    <s v="West"/>
    <s v="Net Banking"/>
    <x v="0"/>
    <n v="899.1"/>
  </r>
  <r>
    <s v="ORD04181"/>
    <d v="2026-08-30T00:00:00"/>
    <s v="C1614"/>
    <s v="Webcam"/>
    <x v="3"/>
    <n v="2"/>
    <n v="1999"/>
    <n v="0"/>
    <s v="East"/>
    <s v="Credit Card"/>
    <x v="0"/>
    <n v="24995"/>
  </r>
  <r>
    <s v="ORD04182"/>
    <d v="2026-07-06T00:00:00"/>
    <s v="C1103"/>
    <s v="Laptop Stand"/>
    <x v="0"/>
    <n v="1"/>
    <n v="2499"/>
    <n v="0.1"/>
    <s v="West"/>
    <s v="COD"/>
    <x v="0"/>
    <n v="3998"/>
  </r>
  <r>
    <s v="ORD04183"/>
    <d v="2026-07-15T00:00:00"/>
    <s v="C1163"/>
    <s v="Mechanical Keyboard"/>
    <x v="4"/>
    <n v="4"/>
    <n v="7999"/>
    <n v="0.15"/>
    <s v="Central"/>
    <s v="Debit Card"/>
    <x v="2"/>
    <n v="2249.1"/>
  </r>
  <r>
    <s v="ORD04184"/>
    <d v="2026-01-01T00:00:00"/>
    <s v="C1143"/>
    <s v="Webcam"/>
    <x v="1"/>
    <n v="3"/>
    <n v="4999"/>
    <n v="0.05"/>
    <s v="North"/>
    <s v="UPI"/>
    <x v="1"/>
    <n v="27196.6"/>
  </r>
  <r>
    <s v="ORD04185"/>
    <d v="2026-04-08T00:00:00"/>
    <s v="C1118"/>
    <s v="Bluetooth Speaker"/>
    <x v="1"/>
    <n v="3"/>
    <n v="1999"/>
    <n v="0.15"/>
    <s v="East"/>
    <s v="COD"/>
    <x v="2"/>
    <n v="14247.15"/>
  </r>
  <r>
    <s v="ORD04186"/>
    <d v="2026-02-17T00:00:00"/>
    <s v="C1401"/>
    <s v="Webcam"/>
    <x v="0"/>
    <n v="2"/>
    <n v="499"/>
    <n v="0"/>
    <s v="North"/>
    <s v="Debit Card"/>
    <x v="0"/>
    <n v="5097.45"/>
  </r>
  <r>
    <s v="ORD04187"/>
    <d v="2026-05-15T00:00:00"/>
    <s v="C1699"/>
    <s v="Monitor"/>
    <x v="3"/>
    <n v="3"/>
    <n v="1999"/>
    <n v="0"/>
    <s v="East"/>
    <s v="Credit Card"/>
    <x v="0"/>
    <n v="998"/>
  </r>
  <r>
    <s v="ORD04188"/>
    <d v="2026-06-22T00:00:00"/>
    <s v="C1570"/>
    <s v="Keyboard"/>
    <x v="2"/>
    <n v="5"/>
    <n v="4999"/>
    <n v="0.05"/>
    <s v="South"/>
    <s v="UPI"/>
    <x v="2"/>
    <n v="5997"/>
  </r>
  <r>
    <s v="ORD04189"/>
    <d v="2026-06-24T00:00:00"/>
    <s v="C1516"/>
    <s v="USB-C Hub"/>
    <x v="3"/>
    <n v="4"/>
    <n v="1999"/>
    <n v="0.05"/>
    <s v="East"/>
    <s v="UPI"/>
    <x v="2"/>
    <n v="23745.25"/>
  </r>
  <r>
    <s v="ORD04190"/>
    <d v="2026-03-11T00:00:00"/>
    <s v="C1393"/>
    <s v="Webcam"/>
    <x v="1"/>
    <n v="5"/>
    <n v="499"/>
    <n v="0"/>
    <s v="West"/>
    <s v="Net Banking"/>
    <x v="2"/>
    <n v="7596.2"/>
  </r>
  <r>
    <s v="ORD04191"/>
    <d v="2026-02-13T00:00:00"/>
    <s v="C1526"/>
    <s v="Webcam"/>
    <x v="2"/>
    <n v="3"/>
    <n v="1299"/>
    <n v="0.1"/>
    <s v="South"/>
    <s v="COD"/>
    <x v="1"/>
    <n v="2495"/>
  </r>
  <r>
    <s v="ORD04192"/>
    <d v="2026-01-24T00:00:00"/>
    <s v="C1071"/>
    <s v="Power Bank"/>
    <x v="0"/>
    <n v="2"/>
    <n v="1499"/>
    <n v="0.1"/>
    <s v="North"/>
    <s v="Debit Card"/>
    <x v="0"/>
    <n v="3507.3"/>
  </r>
  <r>
    <s v="ORD04193"/>
    <d v="2026-04-14T00:00:00"/>
    <s v="C1228"/>
    <s v="Bluetooth Speaker"/>
    <x v="0"/>
    <n v="5"/>
    <n v="2499"/>
    <n v="0"/>
    <s v="East"/>
    <s v="UPI"/>
    <x v="0"/>
    <n v="2698.2000000000003"/>
  </r>
  <r>
    <s v="ORD04194"/>
    <d v="2026-06-12T00:00:00"/>
    <s v="C1198"/>
    <s v="Webcam"/>
    <x v="2"/>
    <n v="4"/>
    <n v="499"/>
    <n v="0.1"/>
    <s v="West"/>
    <s v="COD"/>
    <x v="0"/>
    <n v="12495"/>
  </r>
  <r>
    <s v="ORD04195"/>
    <d v="2026-04-11T00:00:00"/>
    <s v="C1659"/>
    <s v="Laptop Stand"/>
    <x v="0"/>
    <n v="5"/>
    <n v="1499"/>
    <n v="0.1"/>
    <s v="South"/>
    <s v="Net Banking"/>
    <x v="0"/>
    <n v="1796.4"/>
  </r>
  <r>
    <s v="ORD04196"/>
    <d v="2026-01-09T00:00:00"/>
    <s v="C1037"/>
    <s v="Power Bank"/>
    <x v="4"/>
    <n v="1"/>
    <n v="999"/>
    <n v="0.05"/>
    <s v="South"/>
    <s v="COD"/>
    <x v="0"/>
    <n v="6745.5"/>
  </r>
  <r>
    <s v="ORD04197"/>
    <d v="2026-09-25T00:00:00"/>
    <s v="C1458"/>
    <s v="Mechanical Keyboard"/>
    <x v="0"/>
    <n v="3"/>
    <n v="4999"/>
    <n v="0"/>
    <s v="North"/>
    <s v="Credit Card"/>
    <x v="0"/>
    <n v="949.05"/>
  </r>
  <r>
    <s v="ORD04198"/>
    <d v="2026-06-21T00:00:00"/>
    <s v="C1335"/>
    <s v="Webcam"/>
    <x v="2"/>
    <n v="4"/>
    <n v="7999"/>
    <n v="0.15"/>
    <s v="West"/>
    <s v="Credit Card"/>
    <x v="0"/>
    <n v="14997"/>
  </r>
  <r>
    <s v="ORD04199"/>
    <d v="2026-01-08T00:00:00"/>
    <s v="C1274"/>
    <s v="Keyboard"/>
    <x v="4"/>
    <n v="1"/>
    <n v="1299"/>
    <n v="0"/>
    <s v="East"/>
    <s v="Net Banking"/>
    <x v="0"/>
    <n v="27196.6"/>
  </r>
  <r>
    <s v="ORD04200"/>
    <d v="2026-01-14T00:00:00"/>
    <s v="C1320"/>
    <s v="Webcam"/>
    <x v="4"/>
    <n v="5"/>
    <n v="499"/>
    <n v="0.15"/>
    <s v="North"/>
    <s v="UPI"/>
    <x v="0"/>
    <n v="1299"/>
  </r>
  <r>
    <s v="ORD04201"/>
    <d v="2026-04-14T00:00:00"/>
    <s v="C1555"/>
    <s v="Wireless Mouse"/>
    <x v="3"/>
    <n v="5"/>
    <n v="1499"/>
    <n v="0.15"/>
    <s v="Central"/>
    <s v="Net Banking"/>
    <x v="0"/>
    <n v="2120.75"/>
  </r>
  <r>
    <s v="ORD04202"/>
    <d v="2026-07-23T00:00:00"/>
    <s v="C1625"/>
    <s v="Monitor"/>
    <x v="3"/>
    <n v="2"/>
    <n v="599"/>
    <n v="0"/>
    <s v="West"/>
    <s v="Debit Card"/>
    <x v="0"/>
    <n v="6370.75"/>
  </r>
  <r>
    <s v="ORD04203"/>
    <d v="2026-09-02T00:00:00"/>
    <s v="C1666"/>
    <s v="Mechanical Keyboard"/>
    <x v="4"/>
    <n v="4"/>
    <n v="1999"/>
    <n v="0"/>
    <s v="West"/>
    <s v="Credit Card"/>
    <x v="0"/>
    <n v="1198"/>
  </r>
  <r>
    <s v="ORD04204"/>
    <d v="2026-01-27T00:00:00"/>
    <s v="C1387"/>
    <s v="USB-C Hub"/>
    <x v="4"/>
    <n v="3"/>
    <n v="4999"/>
    <n v="0.05"/>
    <s v="East"/>
    <s v="Credit Card"/>
    <x v="1"/>
    <n v="7996"/>
  </r>
  <r>
    <s v="ORD04205"/>
    <d v="2026-02-19T00:00:00"/>
    <s v="C1504"/>
    <s v="Wireless Mouse"/>
    <x v="1"/>
    <n v="5"/>
    <n v="7999"/>
    <n v="0"/>
    <s v="West"/>
    <s v="Credit Card"/>
    <x v="1"/>
    <n v="14247.15"/>
  </r>
  <r>
    <s v="ORD04206"/>
    <d v="2026-09-13T00:00:00"/>
    <s v="C1159"/>
    <s v="USB-C Hub"/>
    <x v="0"/>
    <n v="1"/>
    <n v="499"/>
    <n v="0"/>
    <s v="West"/>
    <s v="COD"/>
    <x v="0"/>
    <n v="39995"/>
  </r>
  <r>
    <s v="ORD04207"/>
    <d v="2026-04-01T00:00:00"/>
    <s v="C1076"/>
    <s v="Mechanical Keyboard"/>
    <x v="3"/>
    <n v="1"/>
    <n v="799"/>
    <n v="0"/>
    <s v="North"/>
    <s v="Debit Card"/>
    <x v="1"/>
    <n v="499"/>
  </r>
  <r>
    <s v="ORD04208"/>
    <d v="2026-07-17T00:00:00"/>
    <s v="C1418"/>
    <s v="Bluetooth Speaker"/>
    <x v="4"/>
    <n v="4"/>
    <n v="499"/>
    <n v="0"/>
    <s v="North"/>
    <s v="COD"/>
    <x v="1"/>
    <n v="799"/>
  </r>
  <r>
    <s v="ORD04209"/>
    <d v="2026-08-19T00:00:00"/>
    <s v="C1328"/>
    <s v="Wireless Mouse"/>
    <x v="4"/>
    <n v="3"/>
    <n v="599"/>
    <n v="0.05"/>
    <s v="West"/>
    <s v="COD"/>
    <x v="2"/>
    <n v="1996"/>
  </r>
  <r>
    <s v="ORD04210"/>
    <d v="2026-02-08T00:00:00"/>
    <s v="C1262"/>
    <s v="Laptop Stand"/>
    <x v="0"/>
    <n v="3"/>
    <n v="1999"/>
    <n v="0"/>
    <s v="South"/>
    <s v="Credit Card"/>
    <x v="2"/>
    <n v="1707.1499999999999"/>
  </r>
  <r>
    <s v="ORD04211"/>
    <d v="2026-07-12T00:00:00"/>
    <s v="C1327"/>
    <s v="Webcam"/>
    <x v="2"/>
    <n v="4"/>
    <n v="1299"/>
    <n v="0.05"/>
    <s v="Central"/>
    <s v="UPI"/>
    <x v="0"/>
    <n v="5997"/>
  </r>
  <r>
    <s v="ORD04212"/>
    <d v="2026-02-18T00:00:00"/>
    <s v="C1616"/>
    <s v="Power Bank"/>
    <x v="3"/>
    <n v="3"/>
    <n v="799"/>
    <n v="0.05"/>
    <s v="Central"/>
    <s v="COD"/>
    <x v="1"/>
    <n v="4936.2"/>
  </r>
  <r>
    <s v="ORD04213"/>
    <d v="2026-02-22T00:00:00"/>
    <s v="C1426"/>
    <s v="USB-C Hub"/>
    <x v="0"/>
    <n v="1"/>
    <n v="7999"/>
    <n v="0.05"/>
    <s v="South"/>
    <s v="COD"/>
    <x v="1"/>
    <n v="2277.15"/>
  </r>
  <r>
    <s v="ORD04214"/>
    <d v="2026-09-18T00:00:00"/>
    <s v="C1571"/>
    <s v="USB-C Hub"/>
    <x v="0"/>
    <n v="1"/>
    <n v="1299"/>
    <n v="0"/>
    <s v="East"/>
    <s v="COD"/>
    <x v="0"/>
    <n v="7599.0499999999993"/>
  </r>
  <r>
    <s v="ORD04215"/>
    <d v="2026-09-18T00:00:00"/>
    <s v="C1086"/>
    <s v="Headphones"/>
    <x v="1"/>
    <n v="3"/>
    <n v="499"/>
    <n v="0"/>
    <s v="South"/>
    <s v="UPI"/>
    <x v="0"/>
    <n v="1299"/>
  </r>
  <r>
    <s v="ORD04216"/>
    <d v="2026-05-24T00:00:00"/>
    <s v="C1714"/>
    <s v="Webcam"/>
    <x v="0"/>
    <n v="1"/>
    <n v="999"/>
    <n v="0.05"/>
    <s v="West"/>
    <s v="UPI"/>
    <x v="0"/>
    <n v="1497"/>
  </r>
  <r>
    <s v="ORD04217"/>
    <d v="2026-06-18T00:00:00"/>
    <s v="C1633"/>
    <s v="Wireless Mouse"/>
    <x v="2"/>
    <n v="3"/>
    <n v="1999"/>
    <n v="0.15"/>
    <s v="Central"/>
    <s v="COD"/>
    <x v="0"/>
    <n v="949.05"/>
  </r>
  <r>
    <s v="ORD04218"/>
    <d v="2026-06-11T00:00:00"/>
    <s v="C1149"/>
    <s v="Mechanical Keyboard"/>
    <x v="3"/>
    <n v="5"/>
    <n v="1499"/>
    <n v="0.05"/>
    <s v="North"/>
    <s v="UPI"/>
    <x v="0"/>
    <n v="5097.45"/>
  </r>
  <r>
    <s v="ORD04219"/>
    <d v="2026-05-22T00:00:00"/>
    <s v="C1709"/>
    <s v="Wireless Mouse"/>
    <x v="3"/>
    <n v="2"/>
    <n v="999"/>
    <n v="0.1"/>
    <s v="North"/>
    <s v="Net Banking"/>
    <x v="1"/>
    <n v="7120.25"/>
  </r>
  <r>
    <s v="ORD04220"/>
    <d v="2026-02-20T00:00:00"/>
    <s v="C1489"/>
    <s v="Bluetooth Speaker"/>
    <x v="0"/>
    <n v="1"/>
    <n v="599"/>
    <n v="0"/>
    <s v="South"/>
    <s v="Credit Card"/>
    <x v="0"/>
    <n v="1798.2"/>
  </r>
  <r>
    <s v="ORD04221"/>
    <d v="2026-09-05T00:00:00"/>
    <s v="C1318"/>
    <s v="Mechanical Keyboard"/>
    <x v="1"/>
    <n v="3"/>
    <n v="999"/>
    <n v="0.15"/>
    <s v="East"/>
    <s v="COD"/>
    <x v="0"/>
    <n v="599"/>
  </r>
  <r>
    <s v="ORD04222"/>
    <d v="2026-04-03T00:00:00"/>
    <s v="C1113"/>
    <s v="Monitor"/>
    <x v="0"/>
    <n v="1"/>
    <n v="7999"/>
    <n v="0.1"/>
    <s v="North"/>
    <s v="Net Banking"/>
    <x v="1"/>
    <n v="2547.4499999999998"/>
  </r>
  <r>
    <s v="ORD04223"/>
    <d v="2026-02-04T00:00:00"/>
    <s v="C1456"/>
    <s v="Power Bank"/>
    <x v="0"/>
    <n v="5"/>
    <n v="1499"/>
    <n v="0.15"/>
    <s v="East"/>
    <s v="UPI"/>
    <x v="1"/>
    <n v="7199.1"/>
  </r>
  <r>
    <s v="ORD04224"/>
    <d v="2026-09-29T00:00:00"/>
    <s v="C1019"/>
    <s v="Mechanical Keyboard"/>
    <x v="2"/>
    <n v="4"/>
    <n v="499"/>
    <n v="0"/>
    <s v="West"/>
    <s v="COD"/>
    <x v="0"/>
    <n v="6370.75"/>
  </r>
  <r>
    <s v="ORD04225"/>
    <d v="2026-05-12T00:00:00"/>
    <s v="C1525"/>
    <s v="Power Bank"/>
    <x v="2"/>
    <n v="5"/>
    <n v="799"/>
    <n v="0.05"/>
    <s v="East"/>
    <s v="Debit Card"/>
    <x v="0"/>
    <n v="1996"/>
  </r>
  <r>
    <s v="ORD04226"/>
    <d v="2026-01-14T00:00:00"/>
    <s v="C1307"/>
    <s v="Wireless Mouse"/>
    <x v="2"/>
    <n v="2"/>
    <n v="499"/>
    <n v="0.1"/>
    <s v="South"/>
    <s v="Net Banking"/>
    <x v="1"/>
    <n v="3795.25"/>
  </r>
  <r>
    <s v="ORD04227"/>
    <d v="2026-03-20T00:00:00"/>
    <s v="C1780"/>
    <s v="USB-C Hub"/>
    <x v="0"/>
    <n v="5"/>
    <n v="599"/>
    <n v="0.1"/>
    <s v="West"/>
    <s v="Credit Card"/>
    <x v="2"/>
    <n v="898.2"/>
  </r>
  <r>
    <s v="ORD04228"/>
    <d v="2026-02-11T00:00:00"/>
    <s v="C1236"/>
    <s v="Keyboard"/>
    <x v="1"/>
    <n v="2"/>
    <n v="999"/>
    <n v="0"/>
    <s v="East"/>
    <s v="Credit Card"/>
    <x v="1"/>
    <n v="2695.5"/>
  </r>
  <r>
    <s v="ORD04229"/>
    <d v="2026-09-21T00:00:00"/>
    <s v="C1396"/>
    <s v="USB-C Hub"/>
    <x v="0"/>
    <n v="2"/>
    <n v="499"/>
    <n v="0"/>
    <s v="East"/>
    <s v="Debit Card"/>
    <x v="0"/>
    <n v="1998"/>
  </r>
  <r>
    <s v="ORD04230"/>
    <d v="2026-05-19T00:00:00"/>
    <s v="C1510"/>
    <s v="Monitor"/>
    <x v="4"/>
    <n v="4"/>
    <n v="7999"/>
    <n v="0"/>
    <s v="East"/>
    <s v="UPI"/>
    <x v="0"/>
    <n v="998"/>
  </r>
  <r>
    <s v="ORD04231"/>
    <d v="2026-08-04T00:00:00"/>
    <s v="C1667"/>
    <s v="Headphones"/>
    <x v="4"/>
    <n v="1"/>
    <n v="999"/>
    <n v="0"/>
    <s v="West"/>
    <s v="Credit Card"/>
    <x v="1"/>
    <n v="31996"/>
  </r>
  <r>
    <s v="ORD04232"/>
    <d v="2026-07-09T00:00:00"/>
    <s v="C1625"/>
    <s v="Power Bank"/>
    <x v="0"/>
    <n v="3"/>
    <n v="1299"/>
    <n v="0.15"/>
    <s v="East"/>
    <s v="UPI"/>
    <x v="2"/>
    <n v="999"/>
  </r>
  <r>
    <s v="ORD04233"/>
    <d v="2026-01-15T00:00:00"/>
    <s v="C1016"/>
    <s v="Bluetooth Speaker"/>
    <x v="0"/>
    <n v="1"/>
    <n v="4999"/>
    <n v="0.1"/>
    <s v="South"/>
    <s v="COD"/>
    <x v="1"/>
    <n v="3312.45"/>
  </r>
  <r>
    <s v="ORD04234"/>
    <d v="2026-07-11T00:00:00"/>
    <s v="C1451"/>
    <s v="Mechanical Keyboard"/>
    <x v="0"/>
    <n v="4"/>
    <n v="4999"/>
    <n v="0.05"/>
    <s v="South"/>
    <s v="Credit Card"/>
    <x v="0"/>
    <n v="4499.1000000000004"/>
  </r>
  <r>
    <s v="ORD04235"/>
    <d v="2026-04-18T00:00:00"/>
    <s v="C1627"/>
    <s v="Laptop Stand"/>
    <x v="0"/>
    <n v="2"/>
    <n v="1299"/>
    <n v="0"/>
    <s v="North"/>
    <s v="COD"/>
    <x v="0"/>
    <n v="18996.2"/>
  </r>
  <r>
    <s v="ORD04236"/>
    <d v="2026-02-14T00:00:00"/>
    <s v="C1611"/>
    <s v="Keyboard"/>
    <x v="3"/>
    <n v="4"/>
    <n v="2499"/>
    <n v="0"/>
    <s v="Central"/>
    <s v="UPI"/>
    <x v="0"/>
    <n v="2598"/>
  </r>
  <r>
    <s v="ORD04237"/>
    <d v="2026-08-24T00:00:00"/>
    <s v="C1756"/>
    <s v="Monitor"/>
    <x v="4"/>
    <n v="4"/>
    <n v="7999"/>
    <n v="0.05"/>
    <s v="West"/>
    <s v="COD"/>
    <x v="0"/>
    <n v="9996"/>
  </r>
  <r>
    <s v="ORD04238"/>
    <d v="2026-09-23T00:00:00"/>
    <s v="C1101"/>
    <s v="Bluetooth Speaker"/>
    <x v="0"/>
    <n v="1"/>
    <n v="1299"/>
    <n v="0.15"/>
    <s v="Central"/>
    <s v="Debit Card"/>
    <x v="2"/>
    <n v="30396.199999999997"/>
  </r>
  <r>
    <s v="ORD04239"/>
    <d v="2026-03-13T00:00:00"/>
    <s v="C1205"/>
    <s v="Wireless Mouse"/>
    <x v="3"/>
    <n v="1"/>
    <n v="2499"/>
    <n v="0.15"/>
    <s v="West"/>
    <s v="COD"/>
    <x v="0"/>
    <n v="1104.1499999999999"/>
  </r>
  <r>
    <s v="ORD04240"/>
    <d v="2026-01-05T00:00:00"/>
    <s v="C1699"/>
    <s v="USB-C Hub"/>
    <x v="0"/>
    <n v="3"/>
    <n v="1999"/>
    <n v="0"/>
    <s v="West"/>
    <s v="UPI"/>
    <x v="0"/>
    <n v="2124.15"/>
  </r>
  <r>
    <s v="ORD04241"/>
    <d v="2026-02-19T00:00:00"/>
    <s v="C1540"/>
    <s v="Bluetooth Speaker"/>
    <x v="2"/>
    <n v="2"/>
    <n v="499"/>
    <n v="0"/>
    <s v="East"/>
    <s v="COD"/>
    <x v="0"/>
    <n v="5997"/>
  </r>
  <r>
    <s v="ORD04242"/>
    <d v="2026-02-11T00:00:00"/>
    <s v="C1511"/>
    <s v="Monitor"/>
    <x v="2"/>
    <n v="5"/>
    <n v="4999"/>
    <n v="0"/>
    <s v="Central"/>
    <s v="Debit Card"/>
    <x v="0"/>
    <n v="998"/>
  </r>
  <r>
    <s v="ORD04243"/>
    <d v="2026-07-23T00:00:00"/>
    <s v="C1022"/>
    <s v="Bluetooth Speaker"/>
    <x v="4"/>
    <n v="3"/>
    <n v="1999"/>
    <n v="0"/>
    <s v="Central"/>
    <s v="UPI"/>
    <x v="0"/>
    <n v="24995"/>
  </r>
  <r>
    <s v="ORD04244"/>
    <d v="2026-07-28T00:00:00"/>
    <s v="C1137"/>
    <s v="Bluetooth Speaker"/>
    <x v="2"/>
    <n v="1"/>
    <n v="1499"/>
    <n v="0.1"/>
    <s v="North"/>
    <s v="Net Banking"/>
    <x v="0"/>
    <n v="5997"/>
  </r>
  <r>
    <s v="ORD04245"/>
    <d v="2026-02-14T00:00:00"/>
    <s v="C1121"/>
    <s v="Mechanical Keyboard"/>
    <x v="2"/>
    <n v="1"/>
    <n v="2499"/>
    <n v="0"/>
    <s v="Central"/>
    <s v="Net Banking"/>
    <x v="2"/>
    <n v="1349.1000000000001"/>
  </r>
  <r>
    <s v="ORD04246"/>
    <d v="2026-03-08T00:00:00"/>
    <s v="C1721"/>
    <s v="Laptop Stand"/>
    <x v="4"/>
    <n v="1"/>
    <n v="7999"/>
    <n v="0.05"/>
    <s v="East"/>
    <s v="COD"/>
    <x v="2"/>
    <n v="2499"/>
  </r>
  <r>
    <s v="ORD04247"/>
    <d v="2026-09-04T00:00:00"/>
    <s v="C1243"/>
    <s v="Bluetooth Speaker"/>
    <x v="1"/>
    <n v="4"/>
    <n v="599"/>
    <n v="0.1"/>
    <s v="East"/>
    <s v="Net Banking"/>
    <x v="0"/>
    <n v="7599.0499999999993"/>
  </r>
  <r>
    <s v="ORD04248"/>
    <d v="2026-02-28T00:00:00"/>
    <s v="C1780"/>
    <s v="USB-C Hub"/>
    <x v="3"/>
    <n v="5"/>
    <n v="499"/>
    <n v="0.05"/>
    <s v="Central"/>
    <s v="COD"/>
    <x v="2"/>
    <n v="2156.4"/>
  </r>
  <r>
    <s v="ORD04249"/>
    <d v="2026-01-21T00:00:00"/>
    <s v="C1427"/>
    <s v="Monitor"/>
    <x v="3"/>
    <n v="5"/>
    <n v="999"/>
    <n v="0.1"/>
    <s v="West"/>
    <s v="Credit Card"/>
    <x v="0"/>
    <n v="2370.25"/>
  </r>
  <r>
    <s v="ORD04250"/>
    <d v="2026-04-09T00:00:00"/>
    <s v="C1731"/>
    <s v="Mechanical Keyboard"/>
    <x v="3"/>
    <n v="1"/>
    <n v="1999"/>
    <n v="0"/>
    <s v="West"/>
    <s v="Credit Card"/>
    <x v="0"/>
    <n v="4495.5"/>
  </r>
  <r>
    <s v="ORD04251"/>
    <d v="2026-07-27T00:00:00"/>
    <s v="C1067"/>
    <s v="Monitor"/>
    <x v="0"/>
    <n v="2"/>
    <n v="799"/>
    <n v="0.05"/>
    <s v="South"/>
    <s v="Net Banking"/>
    <x v="0"/>
    <n v="1999"/>
  </r>
  <r>
    <s v="ORD04252"/>
    <d v="2026-07-22T00:00:00"/>
    <s v="C1343"/>
    <s v="Mechanical Keyboard"/>
    <x v="2"/>
    <n v="4"/>
    <n v="2499"/>
    <n v="0.1"/>
    <s v="Central"/>
    <s v="COD"/>
    <x v="0"/>
    <n v="1518.1"/>
  </r>
  <r>
    <s v="ORD04253"/>
    <d v="2026-03-20T00:00:00"/>
    <s v="C1115"/>
    <s v="Keyboard"/>
    <x v="0"/>
    <n v="2"/>
    <n v="1299"/>
    <n v="0.05"/>
    <s v="West"/>
    <s v="Credit Card"/>
    <x v="1"/>
    <n v="8996.4"/>
  </r>
  <r>
    <s v="ORD04254"/>
    <d v="2026-02-24T00:00:00"/>
    <s v="C1158"/>
    <s v="Headphones"/>
    <x v="0"/>
    <n v="4"/>
    <n v="1299"/>
    <n v="0"/>
    <s v="East"/>
    <s v="Net Banking"/>
    <x v="0"/>
    <n v="2468.1"/>
  </r>
  <r>
    <s v="ORD04255"/>
    <d v="2026-09-20T00:00:00"/>
    <s v="C1574"/>
    <s v="Bluetooth Speaker"/>
    <x v="3"/>
    <n v="2"/>
    <n v="1999"/>
    <n v="0.15"/>
    <s v="Central"/>
    <s v="Net Banking"/>
    <x v="0"/>
    <n v="5196"/>
  </r>
  <r>
    <s v="ORD04256"/>
    <d v="2026-01-12T00:00:00"/>
    <s v="C1713"/>
    <s v="Keyboard"/>
    <x v="0"/>
    <n v="2"/>
    <n v="599"/>
    <n v="0.15"/>
    <s v="East"/>
    <s v="UPI"/>
    <x v="0"/>
    <n v="3398.2999999999997"/>
  </r>
  <r>
    <s v="ORD04257"/>
    <d v="2026-05-05T00:00:00"/>
    <s v="C1503"/>
    <s v="Laptop Stand"/>
    <x v="4"/>
    <n v="3"/>
    <n v="7999"/>
    <n v="0"/>
    <s v="South"/>
    <s v="Credit Card"/>
    <x v="0"/>
    <n v="1018.3"/>
  </r>
  <r>
    <s v="ORD04258"/>
    <d v="2026-03-21T00:00:00"/>
    <s v="C1744"/>
    <s v="USB-C Hub"/>
    <x v="4"/>
    <n v="3"/>
    <n v="1299"/>
    <n v="0.05"/>
    <s v="East"/>
    <s v="Credit Card"/>
    <x v="2"/>
    <n v="23997"/>
  </r>
  <r>
    <s v="ORD04259"/>
    <d v="2026-01-27T00:00:00"/>
    <s v="C1307"/>
    <s v="Laptop Stand"/>
    <x v="0"/>
    <n v="5"/>
    <n v="799"/>
    <n v="0.05"/>
    <s v="Central"/>
    <s v="Net Banking"/>
    <x v="0"/>
    <n v="3702.1499999999996"/>
  </r>
  <r>
    <s v="ORD04260"/>
    <d v="2026-04-05T00:00:00"/>
    <s v="C1365"/>
    <s v="Keyboard"/>
    <x v="2"/>
    <n v="4"/>
    <n v="599"/>
    <n v="0.15"/>
    <s v="South"/>
    <s v="Net Banking"/>
    <x v="2"/>
    <n v="3795.25"/>
  </r>
  <r>
    <s v="ORD04261"/>
    <d v="2026-05-05T00:00:00"/>
    <s v="C1395"/>
    <s v="Power Bank"/>
    <x v="4"/>
    <n v="3"/>
    <n v="999"/>
    <n v="0"/>
    <s v="Central"/>
    <s v="Credit Card"/>
    <x v="0"/>
    <n v="2036.6"/>
  </r>
  <r>
    <s v="ORD04262"/>
    <d v="2026-02-08T00:00:00"/>
    <s v="C1609"/>
    <s v="Headphones"/>
    <x v="1"/>
    <n v="2"/>
    <n v="599"/>
    <n v="0.1"/>
    <s v="South"/>
    <s v="COD"/>
    <x v="2"/>
    <n v="2997"/>
  </r>
  <r>
    <s v="ORD04263"/>
    <d v="2026-05-21T00:00:00"/>
    <s v="C1687"/>
    <s v="Laptop Stand"/>
    <x v="2"/>
    <n v="5"/>
    <n v="1999"/>
    <n v="0.1"/>
    <s v="East"/>
    <s v="UPI"/>
    <x v="1"/>
    <n v="1078.2"/>
  </r>
  <r>
    <s v="ORD04264"/>
    <d v="2026-03-16T00:00:00"/>
    <s v="C1016"/>
    <s v="Bluetooth Speaker"/>
    <x v="0"/>
    <n v="5"/>
    <n v="7999"/>
    <n v="0.15"/>
    <s v="North"/>
    <s v="Net Banking"/>
    <x v="1"/>
    <n v="8995.5"/>
  </r>
  <r>
    <s v="ORD04265"/>
    <d v="2026-01-11T00:00:00"/>
    <s v="C1640"/>
    <s v="Keyboard"/>
    <x v="0"/>
    <n v="5"/>
    <n v="499"/>
    <n v="0"/>
    <s v="West"/>
    <s v="COD"/>
    <x v="0"/>
    <n v="33995.75"/>
  </r>
  <r>
    <s v="ORD04266"/>
    <d v="2026-07-31T00:00:00"/>
    <s v="C1771"/>
    <s v="Wireless Mouse"/>
    <x v="3"/>
    <n v="3"/>
    <n v="1999"/>
    <n v="0"/>
    <s v="North"/>
    <s v="Debit Card"/>
    <x v="2"/>
    <n v="2495"/>
  </r>
  <r>
    <s v="ORD04267"/>
    <d v="2026-05-26T00:00:00"/>
    <s v="C1258"/>
    <s v="Keyboard"/>
    <x v="2"/>
    <n v="2"/>
    <n v="599"/>
    <n v="0.15"/>
    <s v="North"/>
    <s v="Credit Card"/>
    <x v="0"/>
    <n v="5997"/>
  </r>
  <r>
    <s v="ORD04268"/>
    <d v="2026-05-29T00:00:00"/>
    <s v="C1281"/>
    <s v="Monitor"/>
    <x v="3"/>
    <n v="2"/>
    <n v="1299"/>
    <n v="0.15"/>
    <s v="West"/>
    <s v="Credit Card"/>
    <x v="0"/>
    <n v="1018.3"/>
  </r>
  <r>
    <s v="ORD04269"/>
    <d v="2026-08-17T00:00:00"/>
    <s v="C1287"/>
    <s v="Power Bank"/>
    <x v="1"/>
    <n v="4"/>
    <n v="7999"/>
    <n v="0"/>
    <s v="East"/>
    <s v="COD"/>
    <x v="2"/>
    <n v="2208.2999999999997"/>
  </r>
  <r>
    <s v="ORD04270"/>
    <d v="2026-06-17T00:00:00"/>
    <s v="C1029"/>
    <s v="Bluetooth Speaker"/>
    <x v="1"/>
    <n v="5"/>
    <n v="499"/>
    <n v="0.15"/>
    <s v="East"/>
    <s v="COD"/>
    <x v="2"/>
    <n v="31996"/>
  </r>
  <r>
    <s v="ORD04271"/>
    <d v="2026-05-30T00:00:00"/>
    <s v="C1480"/>
    <s v="USB-C Hub"/>
    <x v="0"/>
    <n v="4"/>
    <n v="499"/>
    <n v="0.15"/>
    <s v="West"/>
    <s v="COD"/>
    <x v="0"/>
    <n v="2120.75"/>
  </r>
  <r>
    <s v="ORD04272"/>
    <d v="2026-05-07T00:00:00"/>
    <s v="C1452"/>
    <s v="Laptop Stand"/>
    <x v="4"/>
    <n v="3"/>
    <n v="1999"/>
    <n v="0.15"/>
    <s v="East"/>
    <s v="Debit Card"/>
    <x v="0"/>
    <n v="1696.6"/>
  </r>
  <r>
    <s v="ORD04273"/>
    <d v="2026-08-07T00:00:00"/>
    <s v="C1399"/>
    <s v="Webcam"/>
    <x v="4"/>
    <n v="3"/>
    <n v="4999"/>
    <n v="0.15"/>
    <s v="Central"/>
    <s v="Credit Card"/>
    <x v="1"/>
    <n v="5097.45"/>
  </r>
  <r>
    <s v="ORD04274"/>
    <d v="2026-02-16T00:00:00"/>
    <s v="C1595"/>
    <s v="Headphones"/>
    <x v="4"/>
    <n v="5"/>
    <n v="2499"/>
    <n v="0.1"/>
    <s v="East"/>
    <s v="UPI"/>
    <x v="0"/>
    <n v="12747.449999999999"/>
  </r>
  <r>
    <s v="ORD04275"/>
    <d v="2026-04-03T00:00:00"/>
    <s v="C1589"/>
    <s v="Power Bank"/>
    <x v="0"/>
    <n v="1"/>
    <n v="799"/>
    <n v="0.15"/>
    <s v="North"/>
    <s v="COD"/>
    <x v="0"/>
    <n v="11245.5"/>
  </r>
  <r>
    <s v="ORD04276"/>
    <d v="2026-07-24T00:00:00"/>
    <s v="C1551"/>
    <s v="Headphones"/>
    <x v="4"/>
    <n v="1"/>
    <n v="7999"/>
    <n v="0.1"/>
    <s v="South"/>
    <s v="COD"/>
    <x v="0"/>
    <n v="679.15"/>
  </r>
  <r>
    <s v="ORD04277"/>
    <d v="2026-09-08T00:00:00"/>
    <s v="C1673"/>
    <s v="Keyboard"/>
    <x v="0"/>
    <n v="5"/>
    <n v="7999"/>
    <n v="0"/>
    <s v="West"/>
    <s v="Net Banking"/>
    <x v="0"/>
    <n v="7199.1"/>
  </r>
  <r>
    <s v="ORD04278"/>
    <d v="2026-06-30T00:00:00"/>
    <s v="C1211"/>
    <s v="Bluetooth Speaker"/>
    <x v="0"/>
    <n v="1"/>
    <n v="799"/>
    <n v="0"/>
    <s v="Central"/>
    <s v="COD"/>
    <x v="0"/>
    <n v="39995"/>
  </r>
  <r>
    <s v="ORD04279"/>
    <d v="2026-08-25T00:00:00"/>
    <s v="C1786"/>
    <s v="Headphones"/>
    <x v="2"/>
    <n v="5"/>
    <n v="799"/>
    <n v="0"/>
    <s v="Central"/>
    <s v="UPI"/>
    <x v="0"/>
    <n v="799"/>
  </r>
  <r>
    <s v="ORD04280"/>
    <d v="2026-09-29T00:00:00"/>
    <s v="C1022"/>
    <s v="Laptop Stand"/>
    <x v="3"/>
    <n v="1"/>
    <n v="4999"/>
    <n v="0.15"/>
    <s v="North"/>
    <s v="Debit Card"/>
    <x v="1"/>
    <n v="3995"/>
  </r>
  <r>
    <s v="ORD04281"/>
    <d v="2026-05-05T00:00:00"/>
    <s v="C1113"/>
    <s v="Laptop Stand"/>
    <x v="1"/>
    <n v="2"/>
    <n v="2499"/>
    <n v="0.15"/>
    <s v="Central"/>
    <s v="COD"/>
    <x v="1"/>
    <n v="4249.1499999999996"/>
  </r>
  <r>
    <s v="ORD04282"/>
    <d v="2026-03-02T00:00:00"/>
    <s v="C1079"/>
    <s v="Keyboard"/>
    <x v="3"/>
    <n v="5"/>
    <n v="1499"/>
    <n v="0.1"/>
    <s v="North"/>
    <s v="Credit Card"/>
    <x v="1"/>
    <n v="4248.3"/>
  </r>
  <r>
    <s v="ORD04283"/>
    <d v="2026-01-07T00:00:00"/>
    <s v="C1764"/>
    <s v="Laptop Stand"/>
    <x v="2"/>
    <n v="3"/>
    <n v="499"/>
    <n v="0.1"/>
    <s v="East"/>
    <s v="Net Banking"/>
    <x v="0"/>
    <n v="6745.5"/>
  </r>
  <r>
    <s v="ORD04284"/>
    <d v="2026-02-06T00:00:00"/>
    <s v="C1483"/>
    <s v="Mechanical Keyboard"/>
    <x v="1"/>
    <n v="1"/>
    <n v="1299"/>
    <n v="0.1"/>
    <s v="East"/>
    <s v="Credit Card"/>
    <x v="0"/>
    <n v="1347.3"/>
  </r>
  <r>
    <s v="ORD04285"/>
    <d v="2026-04-16T00:00:00"/>
    <s v="C1614"/>
    <s v="Mechanical Keyboard"/>
    <x v="0"/>
    <n v="3"/>
    <n v="1499"/>
    <n v="0"/>
    <s v="South"/>
    <s v="Net Banking"/>
    <x v="0"/>
    <n v="1169.1000000000001"/>
  </r>
  <r>
    <s v="ORD04286"/>
    <d v="2026-06-22T00:00:00"/>
    <s v="C1223"/>
    <s v="Webcam"/>
    <x v="4"/>
    <n v="2"/>
    <n v="4999"/>
    <n v="0"/>
    <s v="North"/>
    <s v="COD"/>
    <x v="2"/>
    <n v="4497"/>
  </r>
  <r>
    <s v="ORD04287"/>
    <d v="2026-03-09T00:00:00"/>
    <s v="C1373"/>
    <s v="Keyboard"/>
    <x v="1"/>
    <n v="4"/>
    <n v="799"/>
    <n v="0.1"/>
    <s v="West"/>
    <s v="Credit Card"/>
    <x v="0"/>
    <n v="9998"/>
  </r>
  <r>
    <s v="ORD04288"/>
    <d v="2026-07-12T00:00:00"/>
    <s v="C1458"/>
    <s v="Keyboard"/>
    <x v="1"/>
    <n v="4"/>
    <n v="1299"/>
    <n v="0"/>
    <s v="West"/>
    <s v="Credit Card"/>
    <x v="0"/>
    <n v="2876.4"/>
  </r>
  <r>
    <s v="ORD04289"/>
    <d v="2026-07-11T00:00:00"/>
    <s v="C1194"/>
    <s v="Laptop Stand"/>
    <x v="1"/>
    <n v="5"/>
    <n v="4999"/>
    <n v="0.05"/>
    <s v="South"/>
    <s v="UPI"/>
    <x v="0"/>
    <n v="5196"/>
  </r>
  <r>
    <s v="ORD04290"/>
    <d v="2026-09-25T00:00:00"/>
    <s v="C1797"/>
    <s v="Wireless Mouse"/>
    <x v="1"/>
    <n v="1"/>
    <n v="2499"/>
    <n v="0.15"/>
    <s v="South"/>
    <s v="Net Banking"/>
    <x v="0"/>
    <n v="23745.25"/>
  </r>
  <r>
    <s v="ORD04291"/>
    <d v="2026-02-13T00:00:00"/>
    <s v="C1593"/>
    <s v="Webcam"/>
    <x v="0"/>
    <n v="3"/>
    <n v="599"/>
    <n v="0"/>
    <s v="West"/>
    <s v="COD"/>
    <x v="0"/>
    <n v="2124.15"/>
  </r>
  <r>
    <s v="ORD04292"/>
    <d v="2026-08-29T00:00:00"/>
    <s v="C1785"/>
    <s v="Wireless Mouse"/>
    <x v="4"/>
    <n v="3"/>
    <n v="7999"/>
    <n v="0.1"/>
    <s v="Central"/>
    <s v="COD"/>
    <x v="1"/>
    <n v="1797"/>
  </r>
  <r>
    <s v="ORD04293"/>
    <d v="2026-05-03T00:00:00"/>
    <s v="C1129"/>
    <s v="Wireless Mouse"/>
    <x v="3"/>
    <n v="4"/>
    <n v="2499"/>
    <n v="0.1"/>
    <s v="East"/>
    <s v="Net Banking"/>
    <x v="0"/>
    <n v="21597.3"/>
  </r>
  <r>
    <s v="ORD04294"/>
    <d v="2026-09-30T00:00:00"/>
    <s v="C1614"/>
    <s v="Mechanical Keyboard"/>
    <x v="0"/>
    <n v="5"/>
    <n v="1299"/>
    <n v="0"/>
    <s v="North"/>
    <s v="Net Banking"/>
    <x v="2"/>
    <n v="8996.4"/>
  </r>
  <r>
    <s v="ORD04295"/>
    <d v="2026-07-22T00:00:00"/>
    <s v="C1034"/>
    <s v="USB-C Hub"/>
    <x v="0"/>
    <n v="1"/>
    <n v="1299"/>
    <n v="0"/>
    <s v="West"/>
    <s v="Credit Card"/>
    <x v="1"/>
    <n v="6495"/>
  </r>
  <r>
    <s v="ORD04296"/>
    <d v="2026-09-19T00:00:00"/>
    <s v="C1122"/>
    <s v="USB-C Hub"/>
    <x v="3"/>
    <n v="3"/>
    <n v="499"/>
    <n v="0.05"/>
    <s v="South"/>
    <s v="Credit Card"/>
    <x v="1"/>
    <n v="1299"/>
  </r>
  <r>
    <s v="ORD04297"/>
    <d v="2026-08-30T00:00:00"/>
    <s v="C1343"/>
    <s v="Bluetooth Speaker"/>
    <x v="0"/>
    <n v="2"/>
    <n v="1499"/>
    <n v="0.05"/>
    <s v="East"/>
    <s v="COD"/>
    <x v="1"/>
    <n v="1422.1499999999999"/>
  </r>
  <r>
    <s v="ORD04298"/>
    <d v="2026-02-02T00:00:00"/>
    <s v="C1331"/>
    <s v="Keyboard"/>
    <x v="3"/>
    <n v="3"/>
    <n v="1299"/>
    <n v="0.15"/>
    <s v="North"/>
    <s v="UPI"/>
    <x v="2"/>
    <n v="2848.1"/>
  </r>
  <r>
    <s v="ORD04299"/>
    <d v="2026-09-10T00:00:00"/>
    <s v="C1697"/>
    <s v="Monitor"/>
    <x v="0"/>
    <n v="3"/>
    <n v="2499"/>
    <n v="0.15"/>
    <s v="East"/>
    <s v="Debit Card"/>
    <x v="2"/>
    <n v="3312.45"/>
  </r>
  <r>
    <s v="ORD04300"/>
    <d v="2026-01-20T00:00:00"/>
    <s v="C1052"/>
    <s v="Power Bank"/>
    <x v="2"/>
    <n v="1"/>
    <n v="7999"/>
    <n v="0"/>
    <s v="Central"/>
    <s v="Debit Card"/>
    <x v="2"/>
    <n v="6372.45"/>
  </r>
  <r>
    <s v="ORD04301"/>
    <d v="2026-03-20T00:00:00"/>
    <s v="C1743"/>
    <s v="USB-C Hub"/>
    <x v="4"/>
    <n v="1"/>
    <n v="1999"/>
    <n v="0.1"/>
    <s v="South"/>
    <s v="Net Banking"/>
    <x v="0"/>
    <n v="7999"/>
  </r>
  <r>
    <s v="ORD04302"/>
    <d v="2026-01-22T00:00:00"/>
    <s v="C1672"/>
    <s v="Mechanical Keyboard"/>
    <x v="4"/>
    <n v="4"/>
    <n v="1299"/>
    <n v="0.1"/>
    <s v="North"/>
    <s v="Net Banking"/>
    <x v="0"/>
    <n v="1799.1000000000001"/>
  </r>
  <r>
    <s v="ORD04303"/>
    <d v="2026-05-05T00:00:00"/>
    <s v="C1050"/>
    <s v="Keyboard"/>
    <x v="3"/>
    <n v="4"/>
    <n v="1499"/>
    <n v="0.15"/>
    <s v="West"/>
    <s v="Net Banking"/>
    <x v="1"/>
    <n v="4676.4000000000005"/>
  </r>
  <r>
    <s v="ORD04304"/>
    <d v="2026-01-22T00:00:00"/>
    <s v="C1275"/>
    <s v="Wireless Mouse"/>
    <x v="4"/>
    <n v="4"/>
    <n v="599"/>
    <n v="0.05"/>
    <s v="South"/>
    <s v="Debit Card"/>
    <x v="1"/>
    <n v="5096.5999999999995"/>
  </r>
  <r>
    <s v="ORD04305"/>
    <d v="2026-02-11T00:00:00"/>
    <s v="C1606"/>
    <s v="Webcam"/>
    <x v="4"/>
    <n v="5"/>
    <n v="1499"/>
    <n v="0.15"/>
    <s v="Central"/>
    <s v="COD"/>
    <x v="0"/>
    <n v="2276.1999999999998"/>
  </r>
  <r>
    <s v="ORD04306"/>
    <d v="2026-03-25T00:00:00"/>
    <s v="C1589"/>
    <s v="Laptop Stand"/>
    <x v="0"/>
    <n v="5"/>
    <n v="2499"/>
    <n v="0"/>
    <s v="East"/>
    <s v="Net Banking"/>
    <x v="2"/>
    <n v="6370.75"/>
  </r>
  <r>
    <s v="ORD04307"/>
    <d v="2026-04-28T00:00:00"/>
    <s v="C1731"/>
    <s v="Laptop Stand"/>
    <x v="3"/>
    <n v="1"/>
    <n v="1499"/>
    <n v="0.15"/>
    <s v="Central"/>
    <s v="Credit Card"/>
    <x v="0"/>
    <n v="12495"/>
  </r>
  <r>
    <s v="ORD04308"/>
    <d v="2026-07-04T00:00:00"/>
    <s v="C1357"/>
    <s v="Power Bank"/>
    <x v="3"/>
    <n v="5"/>
    <n v="1499"/>
    <n v="0.15"/>
    <s v="South"/>
    <s v="Debit Card"/>
    <x v="0"/>
    <n v="1274.1499999999999"/>
  </r>
  <r>
    <s v="ORD04309"/>
    <d v="2026-09-27T00:00:00"/>
    <s v="C1789"/>
    <s v="Webcam"/>
    <x v="3"/>
    <n v="1"/>
    <n v="1499"/>
    <n v="0.15"/>
    <s v="West"/>
    <s v="Credit Card"/>
    <x v="0"/>
    <n v="6370.75"/>
  </r>
  <r>
    <s v="ORD04310"/>
    <d v="2026-06-26T00:00:00"/>
    <s v="C1028"/>
    <s v="Bluetooth Speaker"/>
    <x v="3"/>
    <n v="4"/>
    <n v="799"/>
    <n v="0.1"/>
    <s v="Central"/>
    <s v="Debit Card"/>
    <x v="1"/>
    <n v="1274.1499999999999"/>
  </r>
  <r>
    <s v="ORD04311"/>
    <d v="2026-08-03T00:00:00"/>
    <s v="C1103"/>
    <s v="Monitor"/>
    <x v="1"/>
    <n v="4"/>
    <n v="1299"/>
    <n v="0.05"/>
    <s v="Central"/>
    <s v="UPI"/>
    <x v="0"/>
    <n v="2876.4"/>
  </r>
  <r>
    <s v="ORD04312"/>
    <d v="2026-01-11T00:00:00"/>
    <s v="C1044"/>
    <s v="Power Bank"/>
    <x v="3"/>
    <n v="2"/>
    <n v="799"/>
    <n v="0"/>
    <s v="Central"/>
    <s v="Credit Card"/>
    <x v="0"/>
    <n v="4936.2"/>
  </r>
  <r>
    <s v="ORD04313"/>
    <d v="2026-07-31T00:00:00"/>
    <s v="C1622"/>
    <s v="Monitor"/>
    <x v="1"/>
    <n v="4"/>
    <n v="1299"/>
    <n v="0"/>
    <s v="East"/>
    <s v="Net Banking"/>
    <x v="0"/>
    <n v="1598"/>
  </r>
  <r>
    <s v="ORD04314"/>
    <d v="2026-03-21T00:00:00"/>
    <s v="C1182"/>
    <s v="USB-C Hub"/>
    <x v="4"/>
    <n v="1"/>
    <n v="1299"/>
    <n v="0.05"/>
    <s v="West"/>
    <s v="UPI"/>
    <x v="0"/>
    <n v="5196"/>
  </r>
  <r>
    <s v="ORD04315"/>
    <d v="2026-07-21T00:00:00"/>
    <s v="C1618"/>
    <s v="Monitor"/>
    <x v="4"/>
    <n v="5"/>
    <n v="2499"/>
    <n v="0"/>
    <s v="North"/>
    <s v="Debit Card"/>
    <x v="0"/>
    <n v="1234.05"/>
  </r>
  <r>
    <s v="ORD04316"/>
    <d v="2026-08-11T00:00:00"/>
    <s v="C1570"/>
    <s v="USB-C Hub"/>
    <x v="4"/>
    <n v="2"/>
    <n v="1299"/>
    <n v="0.15"/>
    <s v="West"/>
    <s v="Net Banking"/>
    <x v="0"/>
    <n v="12495"/>
  </r>
  <r>
    <s v="ORD04317"/>
    <d v="2026-08-18T00:00:00"/>
    <s v="C1068"/>
    <s v="Mechanical Keyboard"/>
    <x v="2"/>
    <n v="3"/>
    <n v="4999"/>
    <n v="0"/>
    <s v="East"/>
    <s v="COD"/>
    <x v="2"/>
    <n v="2208.2999999999997"/>
  </r>
  <r>
    <s v="ORD04318"/>
    <d v="2026-05-03T00:00:00"/>
    <s v="C1464"/>
    <s v="Wireless Mouse"/>
    <x v="2"/>
    <n v="2"/>
    <n v="1299"/>
    <n v="0.05"/>
    <s v="East"/>
    <s v="COD"/>
    <x v="1"/>
    <n v="14997"/>
  </r>
  <r>
    <s v="ORD04319"/>
    <d v="2026-09-29T00:00:00"/>
    <s v="C1154"/>
    <s v="Bluetooth Speaker"/>
    <x v="1"/>
    <n v="3"/>
    <n v="799"/>
    <n v="0.1"/>
    <s v="East"/>
    <s v="UPI"/>
    <x v="0"/>
    <n v="2468.1"/>
  </r>
  <r>
    <s v="ORD04320"/>
    <d v="2026-01-18T00:00:00"/>
    <s v="C1447"/>
    <s v="Monitor"/>
    <x v="3"/>
    <n v="3"/>
    <n v="499"/>
    <n v="0"/>
    <s v="East"/>
    <s v="Net Banking"/>
    <x v="0"/>
    <n v="2157.3000000000002"/>
  </r>
  <r>
    <s v="ORD04321"/>
    <d v="2026-06-08T00:00:00"/>
    <s v="C1632"/>
    <s v="USB-C Hub"/>
    <x v="2"/>
    <n v="3"/>
    <n v="1299"/>
    <n v="0"/>
    <s v="North"/>
    <s v="Credit Card"/>
    <x v="0"/>
    <n v="1497"/>
  </r>
  <r>
    <s v="ORD04322"/>
    <d v="2026-09-06T00:00:00"/>
    <s v="C1488"/>
    <s v="Webcam"/>
    <x v="2"/>
    <n v="2"/>
    <n v="1999"/>
    <n v="0.1"/>
    <s v="South"/>
    <s v="COD"/>
    <x v="1"/>
    <n v="3897"/>
  </r>
  <r>
    <s v="ORD04323"/>
    <d v="2026-03-11T00:00:00"/>
    <s v="C1222"/>
    <s v="USB-C Hub"/>
    <x v="2"/>
    <n v="3"/>
    <n v="1999"/>
    <n v="0.1"/>
    <s v="East"/>
    <s v="COD"/>
    <x v="1"/>
    <n v="3598.2000000000003"/>
  </r>
  <r>
    <s v="ORD04324"/>
    <d v="2026-04-23T00:00:00"/>
    <s v="C1551"/>
    <s v="Power Bank"/>
    <x v="1"/>
    <n v="5"/>
    <n v="7999"/>
    <n v="0"/>
    <s v="South"/>
    <s v="COD"/>
    <x v="1"/>
    <n v="5397.3"/>
  </r>
  <r>
    <s v="ORD04325"/>
    <d v="2026-01-06T00:00:00"/>
    <s v="C1526"/>
    <s v="Headphones"/>
    <x v="0"/>
    <n v="2"/>
    <n v="2499"/>
    <n v="0.15"/>
    <s v="West"/>
    <s v="UPI"/>
    <x v="0"/>
    <n v="39995"/>
  </r>
  <r>
    <s v="ORD04326"/>
    <d v="2026-05-22T00:00:00"/>
    <s v="C1605"/>
    <s v="Keyboard"/>
    <x v="3"/>
    <n v="2"/>
    <n v="7999"/>
    <n v="0.1"/>
    <s v="West"/>
    <s v="Net Banking"/>
    <x v="1"/>
    <n v="4248.3"/>
  </r>
  <r>
    <s v="ORD04327"/>
    <d v="2026-04-09T00:00:00"/>
    <s v="C1753"/>
    <s v="Laptop Stand"/>
    <x v="0"/>
    <n v="1"/>
    <n v="4999"/>
    <n v="0"/>
    <s v="East"/>
    <s v="Debit Card"/>
    <x v="0"/>
    <n v="14398.2"/>
  </r>
  <r>
    <s v="ORD04328"/>
    <d v="2026-02-18T00:00:00"/>
    <s v="C1609"/>
    <s v="Mechanical Keyboard"/>
    <x v="0"/>
    <n v="2"/>
    <n v="799"/>
    <n v="0.1"/>
    <s v="South"/>
    <s v="Credit Card"/>
    <x v="2"/>
    <n v="4999"/>
  </r>
  <r>
    <s v="ORD04329"/>
    <d v="2026-05-30T00:00:00"/>
    <s v="C1394"/>
    <s v="Monitor"/>
    <x v="0"/>
    <n v="2"/>
    <n v="1299"/>
    <n v="0.1"/>
    <s v="West"/>
    <s v="UPI"/>
    <x v="0"/>
    <n v="1438.2"/>
  </r>
  <r>
    <s v="ORD04330"/>
    <d v="2026-08-08T00:00:00"/>
    <s v="C1610"/>
    <s v="Power Bank"/>
    <x v="1"/>
    <n v="4"/>
    <n v="4999"/>
    <n v="0.05"/>
    <s v="North"/>
    <s v="Net Banking"/>
    <x v="0"/>
    <n v="2338.2000000000003"/>
  </r>
  <r>
    <s v="ORD04331"/>
    <d v="2026-01-06T00:00:00"/>
    <s v="C1365"/>
    <s v="Bluetooth Speaker"/>
    <x v="2"/>
    <n v="5"/>
    <n v="799"/>
    <n v="0.1"/>
    <s v="West"/>
    <s v="Net Banking"/>
    <x v="0"/>
    <n v="18996.2"/>
  </r>
  <r>
    <s v="ORD04332"/>
    <d v="2026-06-12T00:00:00"/>
    <s v="C1476"/>
    <s v="Webcam"/>
    <x v="2"/>
    <n v="2"/>
    <n v="1299"/>
    <n v="0"/>
    <s v="South"/>
    <s v="UPI"/>
    <x v="0"/>
    <n v="3595.5"/>
  </r>
  <r>
    <s v="ORD04333"/>
    <d v="2026-02-23T00:00:00"/>
    <s v="C1586"/>
    <s v="Laptop Stand"/>
    <x v="3"/>
    <n v="3"/>
    <n v="999"/>
    <n v="0"/>
    <s v="South"/>
    <s v="Credit Card"/>
    <x v="0"/>
    <n v="2598"/>
  </r>
  <r>
    <s v="ORD04334"/>
    <d v="2026-09-19T00:00:00"/>
    <s v="C1467"/>
    <s v="Monitor"/>
    <x v="4"/>
    <n v="2"/>
    <n v="999"/>
    <n v="0"/>
    <s v="North"/>
    <s v="COD"/>
    <x v="1"/>
    <n v="2997"/>
  </r>
  <r>
    <s v="ORD04335"/>
    <d v="2026-07-26T00:00:00"/>
    <s v="C1368"/>
    <s v="Headphones"/>
    <x v="1"/>
    <n v="2"/>
    <n v="2499"/>
    <n v="0.1"/>
    <s v="Central"/>
    <s v="COD"/>
    <x v="0"/>
    <n v="1998"/>
  </r>
  <r>
    <s v="ORD04336"/>
    <d v="2026-09-20T00:00:00"/>
    <s v="C1029"/>
    <s v="Bluetooth Speaker"/>
    <x v="2"/>
    <n v="1"/>
    <n v="1499"/>
    <n v="0"/>
    <s v="Central"/>
    <s v="COD"/>
    <x v="2"/>
    <n v="4498.2"/>
  </r>
  <r>
    <s v="ORD04337"/>
    <d v="2026-04-28T00:00:00"/>
    <s v="C1354"/>
    <s v="Mechanical Keyboard"/>
    <x v="1"/>
    <n v="2"/>
    <n v="7999"/>
    <n v="0.1"/>
    <s v="East"/>
    <s v="Credit Card"/>
    <x v="0"/>
    <n v="1499"/>
  </r>
  <r>
    <s v="ORD04338"/>
    <d v="2026-06-09T00:00:00"/>
    <s v="C1294"/>
    <s v="Bluetooth Speaker"/>
    <x v="2"/>
    <n v="2"/>
    <n v="999"/>
    <n v="0"/>
    <s v="Central"/>
    <s v="Debit Card"/>
    <x v="2"/>
    <n v="14398.2"/>
  </r>
  <r>
    <s v="ORD04339"/>
    <d v="2026-02-20T00:00:00"/>
    <s v="C1190"/>
    <s v="Monitor"/>
    <x v="4"/>
    <n v="1"/>
    <n v="2499"/>
    <n v="0.1"/>
    <s v="West"/>
    <s v="Net Banking"/>
    <x v="0"/>
    <n v="1998"/>
  </r>
  <r>
    <s v="ORD04340"/>
    <d v="2026-09-21T00:00:00"/>
    <s v="C1074"/>
    <s v="Keyboard"/>
    <x v="1"/>
    <n v="1"/>
    <n v="1499"/>
    <n v="0.15"/>
    <s v="South"/>
    <s v="Credit Card"/>
    <x v="0"/>
    <n v="2249.1"/>
  </r>
  <r>
    <s v="ORD04341"/>
    <d v="2026-08-25T00:00:00"/>
    <s v="C1217"/>
    <s v="USB-C Hub"/>
    <x v="0"/>
    <n v="4"/>
    <n v="7999"/>
    <n v="0"/>
    <s v="South"/>
    <s v="Debit Card"/>
    <x v="0"/>
    <n v="1274.1499999999999"/>
  </r>
  <r>
    <s v="ORD04342"/>
    <d v="2026-05-21T00:00:00"/>
    <s v="C1349"/>
    <s v="Laptop Stand"/>
    <x v="0"/>
    <n v="5"/>
    <n v="1299"/>
    <n v="0.1"/>
    <s v="Central"/>
    <s v="Debit Card"/>
    <x v="0"/>
    <n v="31996"/>
  </r>
  <r>
    <s v="ORD04343"/>
    <d v="2026-03-04T00:00:00"/>
    <s v="C1608"/>
    <s v="Wireless Mouse"/>
    <x v="1"/>
    <n v="4"/>
    <n v="499"/>
    <n v="0"/>
    <s v="North"/>
    <s v="Credit Card"/>
    <x v="1"/>
    <n v="5845.5"/>
  </r>
  <r>
    <s v="ORD04344"/>
    <d v="2026-08-18T00:00:00"/>
    <s v="C1433"/>
    <s v="Monitor"/>
    <x v="0"/>
    <n v="3"/>
    <n v="2499"/>
    <n v="0.1"/>
    <s v="West"/>
    <s v="Credit Card"/>
    <x v="0"/>
    <n v="1996"/>
  </r>
  <r>
    <s v="ORD04345"/>
    <d v="2026-08-06T00:00:00"/>
    <s v="C1571"/>
    <s v="Monitor"/>
    <x v="0"/>
    <n v="4"/>
    <n v="1999"/>
    <n v="0.05"/>
    <s v="West"/>
    <s v="Net Banking"/>
    <x v="0"/>
    <n v="6747.3"/>
  </r>
  <r>
    <s v="ORD04346"/>
    <d v="2026-08-30T00:00:00"/>
    <s v="C1428"/>
    <s v="Headphones"/>
    <x v="1"/>
    <n v="3"/>
    <n v="999"/>
    <n v="0.15"/>
    <s v="West"/>
    <s v="COD"/>
    <x v="2"/>
    <n v="7596.2"/>
  </r>
  <r>
    <s v="ORD04347"/>
    <d v="2026-05-16T00:00:00"/>
    <s v="C1446"/>
    <s v="Laptop Stand"/>
    <x v="2"/>
    <n v="3"/>
    <n v="1999"/>
    <n v="0.1"/>
    <s v="Central"/>
    <s v="Debit Card"/>
    <x v="0"/>
    <n v="2547.4499999999998"/>
  </r>
  <r>
    <s v="ORD04348"/>
    <d v="2026-09-24T00:00:00"/>
    <s v="C1562"/>
    <s v="Bluetooth Speaker"/>
    <x v="1"/>
    <n v="1"/>
    <n v="1499"/>
    <n v="0"/>
    <s v="West"/>
    <s v="UPI"/>
    <x v="0"/>
    <n v="5397.3"/>
  </r>
  <r>
    <s v="ORD04349"/>
    <d v="2026-05-30T00:00:00"/>
    <s v="C1655"/>
    <s v="Keyboard"/>
    <x v="0"/>
    <n v="3"/>
    <n v="1999"/>
    <n v="0"/>
    <s v="West"/>
    <s v="COD"/>
    <x v="1"/>
    <n v="1499"/>
  </r>
  <r>
    <s v="ORD04350"/>
    <d v="2026-05-17T00:00:00"/>
    <s v="C1198"/>
    <s v="Laptop Stand"/>
    <x v="0"/>
    <n v="2"/>
    <n v="4999"/>
    <n v="0.1"/>
    <s v="Central"/>
    <s v="UPI"/>
    <x v="0"/>
    <n v="5997"/>
  </r>
  <r>
    <s v="ORD04351"/>
    <d v="2026-02-07T00:00:00"/>
    <s v="C1491"/>
    <s v="Monitor"/>
    <x v="1"/>
    <n v="1"/>
    <n v="7999"/>
    <n v="0.15"/>
    <s v="South"/>
    <s v="Credit Card"/>
    <x v="0"/>
    <n v="8998.2000000000007"/>
  </r>
  <r>
    <s v="ORD04352"/>
    <d v="2026-05-25T00:00:00"/>
    <s v="C1436"/>
    <s v="Keyboard"/>
    <x v="3"/>
    <n v="1"/>
    <n v="1999"/>
    <n v="0"/>
    <s v="North"/>
    <s v="COD"/>
    <x v="0"/>
    <n v="6799.15"/>
  </r>
  <r>
    <s v="ORD04353"/>
    <d v="2026-06-06T00:00:00"/>
    <s v="C1517"/>
    <s v="Monitor"/>
    <x v="1"/>
    <n v="5"/>
    <n v="799"/>
    <n v="0.15"/>
    <s v="Central"/>
    <s v="COD"/>
    <x v="0"/>
    <n v="1999"/>
  </r>
  <r>
    <s v="ORD04354"/>
    <d v="2026-05-10T00:00:00"/>
    <s v="C1496"/>
    <s v="USB-C Hub"/>
    <x v="3"/>
    <n v="4"/>
    <n v="499"/>
    <n v="0"/>
    <s v="South"/>
    <s v="UPI"/>
    <x v="0"/>
    <n v="3395.75"/>
  </r>
  <r>
    <s v="ORD04355"/>
    <d v="2026-01-14T00:00:00"/>
    <s v="C1082"/>
    <s v="Laptop Stand"/>
    <x v="4"/>
    <n v="4"/>
    <n v="4999"/>
    <n v="0.1"/>
    <s v="South"/>
    <s v="UPI"/>
    <x v="0"/>
    <n v="1996"/>
  </r>
  <r>
    <s v="ORD04356"/>
    <d v="2026-09-03T00:00:00"/>
    <s v="C1020"/>
    <s v="Power Bank"/>
    <x v="2"/>
    <n v="2"/>
    <n v="499"/>
    <n v="0.15"/>
    <s v="East"/>
    <s v="Debit Card"/>
    <x v="0"/>
    <n v="17996.400000000001"/>
  </r>
  <r>
    <s v="ORD04357"/>
    <d v="2026-08-23T00:00:00"/>
    <s v="C1660"/>
    <s v="Headphones"/>
    <x v="2"/>
    <n v="2"/>
    <n v="799"/>
    <n v="0"/>
    <s v="North"/>
    <s v="UPI"/>
    <x v="0"/>
    <n v="848.3"/>
  </r>
  <r>
    <s v="ORD04358"/>
    <d v="2026-01-07T00:00:00"/>
    <s v="C1553"/>
    <s v="Headphones"/>
    <x v="3"/>
    <n v="3"/>
    <n v="1299"/>
    <n v="0.1"/>
    <s v="Central"/>
    <s v="Debit Card"/>
    <x v="0"/>
    <n v="1598"/>
  </r>
  <r>
    <s v="ORD04359"/>
    <d v="2026-03-09T00:00:00"/>
    <s v="C1402"/>
    <s v="Power Bank"/>
    <x v="3"/>
    <n v="4"/>
    <n v="499"/>
    <n v="0.15"/>
    <s v="South"/>
    <s v="UPI"/>
    <x v="1"/>
    <n v="3507.3"/>
  </r>
  <r>
    <s v="ORD04360"/>
    <d v="2026-06-02T00:00:00"/>
    <s v="C1784"/>
    <s v="Monitor"/>
    <x v="4"/>
    <n v="5"/>
    <n v="1299"/>
    <n v="0"/>
    <s v="North"/>
    <s v="UPI"/>
    <x v="2"/>
    <n v="1696.6"/>
  </r>
  <r>
    <s v="ORD04361"/>
    <d v="2026-07-06T00:00:00"/>
    <s v="C1006"/>
    <s v="Keyboard"/>
    <x v="1"/>
    <n v="4"/>
    <n v="1499"/>
    <n v="0"/>
    <s v="South"/>
    <s v="Debit Card"/>
    <x v="2"/>
    <n v="6495"/>
  </r>
  <r>
    <s v="ORD04362"/>
    <d v="2026-02-23T00:00:00"/>
    <s v="C1019"/>
    <s v="Keyboard"/>
    <x v="1"/>
    <n v="4"/>
    <n v="1299"/>
    <n v="0.05"/>
    <s v="North"/>
    <s v="Net Banking"/>
    <x v="0"/>
    <n v="5996"/>
  </r>
  <r>
    <s v="ORD04363"/>
    <d v="2026-08-17T00:00:00"/>
    <s v="C1743"/>
    <s v="Wireless Mouse"/>
    <x v="1"/>
    <n v="3"/>
    <n v="1499"/>
    <n v="0.05"/>
    <s v="North"/>
    <s v="Credit Card"/>
    <x v="1"/>
    <n v="4936.2"/>
  </r>
  <r>
    <s v="ORD04364"/>
    <d v="2026-01-22T00:00:00"/>
    <s v="C1381"/>
    <s v="Headphones"/>
    <x v="3"/>
    <n v="5"/>
    <n v="999"/>
    <n v="0.05"/>
    <s v="North"/>
    <s v="COD"/>
    <x v="1"/>
    <n v="4272.1499999999996"/>
  </r>
  <r>
    <s v="ORD04365"/>
    <d v="2026-06-17T00:00:00"/>
    <s v="C1082"/>
    <s v="Mechanical Keyboard"/>
    <x v="1"/>
    <n v="3"/>
    <n v="1499"/>
    <n v="0.1"/>
    <s v="North"/>
    <s v="Debit Card"/>
    <x v="0"/>
    <n v="4745.25"/>
  </r>
  <r>
    <s v="ORD04366"/>
    <d v="2026-05-23T00:00:00"/>
    <s v="C1137"/>
    <s v="Wireless Mouse"/>
    <x v="3"/>
    <n v="2"/>
    <n v="1999"/>
    <n v="0.15"/>
    <s v="West"/>
    <s v="Net Banking"/>
    <x v="0"/>
    <n v="4047.3"/>
  </r>
  <r>
    <s v="ORD04367"/>
    <d v="2026-06-17T00:00:00"/>
    <s v="C1171"/>
    <s v="Headphones"/>
    <x v="4"/>
    <n v="3"/>
    <n v="4999"/>
    <n v="0.1"/>
    <s v="North"/>
    <s v="UPI"/>
    <x v="2"/>
    <n v="3398.2999999999997"/>
  </r>
  <r>
    <s v="ORD04368"/>
    <d v="2026-03-14T00:00:00"/>
    <s v="C1423"/>
    <s v="Wireless Mouse"/>
    <x v="4"/>
    <n v="2"/>
    <n v="599"/>
    <n v="0"/>
    <s v="East"/>
    <s v="UPI"/>
    <x v="2"/>
    <n v="13497.300000000001"/>
  </r>
  <r>
    <s v="ORD04369"/>
    <d v="2026-01-29T00:00:00"/>
    <s v="C1186"/>
    <s v="Power Bank"/>
    <x v="1"/>
    <n v="5"/>
    <n v="1499"/>
    <n v="0.15"/>
    <s v="South"/>
    <s v="COD"/>
    <x v="0"/>
    <n v="1198"/>
  </r>
  <r>
    <s v="ORD04370"/>
    <d v="2026-03-21T00:00:00"/>
    <s v="C1779"/>
    <s v="Power Bank"/>
    <x v="3"/>
    <n v="4"/>
    <n v="7999"/>
    <n v="0.1"/>
    <s v="Central"/>
    <s v="Debit Card"/>
    <x v="2"/>
    <n v="6370.75"/>
  </r>
  <r>
    <s v="ORD04371"/>
    <d v="2026-04-04T00:00:00"/>
    <s v="C1360"/>
    <s v="Wireless Mouse"/>
    <x v="4"/>
    <n v="3"/>
    <n v="799"/>
    <n v="0.1"/>
    <s v="East"/>
    <s v="Credit Card"/>
    <x v="0"/>
    <n v="28796.400000000001"/>
  </r>
  <r>
    <s v="ORD04372"/>
    <d v="2026-08-23T00:00:00"/>
    <s v="C1412"/>
    <s v="Power Bank"/>
    <x v="0"/>
    <n v="5"/>
    <n v="799"/>
    <n v="0"/>
    <s v="East"/>
    <s v="UPI"/>
    <x v="0"/>
    <n v="2157.3000000000002"/>
  </r>
  <r>
    <s v="ORD04373"/>
    <d v="2026-03-04T00:00:00"/>
    <s v="C1470"/>
    <s v="Headphones"/>
    <x v="3"/>
    <n v="5"/>
    <n v="1299"/>
    <n v="0.1"/>
    <s v="East"/>
    <s v="COD"/>
    <x v="2"/>
    <n v="3995"/>
  </r>
  <r>
    <s v="ORD04374"/>
    <d v="2026-05-31T00:00:00"/>
    <s v="C1464"/>
    <s v="USB-C Hub"/>
    <x v="2"/>
    <n v="3"/>
    <n v="999"/>
    <n v="0"/>
    <s v="East"/>
    <s v="COD"/>
    <x v="0"/>
    <n v="5845.5"/>
  </r>
  <r>
    <s v="ORD04375"/>
    <d v="2026-02-05T00:00:00"/>
    <s v="C1466"/>
    <s v="Webcam"/>
    <x v="3"/>
    <n v="4"/>
    <n v="799"/>
    <n v="0.1"/>
    <s v="North"/>
    <s v="COD"/>
    <x v="0"/>
    <n v="2997"/>
  </r>
  <r>
    <s v="ORD04376"/>
    <d v="2026-01-24T00:00:00"/>
    <s v="C1675"/>
    <s v="Wireless Mouse"/>
    <x v="0"/>
    <n v="1"/>
    <n v="2499"/>
    <n v="0"/>
    <s v="North"/>
    <s v="Credit Card"/>
    <x v="2"/>
    <n v="2876.4"/>
  </r>
  <r>
    <s v="ORD04377"/>
    <d v="2026-04-14T00:00:00"/>
    <s v="C1260"/>
    <s v="Webcam"/>
    <x v="1"/>
    <n v="3"/>
    <n v="4999"/>
    <n v="0.15"/>
    <s v="West"/>
    <s v="Net Banking"/>
    <x v="0"/>
    <n v="2499"/>
  </r>
  <r>
    <s v="ORD04378"/>
    <d v="2026-05-24T00:00:00"/>
    <s v="C1335"/>
    <s v="Monitor"/>
    <x v="2"/>
    <n v="5"/>
    <n v="499"/>
    <n v="0.1"/>
    <s v="North"/>
    <s v="Debit Card"/>
    <x v="0"/>
    <n v="12747.449999999999"/>
  </r>
  <r>
    <s v="ORD04379"/>
    <d v="2026-07-25T00:00:00"/>
    <s v="C1765"/>
    <s v="USB-C Hub"/>
    <x v="3"/>
    <n v="4"/>
    <n v="7999"/>
    <n v="0.1"/>
    <s v="North"/>
    <s v="COD"/>
    <x v="1"/>
    <n v="2245.5"/>
  </r>
  <r>
    <s v="ORD04380"/>
    <d v="2026-06-14T00:00:00"/>
    <s v="C1495"/>
    <s v="Monitor"/>
    <x v="0"/>
    <n v="2"/>
    <n v="499"/>
    <n v="0.05"/>
    <s v="South"/>
    <s v="UPI"/>
    <x v="1"/>
    <n v="28796.400000000001"/>
  </r>
  <r>
    <s v="ORD04381"/>
    <d v="2026-09-09T00:00:00"/>
    <s v="C1204"/>
    <s v="Wireless Mouse"/>
    <x v="1"/>
    <n v="3"/>
    <n v="2499"/>
    <n v="0.15"/>
    <s v="North"/>
    <s v="Credit Card"/>
    <x v="1"/>
    <n v="948.09999999999991"/>
  </r>
  <r>
    <s v="ORD04382"/>
    <d v="2026-03-13T00:00:00"/>
    <s v="C1172"/>
    <s v="Laptop Stand"/>
    <x v="3"/>
    <n v="4"/>
    <n v="1299"/>
    <n v="0"/>
    <s v="West"/>
    <s v="Debit Card"/>
    <x v="0"/>
    <n v="6372.45"/>
  </r>
  <r>
    <s v="ORD04383"/>
    <d v="2026-06-30T00:00:00"/>
    <s v="C1047"/>
    <s v="Laptop Stand"/>
    <x v="1"/>
    <n v="4"/>
    <n v="1499"/>
    <n v="0.15"/>
    <s v="North"/>
    <s v="Credit Card"/>
    <x v="0"/>
    <n v="5196"/>
  </r>
  <r>
    <s v="ORD04384"/>
    <d v="2026-01-06T00:00:00"/>
    <s v="C1465"/>
    <s v="Webcam"/>
    <x v="3"/>
    <n v="2"/>
    <n v="799"/>
    <n v="0.1"/>
    <s v="Central"/>
    <s v="Credit Card"/>
    <x v="0"/>
    <n v="5096.5999999999995"/>
  </r>
  <r>
    <s v="ORD04385"/>
    <d v="2026-09-08T00:00:00"/>
    <s v="C1508"/>
    <s v="Laptop Stand"/>
    <x v="0"/>
    <n v="4"/>
    <n v="799"/>
    <n v="0"/>
    <s v="West"/>
    <s v="Credit Card"/>
    <x v="0"/>
    <n v="1438.2"/>
  </r>
  <r>
    <s v="ORD04386"/>
    <d v="2026-04-21T00:00:00"/>
    <s v="C1282"/>
    <s v="Mechanical Keyboard"/>
    <x v="0"/>
    <n v="2"/>
    <n v="1999"/>
    <n v="0.1"/>
    <s v="North"/>
    <s v="Credit Card"/>
    <x v="0"/>
    <n v="3196"/>
  </r>
  <r>
    <s v="ORD04387"/>
    <d v="2026-04-01T00:00:00"/>
    <s v="C1653"/>
    <s v="Mechanical Keyboard"/>
    <x v="4"/>
    <n v="3"/>
    <n v="7999"/>
    <n v="0.05"/>
    <s v="South"/>
    <s v="COD"/>
    <x v="1"/>
    <n v="3598.2000000000003"/>
  </r>
  <r>
    <s v="ORD04388"/>
    <d v="2026-04-26T00:00:00"/>
    <s v="C1739"/>
    <s v="Wireless Mouse"/>
    <x v="0"/>
    <n v="2"/>
    <n v="599"/>
    <n v="0"/>
    <s v="East"/>
    <s v="Credit Card"/>
    <x v="2"/>
    <n v="22797.149999999998"/>
  </r>
  <r>
    <s v="ORD04389"/>
    <d v="2026-07-09T00:00:00"/>
    <s v="C1150"/>
    <s v="Bluetooth Speaker"/>
    <x v="1"/>
    <n v="4"/>
    <n v="499"/>
    <n v="0"/>
    <s v="North"/>
    <s v="Credit Card"/>
    <x v="1"/>
    <n v="1198"/>
  </r>
  <r>
    <s v="ORD04390"/>
    <d v="2026-09-23T00:00:00"/>
    <s v="C1270"/>
    <s v="Power Bank"/>
    <x v="0"/>
    <n v="5"/>
    <n v="599"/>
    <n v="0"/>
    <s v="South"/>
    <s v="COD"/>
    <x v="0"/>
    <n v="1996"/>
  </r>
  <r>
    <s v="ORD04391"/>
    <d v="2026-09-01T00:00:00"/>
    <s v="C1548"/>
    <s v="Monitor"/>
    <x v="1"/>
    <n v="5"/>
    <n v="499"/>
    <n v="0.15"/>
    <s v="South"/>
    <s v="COD"/>
    <x v="2"/>
    <n v="2995"/>
  </r>
  <r>
    <s v="ORD04392"/>
    <d v="2026-04-18T00:00:00"/>
    <s v="C1300"/>
    <s v="Monitor"/>
    <x v="3"/>
    <n v="2"/>
    <n v="599"/>
    <n v="0.05"/>
    <s v="West"/>
    <s v="COD"/>
    <x v="0"/>
    <n v="2120.75"/>
  </r>
  <r>
    <s v="ORD04393"/>
    <d v="2026-03-18T00:00:00"/>
    <s v="C1538"/>
    <s v="Monitor"/>
    <x v="2"/>
    <n v="5"/>
    <n v="1299"/>
    <n v="0"/>
    <s v="East"/>
    <s v="COD"/>
    <x v="0"/>
    <n v="1138.0999999999999"/>
  </r>
  <r>
    <s v="ORD04394"/>
    <d v="2026-06-23T00:00:00"/>
    <s v="C1661"/>
    <s v="Wireless Mouse"/>
    <x v="4"/>
    <n v="3"/>
    <n v="499"/>
    <n v="0.05"/>
    <s v="South"/>
    <s v="UPI"/>
    <x v="0"/>
    <n v="6495"/>
  </r>
  <r>
    <s v="ORD04395"/>
    <d v="2026-03-11T00:00:00"/>
    <s v="C1553"/>
    <s v="Headphones"/>
    <x v="1"/>
    <n v="5"/>
    <n v="1499"/>
    <n v="0.15"/>
    <s v="East"/>
    <s v="Net Banking"/>
    <x v="1"/>
    <n v="1422.1499999999999"/>
  </r>
  <r>
    <s v="ORD04396"/>
    <d v="2026-09-27T00:00:00"/>
    <s v="C1301"/>
    <s v="Power Bank"/>
    <x v="2"/>
    <n v="2"/>
    <n v="7999"/>
    <n v="0.1"/>
    <s v="South"/>
    <s v="Credit Card"/>
    <x v="1"/>
    <n v="6370.75"/>
  </r>
  <r>
    <s v="ORD04397"/>
    <d v="2026-04-21T00:00:00"/>
    <s v="C1640"/>
    <s v="Mechanical Keyboard"/>
    <x v="3"/>
    <n v="1"/>
    <n v="7999"/>
    <n v="0"/>
    <s v="Central"/>
    <s v="Credit Card"/>
    <x v="1"/>
    <n v="14398.2"/>
  </r>
  <r>
    <s v="ORD04398"/>
    <d v="2026-05-02T00:00:00"/>
    <s v="C1576"/>
    <s v="Keyboard"/>
    <x v="0"/>
    <n v="2"/>
    <n v="799"/>
    <n v="0.05"/>
    <s v="West"/>
    <s v="Credit Card"/>
    <x v="2"/>
    <n v="7999"/>
  </r>
  <r>
    <s v="ORD04399"/>
    <d v="2026-01-09T00:00:00"/>
    <s v="C1331"/>
    <s v="USB-C Hub"/>
    <x v="0"/>
    <n v="4"/>
    <n v="799"/>
    <n v="0"/>
    <s v="North"/>
    <s v="Debit Card"/>
    <x v="0"/>
    <n v="1518.1"/>
  </r>
  <r>
    <s v="ORD04400"/>
    <d v="2026-02-02T00:00:00"/>
    <s v="C1602"/>
    <s v="Wireless Mouse"/>
    <x v="2"/>
    <n v="1"/>
    <n v="1999"/>
    <n v="0"/>
    <s v="South"/>
    <s v="Net Banking"/>
    <x v="0"/>
    <n v="3196"/>
  </r>
  <r>
    <s v="ORD04401"/>
    <d v="2026-03-01T00:00:00"/>
    <s v="C1635"/>
    <s v="Monitor"/>
    <x v="2"/>
    <n v="2"/>
    <n v="1299"/>
    <n v="0"/>
    <s v="North"/>
    <s v="Net Banking"/>
    <x v="0"/>
    <n v="1999"/>
  </r>
  <r>
    <s v="ORD04402"/>
    <d v="2026-06-14T00:00:00"/>
    <s v="C1707"/>
    <s v="Monitor"/>
    <x v="3"/>
    <n v="2"/>
    <n v="2499"/>
    <n v="0.15"/>
    <s v="South"/>
    <s v="Debit Card"/>
    <x v="2"/>
    <n v="2598"/>
  </r>
  <r>
    <s v="ORD04403"/>
    <d v="2026-07-27T00:00:00"/>
    <s v="C1058"/>
    <s v="Wireless Mouse"/>
    <x v="1"/>
    <n v="1"/>
    <n v="1999"/>
    <n v="0.1"/>
    <s v="North"/>
    <s v="UPI"/>
    <x v="1"/>
    <n v="4248.3"/>
  </r>
  <r>
    <s v="ORD04404"/>
    <d v="2026-05-17T00:00:00"/>
    <s v="C1043"/>
    <s v="Laptop Stand"/>
    <x v="2"/>
    <n v="1"/>
    <n v="1499"/>
    <n v="0"/>
    <s v="East"/>
    <s v="COD"/>
    <x v="0"/>
    <n v="1799.1000000000001"/>
  </r>
  <r>
    <s v="ORD04405"/>
    <d v="2026-01-25T00:00:00"/>
    <s v="C1553"/>
    <s v="Power Bank"/>
    <x v="4"/>
    <n v="5"/>
    <n v="4999"/>
    <n v="0"/>
    <s v="North"/>
    <s v="Credit Card"/>
    <x v="1"/>
    <n v="1499"/>
  </r>
  <r>
    <s v="ORD04406"/>
    <d v="2026-03-09T00:00:00"/>
    <s v="C1751"/>
    <s v="USB-C Hub"/>
    <x v="2"/>
    <n v="5"/>
    <n v="7999"/>
    <n v="0.1"/>
    <s v="South"/>
    <s v="Net Banking"/>
    <x v="0"/>
    <n v="24995"/>
  </r>
  <r>
    <s v="ORD04407"/>
    <d v="2026-05-11T00:00:00"/>
    <s v="C1081"/>
    <s v="Headphones"/>
    <x v="1"/>
    <n v="3"/>
    <n v="1999"/>
    <n v="0"/>
    <s v="South"/>
    <s v="UPI"/>
    <x v="0"/>
    <n v="35995.5"/>
  </r>
  <r>
    <s v="ORD04408"/>
    <d v="2026-07-26T00:00:00"/>
    <s v="C1037"/>
    <s v="Power Bank"/>
    <x v="4"/>
    <n v="1"/>
    <n v="1299"/>
    <n v="0"/>
    <s v="Central"/>
    <s v="Net Banking"/>
    <x v="1"/>
    <n v="5997"/>
  </r>
  <r>
    <s v="ORD04409"/>
    <d v="2026-01-31T00:00:00"/>
    <s v="C1029"/>
    <s v="USB-C Hub"/>
    <x v="1"/>
    <n v="3"/>
    <n v="2499"/>
    <n v="0"/>
    <s v="Central"/>
    <s v="COD"/>
    <x v="1"/>
    <n v="1299"/>
  </r>
  <r>
    <s v="ORD04410"/>
    <d v="2026-01-03T00:00:00"/>
    <s v="C1366"/>
    <s v="Monitor"/>
    <x v="1"/>
    <n v="5"/>
    <n v="499"/>
    <n v="0"/>
    <s v="East"/>
    <s v="COD"/>
    <x v="1"/>
    <n v="7497"/>
  </r>
  <r>
    <s v="ORD04411"/>
    <d v="2026-03-09T00:00:00"/>
    <s v="C1588"/>
    <s v="Webcam"/>
    <x v="3"/>
    <n v="4"/>
    <n v="7999"/>
    <n v="0"/>
    <s v="East"/>
    <s v="Net Banking"/>
    <x v="0"/>
    <n v="2495"/>
  </r>
  <r>
    <s v="ORD04412"/>
    <d v="2026-08-29T00:00:00"/>
    <s v="C1404"/>
    <s v="Bluetooth Speaker"/>
    <x v="2"/>
    <n v="3"/>
    <n v="599"/>
    <n v="0"/>
    <s v="East"/>
    <s v="UPI"/>
    <x v="0"/>
    <n v="31996"/>
  </r>
  <r>
    <s v="ORD04413"/>
    <d v="2026-03-07T00:00:00"/>
    <s v="C1099"/>
    <s v="USB-C Hub"/>
    <x v="1"/>
    <n v="5"/>
    <n v="499"/>
    <n v="0.1"/>
    <s v="South"/>
    <s v="COD"/>
    <x v="0"/>
    <n v="1797"/>
  </r>
  <r>
    <s v="ORD04414"/>
    <d v="2026-03-31T00:00:00"/>
    <s v="C1050"/>
    <s v="Mechanical Keyboard"/>
    <x v="4"/>
    <n v="2"/>
    <n v="2499"/>
    <n v="0"/>
    <s v="West"/>
    <s v="Net Banking"/>
    <x v="2"/>
    <n v="2245.5"/>
  </r>
  <r>
    <s v="ORD04415"/>
    <d v="2026-04-19T00:00:00"/>
    <s v="C1036"/>
    <s v="Headphones"/>
    <x v="1"/>
    <n v="3"/>
    <n v="599"/>
    <n v="0"/>
    <s v="South"/>
    <s v="Net Banking"/>
    <x v="0"/>
    <n v="4998"/>
  </r>
  <r>
    <s v="ORD04416"/>
    <d v="2026-01-17T00:00:00"/>
    <s v="C1355"/>
    <s v="Headphones"/>
    <x v="1"/>
    <n v="2"/>
    <n v="1299"/>
    <n v="0"/>
    <s v="North"/>
    <s v="Credit Card"/>
    <x v="0"/>
    <n v="1797"/>
  </r>
  <r>
    <s v="ORD04417"/>
    <d v="2026-01-07T00:00:00"/>
    <s v="C1327"/>
    <s v="Mechanical Keyboard"/>
    <x v="1"/>
    <n v="1"/>
    <n v="499"/>
    <n v="0"/>
    <s v="East"/>
    <s v="Debit Card"/>
    <x v="0"/>
    <n v="2598"/>
  </r>
  <r>
    <s v="ORD04418"/>
    <d v="2026-09-29T00:00:00"/>
    <s v="C1232"/>
    <s v="Headphones"/>
    <x v="4"/>
    <n v="5"/>
    <n v="499"/>
    <n v="0.15"/>
    <s v="East"/>
    <s v="Net Banking"/>
    <x v="0"/>
    <n v="499"/>
  </r>
  <r>
    <s v="ORD04419"/>
    <d v="2026-05-18T00:00:00"/>
    <s v="C1476"/>
    <s v="USB-C Hub"/>
    <x v="1"/>
    <n v="1"/>
    <n v="1299"/>
    <n v="0"/>
    <s v="Central"/>
    <s v="Credit Card"/>
    <x v="2"/>
    <n v="2120.75"/>
  </r>
  <r>
    <s v="ORD04420"/>
    <d v="2026-08-12T00:00:00"/>
    <s v="C1786"/>
    <s v="Keyboard"/>
    <x v="2"/>
    <n v="3"/>
    <n v="2499"/>
    <n v="0"/>
    <s v="Central"/>
    <s v="COD"/>
    <x v="2"/>
    <n v="1299"/>
  </r>
  <r>
    <s v="ORD04421"/>
    <d v="2026-01-02T00:00:00"/>
    <s v="C1365"/>
    <s v="Webcam"/>
    <x v="1"/>
    <n v="4"/>
    <n v="799"/>
    <n v="0.1"/>
    <s v="North"/>
    <s v="Credit Card"/>
    <x v="0"/>
    <n v="7497"/>
  </r>
  <r>
    <s v="ORD04422"/>
    <d v="2026-01-03T00:00:00"/>
    <s v="C1181"/>
    <s v="Monitor"/>
    <x v="0"/>
    <n v="4"/>
    <n v="599"/>
    <n v="0.05"/>
    <s v="Central"/>
    <s v="UPI"/>
    <x v="0"/>
    <n v="2876.4"/>
  </r>
  <r>
    <s v="ORD04423"/>
    <d v="2026-01-14T00:00:00"/>
    <s v="C1771"/>
    <s v="USB-C Hub"/>
    <x v="2"/>
    <n v="5"/>
    <n v="599"/>
    <n v="0.1"/>
    <s v="West"/>
    <s v="Credit Card"/>
    <x v="0"/>
    <n v="2276.1999999999998"/>
  </r>
  <r>
    <s v="ORD04424"/>
    <d v="2026-01-19T00:00:00"/>
    <s v="C1040"/>
    <s v="Power Bank"/>
    <x v="2"/>
    <n v="1"/>
    <n v="7999"/>
    <n v="0"/>
    <s v="South"/>
    <s v="Debit Card"/>
    <x v="2"/>
    <n v="2695.5"/>
  </r>
  <r>
    <s v="ORD04425"/>
    <d v="2026-04-25T00:00:00"/>
    <s v="C1030"/>
    <s v="Keyboard"/>
    <x v="4"/>
    <n v="3"/>
    <n v="599"/>
    <n v="0.05"/>
    <s v="North"/>
    <s v="Credit Card"/>
    <x v="0"/>
    <n v="7999"/>
  </r>
  <r>
    <s v="ORD04426"/>
    <d v="2026-02-06T00:00:00"/>
    <s v="C1243"/>
    <s v="USB-C Hub"/>
    <x v="0"/>
    <n v="4"/>
    <n v="1299"/>
    <n v="0.1"/>
    <s v="North"/>
    <s v="Credit Card"/>
    <x v="0"/>
    <n v="1707.1499999999999"/>
  </r>
  <r>
    <s v="ORD04427"/>
    <d v="2026-03-17T00:00:00"/>
    <s v="C1547"/>
    <s v="Wireless Mouse"/>
    <x v="3"/>
    <n v="5"/>
    <n v="1999"/>
    <n v="0.15"/>
    <s v="North"/>
    <s v="Credit Card"/>
    <x v="0"/>
    <n v="4676.4000000000005"/>
  </r>
  <r>
    <s v="ORD04428"/>
    <d v="2026-09-07T00:00:00"/>
    <s v="C1227"/>
    <s v="Bluetooth Speaker"/>
    <x v="4"/>
    <n v="4"/>
    <n v="7999"/>
    <n v="0.1"/>
    <s v="South"/>
    <s v="Credit Card"/>
    <x v="1"/>
    <n v="8495.75"/>
  </r>
  <r>
    <s v="ORD04429"/>
    <d v="2026-04-17T00:00:00"/>
    <s v="C1632"/>
    <s v="Keyboard"/>
    <x v="3"/>
    <n v="1"/>
    <n v="1299"/>
    <n v="0.1"/>
    <s v="East"/>
    <s v="UPI"/>
    <x v="0"/>
    <n v="28796.400000000001"/>
  </r>
  <r>
    <s v="ORD04430"/>
    <d v="2026-05-27T00:00:00"/>
    <s v="C1641"/>
    <s v="USB-C Hub"/>
    <x v="1"/>
    <n v="5"/>
    <n v="7999"/>
    <n v="0.05"/>
    <s v="West"/>
    <s v="Debit Card"/>
    <x v="0"/>
    <n v="1169.1000000000001"/>
  </r>
  <r>
    <s v="ORD04431"/>
    <d v="2026-01-20T00:00:00"/>
    <s v="C1508"/>
    <s v="Monitor"/>
    <x v="3"/>
    <n v="4"/>
    <n v="7999"/>
    <n v="0.1"/>
    <s v="North"/>
    <s v="Debit Card"/>
    <x v="0"/>
    <n v="37995.25"/>
  </r>
  <r>
    <s v="ORD04432"/>
    <d v="2026-02-15T00:00:00"/>
    <s v="C1118"/>
    <s v="Webcam"/>
    <x v="4"/>
    <n v="4"/>
    <n v="1999"/>
    <n v="0"/>
    <s v="South"/>
    <s v="UPI"/>
    <x v="2"/>
    <n v="28796.400000000001"/>
  </r>
  <r>
    <s v="ORD04433"/>
    <d v="2026-01-17T00:00:00"/>
    <s v="C1169"/>
    <s v="Bluetooth Speaker"/>
    <x v="3"/>
    <n v="1"/>
    <n v="799"/>
    <n v="0.05"/>
    <s v="East"/>
    <s v="UPI"/>
    <x v="0"/>
    <n v="7996"/>
  </r>
  <r>
    <s v="ORD04434"/>
    <d v="2026-06-30T00:00:00"/>
    <s v="C1607"/>
    <s v="Mechanical Keyboard"/>
    <x v="0"/>
    <n v="2"/>
    <n v="2499"/>
    <n v="0"/>
    <s v="Central"/>
    <s v="UPI"/>
    <x v="0"/>
    <n v="759.05"/>
  </r>
  <r>
    <s v="ORD04435"/>
    <d v="2026-06-24T00:00:00"/>
    <s v="C1065"/>
    <s v="USB-C Hub"/>
    <x v="3"/>
    <n v="2"/>
    <n v="1499"/>
    <n v="0"/>
    <s v="Central"/>
    <s v="UPI"/>
    <x v="0"/>
    <n v="4998"/>
  </r>
  <r>
    <s v="ORD04436"/>
    <d v="2026-08-16T00:00:00"/>
    <s v="C1324"/>
    <s v="Headphones"/>
    <x v="4"/>
    <n v="1"/>
    <n v="599"/>
    <n v="0.05"/>
    <s v="South"/>
    <s v="UPI"/>
    <x v="2"/>
    <n v="2998"/>
  </r>
  <r>
    <s v="ORD04437"/>
    <d v="2026-07-18T00:00:00"/>
    <s v="C1427"/>
    <s v="Bluetooth Speaker"/>
    <x v="2"/>
    <n v="1"/>
    <n v="1499"/>
    <n v="0"/>
    <s v="North"/>
    <s v="Debit Card"/>
    <x v="0"/>
    <n v="569.04999999999995"/>
  </r>
  <r>
    <s v="ORD04438"/>
    <d v="2026-07-18T00:00:00"/>
    <s v="C1309"/>
    <s v="Wireless Mouse"/>
    <x v="0"/>
    <n v="5"/>
    <n v="1499"/>
    <n v="0"/>
    <s v="North"/>
    <s v="Net Banking"/>
    <x v="1"/>
    <n v="1499"/>
  </r>
  <r>
    <s v="ORD04439"/>
    <d v="2026-09-17T00:00:00"/>
    <s v="C1042"/>
    <s v="Keyboard"/>
    <x v="4"/>
    <n v="4"/>
    <n v="799"/>
    <n v="0.1"/>
    <s v="North"/>
    <s v="COD"/>
    <x v="0"/>
    <n v="7495"/>
  </r>
  <r>
    <s v="ORD04440"/>
    <d v="2026-02-13T00:00:00"/>
    <s v="C1083"/>
    <s v="Monitor"/>
    <x v="4"/>
    <n v="1"/>
    <n v="1299"/>
    <n v="0.1"/>
    <s v="East"/>
    <s v="Net Banking"/>
    <x v="0"/>
    <n v="2876.4"/>
  </r>
  <r>
    <s v="ORD04441"/>
    <d v="2026-05-06T00:00:00"/>
    <s v="C1130"/>
    <s v="Mechanical Keyboard"/>
    <x v="0"/>
    <n v="1"/>
    <n v="799"/>
    <n v="0.05"/>
    <s v="West"/>
    <s v="COD"/>
    <x v="0"/>
    <n v="1169.1000000000001"/>
  </r>
  <r>
    <s v="ORD04442"/>
    <d v="2026-01-03T00:00:00"/>
    <s v="C1247"/>
    <s v="Power Bank"/>
    <x v="3"/>
    <n v="2"/>
    <n v="799"/>
    <n v="0.1"/>
    <s v="East"/>
    <s v="Debit Card"/>
    <x v="0"/>
    <n v="759.05"/>
  </r>
  <r>
    <s v="ORD04443"/>
    <d v="2026-06-20T00:00:00"/>
    <s v="C1493"/>
    <s v="Headphones"/>
    <x v="4"/>
    <n v="1"/>
    <n v="799"/>
    <n v="0.05"/>
    <s v="Central"/>
    <s v="Credit Card"/>
    <x v="1"/>
    <n v="1438.2"/>
  </r>
  <r>
    <s v="ORD04444"/>
    <d v="2026-09-15T00:00:00"/>
    <s v="C1716"/>
    <s v="Wireless Mouse"/>
    <x v="3"/>
    <n v="5"/>
    <n v="7999"/>
    <n v="0.15"/>
    <s v="Central"/>
    <s v="Net Banking"/>
    <x v="0"/>
    <n v="759.05"/>
  </r>
  <r>
    <s v="ORD04445"/>
    <d v="2026-02-19T00:00:00"/>
    <s v="C1306"/>
    <s v="Wireless Mouse"/>
    <x v="1"/>
    <n v="3"/>
    <n v="2499"/>
    <n v="0.05"/>
    <s v="West"/>
    <s v="UPI"/>
    <x v="0"/>
    <n v="33995.75"/>
  </r>
  <r>
    <s v="ORD04446"/>
    <d v="2026-02-10T00:00:00"/>
    <s v="C1142"/>
    <s v="Webcam"/>
    <x v="0"/>
    <n v="4"/>
    <n v="4999"/>
    <n v="0.1"/>
    <s v="South"/>
    <s v="Debit Card"/>
    <x v="0"/>
    <n v="7122.15"/>
  </r>
  <r>
    <s v="ORD04447"/>
    <d v="2026-01-14T00:00:00"/>
    <s v="C1109"/>
    <s v="Power Bank"/>
    <x v="1"/>
    <n v="5"/>
    <n v="599"/>
    <n v="0.05"/>
    <s v="South"/>
    <s v="Net Banking"/>
    <x v="0"/>
    <n v="17996.400000000001"/>
  </r>
  <r>
    <s v="ORD04448"/>
    <d v="2026-09-27T00:00:00"/>
    <s v="C1122"/>
    <s v="Headphones"/>
    <x v="3"/>
    <n v="3"/>
    <n v="4999"/>
    <n v="0"/>
    <s v="North"/>
    <s v="UPI"/>
    <x v="2"/>
    <n v="2845.25"/>
  </r>
  <r>
    <s v="ORD04449"/>
    <d v="2026-01-20T00:00:00"/>
    <s v="C1613"/>
    <s v="Monitor"/>
    <x v="4"/>
    <n v="2"/>
    <n v="999"/>
    <n v="0"/>
    <s v="Central"/>
    <s v="Debit Card"/>
    <x v="1"/>
    <n v="14997"/>
  </r>
  <r>
    <s v="ORD04450"/>
    <d v="2026-01-13T00:00:00"/>
    <s v="C1445"/>
    <s v="Wireless Mouse"/>
    <x v="1"/>
    <n v="5"/>
    <n v="599"/>
    <n v="0"/>
    <s v="West"/>
    <s v="UPI"/>
    <x v="0"/>
    <n v="1998"/>
  </r>
  <r>
    <s v="ORD04451"/>
    <d v="2026-02-18T00:00:00"/>
    <s v="C1133"/>
    <s v="Webcam"/>
    <x v="0"/>
    <n v="3"/>
    <n v="599"/>
    <n v="0.1"/>
    <s v="South"/>
    <s v="UPI"/>
    <x v="1"/>
    <n v="2995"/>
  </r>
  <r>
    <s v="ORD04452"/>
    <d v="2026-03-03T00:00:00"/>
    <s v="C1117"/>
    <s v="USB-C Hub"/>
    <x v="2"/>
    <n v="5"/>
    <n v="2499"/>
    <n v="0.15"/>
    <s v="Central"/>
    <s v="UPI"/>
    <x v="0"/>
    <n v="1617.3"/>
  </r>
  <r>
    <s v="ORD04453"/>
    <d v="2026-07-09T00:00:00"/>
    <s v="C1634"/>
    <s v="Bluetooth Speaker"/>
    <x v="4"/>
    <n v="5"/>
    <n v="2499"/>
    <n v="0"/>
    <s v="South"/>
    <s v="Net Banking"/>
    <x v="1"/>
    <n v="10620.75"/>
  </r>
  <r>
    <s v="ORD04454"/>
    <d v="2026-05-18T00:00:00"/>
    <s v="C1445"/>
    <s v="Laptop Stand"/>
    <x v="0"/>
    <n v="3"/>
    <n v="499"/>
    <n v="0.15"/>
    <s v="West"/>
    <s v="Credit Card"/>
    <x v="0"/>
    <n v="12495"/>
  </r>
  <r>
    <s v="ORD04455"/>
    <d v="2026-06-17T00:00:00"/>
    <s v="C1767"/>
    <s v="Laptop Stand"/>
    <x v="4"/>
    <n v="4"/>
    <n v="4999"/>
    <n v="0.1"/>
    <s v="North"/>
    <s v="Credit Card"/>
    <x v="0"/>
    <n v="1272.45"/>
  </r>
  <r>
    <s v="ORD04456"/>
    <d v="2026-04-20T00:00:00"/>
    <s v="C1468"/>
    <s v="Keyboard"/>
    <x v="1"/>
    <n v="3"/>
    <n v="599"/>
    <n v="0.15"/>
    <s v="South"/>
    <s v="Credit Card"/>
    <x v="0"/>
    <n v="17996.400000000001"/>
  </r>
  <r>
    <s v="ORD04457"/>
    <d v="2026-01-17T00:00:00"/>
    <s v="C1311"/>
    <s v="Keyboard"/>
    <x v="3"/>
    <n v="5"/>
    <n v="1499"/>
    <n v="0.1"/>
    <s v="West"/>
    <s v="Credit Card"/>
    <x v="1"/>
    <n v="1527.45"/>
  </r>
  <r>
    <s v="ORD04458"/>
    <d v="2026-07-10T00:00:00"/>
    <s v="C1159"/>
    <s v="Keyboard"/>
    <x v="0"/>
    <n v="2"/>
    <n v="799"/>
    <n v="0.05"/>
    <s v="Central"/>
    <s v="Debit Card"/>
    <x v="1"/>
    <n v="6745.5"/>
  </r>
  <r>
    <s v="ORD04459"/>
    <d v="2026-06-24T00:00:00"/>
    <s v="C1711"/>
    <s v="Webcam"/>
    <x v="0"/>
    <n v="1"/>
    <n v="7999"/>
    <n v="0"/>
    <s v="North"/>
    <s v="UPI"/>
    <x v="2"/>
    <n v="1518.1"/>
  </r>
  <r>
    <s v="ORD04460"/>
    <d v="2026-02-09T00:00:00"/>
    <s v="C1545"/>
    <s v="Bluetooth Speaker"/>
    <x v="4"/>
    <n v="2"/>
    <n v="1499"/>
    <n v="0.05"/>
    <s v="South"/>
    <s v="UPI"/>
    <x v="2"/>
    <n v="7999"/>
  </r>
  <r>
    <s v="ORD04461"/>
    <d v="2026-05-16T00:00:00"/>
    <s v="C1081"/>
    <s v="Monitor"/>
    <x v="3"/>
    <n v="5"/>
    <n v="2499"/>
    <n v="0"/>
    <s v="East"/>
    <s v="Net Banking"/>
    <x v="0"/>
    <n v="2848.1"/>
  </r>
  <r>
    <s v="ORD04462"/>
    <d v="2026-06-05T00:00:00"/>
    <s v="C1057"/>
    <s v="Webcam"/>
    <x v="2"/>
    <n v="5"/>
    <n v="1499"/>
    <n v="0.1"/>
    <s v="Central"/>
    <s v="Debit Card"/>
    <x v="0"/>
    <n v="12495"/>
  </r>
  <r>
    <s v="ORD04463"/>
    <d v="2026-06-20T00:00:00"/>
    <s v="C1401"/>
    <s v="Wireless Mouse"/>
    <x v="4"/>
    <n v="5"/>
    <n v="2499"/>
    <n v="0.1"/>
    <s v="Central"/>
    <s v="COD"/>
    <x v="0"/>
    <n v="6745.5"/>
  </r>
  <r>
    <s v="ORD04464"/>
    <d v="2026-02-02T00:00:00"/>
    <s v="C1332"/>
    <s v="USB-C Hub"/>
    <x v="0"/>
    <n v="3"/>
    <n v="1999"/>
    <n v="0"/>
    <s v="East"/>
    <s v="Net Banking"/>
    <x v="1"/>
    <n v="11245.5"/>
  </r>
  <r>
    <s v="ORD04465"/>
    <d v="2026-08-08T00:00:00"/>
    <s v="C1466"/>
    <s v="Headphones"/>
    <x v="0"/>
    <n v="4"/>
    <n v="599"/>
    <n v="0.15"/>
    <s v="North"/>
    <s v="Credit Card"/>
    <x v="1"/>
    <n v="5997"/>
  </r>
  <r>
    <s v="ORD04466"/>
    <d v="2026-08-21T00:00:00"/>
    <s v="C1120"/>
    <s v="Bluetooth Speaker"/>
    <x v="1"/>
    <n v="4"/>
    <n v="999"/>
    <n v="0"/>
    <s v="Central"/>
    <s v="Debit Card"/>
    <x v="2"/>
    <n v="2036.6"/>
  </r>
  <r>
    <s v="ORD04467"/>
    <d v="2026-08-08T00:00:00"/>
    <s v="C1357"/>
    <s v="Keyboard"/>
    <x v="2"/>
    <n v="1"/>
    <n v="1999"/>
    <n v="0"/>
    <s v="West"/>
    <s v="COD"/>
    <x v="2"/>
    <n v="3996"/>
  </r>
  <r>
    <s v="ORD04468"/>
    <d v="2026-05-15T00:00:00"/>
    <s v="C1104"/>
    <s v="Laptop Stand"/>
    <x v="3"/>
    <n v="1"/>
    <n v="7999"/>
    <n v="0.05"/>
    <s v="North"/>
    <s v="Credit Card"/>
    <x v="0"/>
    <n v="1999"/>
  </r>
  <r>
    <s v="ORD04469"/>
    <d v="2026-07-11T00:00:00"/>
    <s v="C1431"/>
    <s v="Monitor"/>
    <x v="1"/>
    <n v="3"/>
    <n v="799"/>
    <n v="0.05"/>
    <s v="West"/>
    <s v="Net Banking"/>
    <x v="0"/>
    <n v="7599.0499999999993"/>
  </r>
  <r>
    <s v="ORD04470"/>
    <d v="2026-04-24T00:00:00"/>
    <s v="C1026"/>
    <s v="Headphones"/>
    <x v="1"/>
    <n v="2"/>
    <n v="7999"/>
    <n v="0.15"/>
    <s v="Central"/>
    <s v="COD"/>
    <x v="0"/>
    <n v="2277.15"/>
  </r>
  <r>
    <s v="ORD04471"/>
    <d v="2026-06-22T00:00:00"/>
    <s v="C1671"/>
    <s v="Keyboard"/>
    <x v="4"/>
    <n v="4"/>
    <n v="1999"/>
    <n v="0"/>
    <s v="Central"/>
    <s v="Net Banking"/>
    <x v="0"/>
    <n v="13598.3"/>
  </r>
  <r>
    <s v="ORD04472"/>
    <d v="2026-07-07T00:00:00"/>
    <s v="C1546"/>
    <s v="Wireless Mouse"/>
    <x v="3"/>
    <n v="5"/>
    <n v="1499"/>
    <n v="0"/>
    <s v="Central"/>
    <s v="Credit Card"/>
    <x v="0"/>
    <n v="7996"/>
  </r>
  <r>
    <s v="ORD04473"/>
    <d v="2026-08-07T00:00:00"/>
    <s v="C1203"/>
    <s v="Headphones"/>
    <x v="0"/>
    <n v="1"/>
    <n v="599"/>
    <n v="0.05"/>
    <s v="North"/>
    <s v="Net Banking"/>
    <x v="0"/>
    <n v="7495"/>
  </r>
  <r>
    <s v="ORD04474"/>
    <d v="2026-02-11T00:00:00"/>
    <s v="C1383"/>
    <s v="Mechanical Keyboard"/>
    <x v="0"/>
    <n v="1"/>
    <n v="1999"/>
    <n v="0.1"/>
    <s v="North"/>
    <s v="UPI"/>
    <x v="1"/>
    <n v="569.04999999999995"/>
  </r>
  <r>
    <s v="ORD04475"/>
    <d v="2026-06-18T00:00:00"/>
    <s v="C1261"/>
    <s v="Mechanical Keyboard"/>
    <x v="2"/>
    <n v="1"/>
    <n v="7999"/>
    <n v="0.1"/>
    <s v="West"/>
    <s v="Debit Card"/>
    <x v="0"/>
    <n v="1799.1000000000001"/>
  </r>
  <r>
    <s v="ORD04476"/>
    <d v="2026-07-08T00:00:00"/>
    <s v="C1475"/>
    <s v="Power Bank"/>
    <x v="2"/>
    <n v="5"/>
    <n v="999"/>
    <n v="0.05"/>
    <s v="North"/>
    <s v="COD"/>
    <x v="0"/>
    <n v="7199.1"/>
  </r>
  <r>
    <s v="ORD04477"/>
    <d v="2026-07-26T00:00:00"/>
    <s v="C1296"/>
    <s v="Bluetooth Speaker"/>
    <x v="2"/>
    <n v="2"/>
    <n v="1299"/>
    <n v="0.15"/>
    <s v="East"/>
    <s v="Credit Card"/>
    <x v="0"/>
    <n v="4745.25"/>
  </r>
  <r>
    <s v="ORD04478"/>
    <d v="2026-02-08T00:00:00"/>
    <s v="C1062"/>
    <s v="Wireless Mouse"/>
    <x v="3"/>
    <n v="2"/>
    <n v="1299"/>
    <n v="0.05"/>
    <s v="East"/>
    <s v="COD"/>
    <x v="0"/>
    <n v="2208.2999999999997"/>
  </r>
  <r>
    <s v="ORD04479"/>
    <d v="2026-08-30T00:00:00"/>
    <s v="C1597"/>
    <s v="Wireless Mouse"/>
    <x v="4"/>
    <n v="1"/>
    <n v="799"/>
    <n v="0"/>
    <s v="North"/>
    <s v="Debit Card"/>
    <x v="0"/>
    <n v="2468.1"/>
  </r>
  <r>
    <s v="ORD04480"/>
    <d v="2026-02-04T00:00:00"/>
    <s v="C1105"/>
    <s v="USB-C Hub"/>
    <x v="3"/>
    <n v="2"/>
    <n v="499"/>
    <n v="0"/>
    <s v="Central"/>
    <s v="UPI"/>
    <x v="0"/>
    <n v="799"/>
  </r>
  <r>
    <s v="ORD04481"/>
    <d v="2026-07-09T00:00:00"/>
    <s v="C1101"/>
    <s v="Keyboard"/>
    <x v="3"/>
    <n v="1"/>
    <n v="599"/>
    <n v="0.15"/>
    <s v="Central"/>
    <s v="COD"/>
    <x v="1"/>
    <n v="998"/>
  </r>
  <r>
    <s v="ORD04482"/>
    <d v="2026-06-29T00:00:00"/>
    <s v="C1086"/>
    <s v="Webcam"/>
    <x v="4"/>
    <n v="3"/>
    <n v="1499"/>
    <n v="0"/>
    <s v="North"/>
    <s v="Credit Card"/>
    <x v="0"/>
    <n v="509.15"/>
  </r>
  <r>
    <s v="ORD04483"/>
    <d v="2026-02-13T00:00:00"/>
    <s v="C1210"/>
    <s v="Bluetooth Speaker"/>
    <x v="2"/>
    <n v="4"/>
    <n v="799"/>
    <n v="0"/>
    <s v="East"/>
    <s v="Net Banking"/>
    <x v="0"/>
    <n v="4497"/>
  </r>
  <r>
    <s v="ORD04484"/>
    <d v="2026-05-23T00:00:00"/>
    <s v="C1470"/>
    <s v="Wireless Mouse"/>
    <x v="1"/>
    <n v="2"/>
    <n v="499"/>
    <n v="0.05"/>
    <s v="Central"/>
    <s v="Debit Card"/>
    <x v="0"/>
    <n v="3196"/>
  </r>
  <r>
    <s v="ORD04485"/>
    <d v="2026-01-05T00:00:00"/>
    <s v="C1192"/>
    <s v="Bluetooth Speaker"/>
    <x v="2"/>
    <n v="4"/>
    <n v="7999"/>
    <n v="0"/>
    <s v="Central"/>
    <s v="COD"/>
    <x v="2"/>
    <n v="948.09999999999991"/>
  </r>
  <r>
    <s v="ORD04486"/>
    <d v="2026-03-12T00:00:00"/>
    <s v="C1467"/>
    <s v="Headphones"/>
    <x v="1"/>
    <n v="2"/>
    <n v="499"/>
    <n v="0.05"/>
    <s v="East"/>
    <s v="UPI"/>
    <x v="0"/>
    <n v="31996"/>
  </r>
  <r>
    <s v="ORD04487"/>
    <d v="2026-06-28T00:00:00"/>
    <s v="C1235"/>
    <s v="USB-C Hub"/>
    <x v="1"/>
    <n v="4"/>
    <n v="7999"/>
    <n v="0"/>
    <s v="North"/>
    <s v="Credit Card"/>
    <x v="1"/>
    <n v="948.09999999999991"/>
  </r>
  <r>
    <s v="ORD04488"/>
    <d v="2026-01-23T00:00:00"/>
    <s v="C1070"/>
    <s v="Keyboard"/>
    <x v="0"/>
    <n v="1"/>
    <n v="999"/>
    <n v="0"/>
    <s v="Central"/>
    <s v="UPI"/>
    <x v="1"/>
    <n v="31996"/>
  </r>
  <r>
    <s v="ORD04489"/>
    <d v="2026-07-09T00:00:00"/>
    <s v="C1172"/>
    <s v="Keyboard"/>
    <x v="1"/>
    <n v="1"/>
    <n v="799"/>
    <n v="0"/>
    <s v="West"/>
    <s v="Net Banking"/>
    <x v="0"/>
    <n v="999"/>
  </r>
  <r>
    <s v="ORD04490"/>
    <d v="2026-07-08T00:00:00"/>
    <s v="C1082"/>
    <s v="Headphones"/>
    <x v="4"/>
    <n v="1"/>
    <n v="4999"/>
    <n v="0"/>
    <s v="South"/>
    <s v="Debit Card"/>
    <x v="0"/>
    <n v="799"/>
  </r>
  <r>
    <s v="ORD04491"/>
    <d v="2026-05-11T00:00:00"/>
    <s v="C1736"/>
    <s v="Wireless Mouse"/>
    <x v="0"/>
    <n v="3"/>
    <n v="4999"/>
    <n v="0.15"/>
    <s v="North"/>
    <s v="Credit Card"/>
    <x v="2"/>
    <n v="4999"/>
  </r>
  <r>
    <s v="ORD04492"/>
    <d v="2026-09-02T00:00:00"/>
    <s v="C1572"/>
    <s v="Power Bank"/>
    <x v="1"/>
    <n v="3"/>
    <n v="4999"/>
    <n v="0.15"/>
    <s v="East"/>
    <s v="COD"/>
    <x v="1"/>
    <n v="12747.449999999999"/>
  </r>
  <r>
    <s v="ORD04493"/>
    <d v="2026-07-21T00:00:00"/>
    <s v="C1491"/>
    <s v="Power Bank"/>
    <x v="4"/>
    <n v="5"/>
    <n v="1499"/>
    <n v="0"/>
    <s v="South"/>
    <s v="Debit Card"/>
    <x v="0"/>
    <n v="12747.449999999999"/>
  </r>
  <r>
    <s v="ORD04494"/>
    <d v="2026-02-18T00:00:00"/>
    <s v="C1429"/>
    <s v="Bluetooth Speaker"/>
    <x v="1"/>
    <n v="5"/>
    <n v="799"/>
    <n v="0.05"/>
    <s v="East"/>
    <s v="Credit Card"/>
    <x v="0"/>
    <n v="7495"/>
  </r>
  <r>
    <s v="ORD04495"/>
    <d v="2026-01-22T00:00:00"/>
    <s v="C1289"/>
    <s v="Mechanical Keyboard"/>
    <x v="2"/>
    <n v="3"/>
    <n v="599"/>
    <n v="0.05"/>
    <s v="North"/>
    <s v="Net Banking"/>
    <x v="0"/>
    <n v="3795.25"/>
  </r>
  <r>
    <s v="ORD04496"/>
    <d v="2026-04-18T00:00:00"/>
    <s v="C1693"/>
    <s v="Webcam"/>
    <x v="1"/>
    <n v="1"/>
    <n v="499"/>
    <n v="0.05"/>
    <s v="Central"/>
    <s v="Debit Card"/>
    <x v="0"/>
    <n v="1707.1499999999999"/>
  </r>
  <r>
    <s v="ORD04497"/>
    <d v="2026-03-15T00:00:00"/>
    <s v="C1735"/>
    <s v="Wireless Mouse"/>
    <x v="3"/>
    <n v="2"/>
    <n v="499"/>
    <n v="0.15"/>
    <s v="West"/>
    <s v="Net Banking"/>
    <x v="0"/>
    <n v="474.04999999999995"/>
  </r>
  <r>
    <s v="ORD04498"/>
    <d v="2026-01-31T00:00:00"/>
    <s v="C1791"/>
    <s v="Mechanical Keyboard"/>
    <x v="3"/>
    <n v="2"/>
    <n v="799"/>
    <n v="0"/>
    <s v="East"/>
    <s v="Net Banking"/>
    <x v="0"/>
    <n v="848.3"/>
  </r>
  <r>
    <s v="ORD04499"/>
    <d v="2026-07-15T00:00:00"/>
    <s v="C1445"/>
    <s v="Laptop Stand"/>
    <x v="3"/>
    <n v="2"/>
    <n v="799"/>
    <n v="0.15"/>
    <s v="South"/>
    <s v="Net Banking"/>
    <x v="1"/>
    <n v="1598"/>
  </r>
  <r>
    <s v="ORD04500"/>
    <d v="2026-02-06T00:00:00"/>
    <s v="C1236"/>
    <s v="Laptop Stand"/>
    <x v="4"/>
    <n v="2"/>
    <n v="1299"/>
    <n v="0.05"/>
    <s v="Central"/>
    <s v="COD"/>
    <x v="2"/>
    <n v="1358.3"/>
  </r>
  <r>
    <s v="ORD04501"/>
    <d v="2026-01-12T00:00:00"/>
    <s v="C1484"/>
    <s v="Wireless Mouse"/>
    <x v="1"/>
    <n v="5"/>
    <n v="999"/>
    <n v="0"/>
    <s v="North"/>
    <s v="Net Banking"/>
    <x v="2"/>
    <n v="2468.1"/>
  </r>
  <r>
    <s v="ORD04502"/>
    <d v="2026-09-23T00:00:00"/>
    <s v="C1723"/>
    <s v="Monitor"/>
    <x v="0"/>
    <n v="2"/>
    <n v="499"/>
    <n v="0"/>
    <s v="Central"/>
    <s v="Credit Card"/>
    <x v="1"/>
    <n v="4995"/>
  </r>
  <r>
    <s v="ORD04503"/>
    <d v="2026-05-25T00:00:00"/>
    <s v="C1406"/>
    <s v="Mechanical Keyboard"/>
    <x v="3"/>
    <n v="1"/>
    <n v="499"/>
    <n v="0"/>
    <s v="West"/>
    <s v="Debit Card"/>
    <x v="0"/>
    <n v="998"/>
  </r>
  <r>
    <s v="ORD04504"/>
    <d v="2026-05-26T00:00:00"/>
    <s v="C1052"/>
    <s v="Bluetooth Speaker"/>
    <x v="1"/>
    <n v="5"/>
    <n v="1999"/>
    <n v="0"/>
    <s v="South"/>
    <s v="Debit Card"/>
    <x v="1"/>
    <n v="499"/>
  </r>
  <r>
    <s v="ORD04505"/>
    <d v="2026-07-11T00:00:00"/>
    <s v="C1163"/>
    <s v="Headphones"/>
    <x v="2"/>
    <n v="3"/>
    <n v="4999"/>
    <n v="0.1"/>
    <s v="West"/>
    <s v="Net Banking"/>
    <x v="1"/>
    <n v="9995"/>
  </r>
  <r>
    <s v="ORD04506"/>
    <d v="2026-04-09T00:00:00"/>
    <s v="C1284"/>
    <s v="Monitor"/>
    <x v="0"/>
    <n v="5"/>
    <n v="999"/>
    <n v="0.1"/>
    <s v="Central"/>
    <s v="Net Banking"/>
    <x v="2"/>
    <n v="13497.300000000001"/>
  </r>
  <r>
    <s v="ORD04507"/>
    <d v="2026-09-17T00:00:00"/>
    <s v="C1505"/>
    <s v="Laptop Stand"/>
    <x v="2"/>
    <n v="5"/>
    <n v="1999"/>
    <n v="0.05"/>
    <s v="West"/>
    <s v="Credit Card"/>
    <x v="0"/>
    <n v="4495.5"/>
  </r>
  <r>
    <s v="ORD04508"/>
    <d v="2026-09-03T00:00:00"/>
    <s v="C1731"/>
    <s v="Webcam"/>
    <x v="4"/>
    <n v="3"/>
    <n v="1499"/>
    <n v="0.1"/>
    <s v="East"/>
    <s v="COD"/>
    <x v="0"/>
    <n v="9495.25"/>
  </r>
  <r>
    <s v="ORD04509"/>
    <d v="2026-06-11T00:00:00"/>
    <s v="C1145"/>
    <s v="Laptop Stand"/>
    <x v="3"/>
    <n v="2"/>
    <n v="799"/>
    <n v="0.1"/>
    <s v="East"/>
    <s v="Debit Card"/>
    <x v="0"/>
    <n v="4047.3"/>
  </r>
  <r>
    <s v="ORD04510"/>
    <d v="2026-04-25T00:00:00"/>
    <s v="C1439"/>
    <s v="Wireless Mouse"/>
    <x v="1"/>
    <n v="4"/>
    <n v="1299"/>
    <n v="0"/>
    <s v="East"/>
    <s v="Credit Card"/>
    <x v="0"/>
    <n v="1438.2"/>
  </r>
  <r>
    <s v="ORD04511"/>
    <d v="2026-03-19T00:00:00"/>
    <s v="C1149"/>
    <s v="USB-C Hub"/>
    <x v="1"/>
    <n v="3"/>
    <n v="7999"/>
    <n v="0.05"/>
    <s v="East"/>
    <s v="Credit Card"/>
    <x v="1"/>
    <n v="5196"/>
  </r>
  <r>
    <s v="ORD04512"/>
    <d v="2026-02-13T00:00:00"/>
    <s v="C1057"/>
    <s v="Bluetooth Speaker"/>
    <x v="0"/>
    <n v="5"/>
    <n v="4999"/>
    <n v="0.15"/>
    <s v="West"/>
    <s v="Credit Card"/>
    <x v="1"/>
    <n v="22797.149999999998"/>
  </r>
  <r>
    <s v="ORD04513"/>
    <d v="2026-08-03T00:00:00"/>
    <s v="C1134"/>
    <s v="Mechanical Keyboard"/>
    <x v="1"/>
    <n v="5"/>
    <n v="1999"/>
    <n v="0"/>
    <s v="West"/>
    <s v="Debit Card"/>
    <x v="0"/>
    <n v="21245.75"/>
  </r>
  <r>
    <s v="ORD04514"/>
    <d v="2026-01-31T00:00:00"/>
    <s v="C1502"/>
    <s v="Webcam"/>
    <x v="4"/>
    <n v="3"/>
    <n v="2499"/>
    <n v="0.05"/>
    <s v="West"/>
    <s v="COD"/>
    <x v="2"/>
    <n v="9995"/>
  </r>
  <r>
    <s v="ORD04515"/>
    <d v="2026-04-01T00:00:00"/>
    <s v="C1315"/>
    <s v="Headphones"/>
    <x v="4"/>
    <n v="1"/>
    <n v="7999"/>
    <n v="0.15"/>
    <s v="West"/>
    <s v="UPI"/>
    <x v="2"/>
    <n v="7122.15"/>
  </r>
  <r>
    <s v="ORD04516"/>
    <d v="2026-04-23T00:00:00"/>
    <s v="C1622"/>
    <s v="USB-C Hub"/>
    <x v="4"/>
    <n v="1"/>
    <n v="4999"/>
    <n v="0.05"/>
    <s v="Central"/>
    <s v="UPI"/>
    <x v="0"/>
    <n v="6799.15"/>
  </r>
  <r>
    <s v="ORD04517"/>
    <d v="2026-07-15T00:00:00"/>
    <s v="C1321"/>
    <s v="Headphones"/>
    <x v="1"/>
    <n v="3"/>
    <n v="599"/>
    <n v="0.05"/>
    <s v="East"/>
    <s v="UPI"/>
    <x v="0"/>
    <n v="4749.05"/>
  </r>
  <r>
    <s v="ORD04518"/>
    <d v="2026-09-25T00:00:00"/>
    <s v="C1786"/>
    <s v="Laptop Stand"/>
    <x v="3"/>
    <n v="4"/>
    <n v="1999"/>
    <n v="0.15"/>
    <s v="Central"/>
    <s v="UPI"/>
    <x v="0"/>
    <n v="1707.1499999999999"/>
  </r>
  <r>
    <s v="ORD04519"/>
    <d v="2026-02-02T00:00:00"/>
    <s v="C1162"/>
    <s v="Webcam"/>
    <x v="3"/>
    <n v="1"/>
    <n v="999"/>
    <n v="0"/>
    <s v="North"/>
    <s v="Debit Card"/>
    <x v="2"/>
    <n v="6796.5999999999995"/>
  </r>
  <r>
    <s v="ORD04520"/>
    <d v="2026-02-03T00:00:00"/>
    <s v="C1538"/>
    <s v="Wireless Mouse"/>
    <x v="0"/>
    <n v="5"/>
    <n v="1499"/>
    <n v="0.15"/>
    <s v="West"/>
    <s v="Net Banking"/>
    <x v="2"/>
    <n v="999"/>
  </r>
  <r>
    <s v="ORD04521"/>
    <d v="2026-05-01T00:00:00"/>
    <s v="C1580"/>
    <s v="Keyboard"/>
    <x v="4"/>
    <n v="5"/>
    <n v="999"/>
    <n v="0.15"/>
    <s v="North"/>
    <s v="COD"/>
    <x v="1"/>
    <n v="6370.75"/>
  </r>
  <r>
    <s v="ORD04522"/>
    <d v="2026-05-12T00:00:00"/>
    <s v="C1737"/>
    <s v="Mechanical Keyboard"/>
    <x v="4"/>
    <n v="2"/>
    <n v="499"/>
    <n v="0"/>
    <s v="East"/>
    <s v="Net Banking"/>
    <x v="0"/>
    <n v="4245.75"/>
  </r>
  <r>
    <s v="ORD04523"/>
    <d v="2026-01-06T00:00:00"/>
    <s v="C1361"/>
    <s v="USB-C Hub"/>
    <x v="4"/>
    <n v="3"/>
    <n v="799"/>
    <n v="0.15"/>
    <s v="South"/>
    <s v="Debit Card"/>
    <x v="0"/>
    <n v="998"/>
  </r>
  <r>
    <s v="ORD04524"/>
    <d v="2026-06-17T00:00:00"/>
    <s v="C1587"/>
    <s v="Laptop Stand"/>
    <x v="3"/>
    <n v="5"/>
    <n v="999"/>
    <n v="0.15"/>
    <s v="Central"/>
    <s v="COD"/>
    <x v="0"/>
    <n v="2037.45"/>
  </r>
  <r>
    <s v="ORD04525"/>
    <d v="2026-08-11T00:00:00"/>
    <s v="C1674"/>
    <s v="Headphones"/>
    <x v="4"/>
    <n v="4"/>
    <n v="499"/>
    <n v="0.05"/>
    <s v="East"/>
    <s v="Net Banking"/>
    <x v="0"/>
    <n v="4245.75"/>
  </r>
  <r>
    <s v="ORD04526"/>
    <d v="2026-05-31T00:00:00"/>
    <s v="C1361"/>
    <s v="Power Bank"/>
    <x v="1"/>
    <n v="1"/>
    <n v="7999"/>
    <n v="0.05"/>
    <s v="South"/>
    <s v="Net Banking"/>
    <x v="2"/>
    <n v="1896.1999999999998"/>
  </r>
  <r>
    <s v="ORD04527"/>
    <d v="2026-09-12T00:00:00"/>
    <s v="C1217"/>
    <s v="Headphones"/>
    <x v="1"/>
    <n v="4"/>
    <n v="4999"/>
    <n v="0"/>
    <s v="North"/>
    <s v="COD"/>
    <x v="2"/>
    <n v="7599.0499999999993"/>
  </r>
  <r>
    <s v="ORD04528"/>
    <d v="2026-04-07T00:00:00"/>
    <s v="C1413"/>
    <s v="USB-C Hub"/>
    <x v="3"/>
    <n v="5"/>
    <n v="4999"/>
    <n v="0.15"/>
    <s v="West"/>
    <s v="Debit Card"/>
    <x v="0"/>
    <n v="19996"/>
  </r>
  <r>
    <s v="ORD04529"/>
    <d v="2026-09-13T00:00:00"/>
    <s v="C1467"/>
    <s v="Mechanical Keyboard"/>
    <x v="0"/>
    <n v="4"/>
    <n v="2499"/>
    <n v="0.05"/>
    <s v="South"/>
    <s v="Net Banking"/>
    <x v="1"/>
    <n v="21245.75"/>
  </r>
  <r>
    <s v="ORD04530"/>
    <d v="2026-04-18T00:00:00"/>
    <s v="C1194"/>
    <s v="Laptop Stand"/>
    <x v="2"/>
    <n v="4"/>
    <n v="1299"/>
    <n v="0"/>
    <s v="South"/>
    <s v="Net Banking"/>
    <x v="0"/>
    <n v="9496.1999999999989"/>
  </r>
  <r>
    <s v="ORD04531"/>
    <d v="2026-05-31T00:00:00"/>
    <s v="C1224"/>
    <s v="Laptop Stand"/>
    <x v="4"/>
    <n v="5"/>
    <n v="799"/>
    <n v="0.05"/>
    <s v="West"/>
    <s v="COD"/>
    <x v="2"/>
    <n v="5196"/>
  </r>
  <r>
    <s v="ORD04532"/>
    <d v="2026-02-27T00:00:00"/>
    <s v="C1582"/>
    <s v="Bluetooth Speaker"/>
    <x v="3"/>
    <n v="2"/>
    <n v="799"/>
    <n v="0.1"/>
    <s v="Central"/>
    <s v="UPI"/>
    <x v="0"/>
    <n v="3795.25"/>
  </r>
  <r>
    <s v="ORD04533"/>
    <d v="2026-07-15T00:00:00"/>
    <s v="C1282"/>
    <s v="Laptop Stand"/>
    <x v="3"/>
    <n v="4"/>
    <n v="1999"/>
    <n v="0"/>
    <s v="South"/>
    <s v="Debit Card"/>
    <x v="0"/>
    <n v="1438.2"/>
  </r>
  <r>
    <s v="ORD04534"/>
    <d v="2026-05-29T00:00:00"/>
    <s v="C1794"/>
    <s v="Keyboard"/>
    <x v="2"/>
    <n v="4"/>
    <n v="799"/>
    <n v="0"/>
    <s v="Central"/>
    <s v="UPI"/>
    <x v="0"/>
    <n v="7996"/>
  </r>
  <r>
    <s v="ORD04535"/>
    <d v="2026-05-26T00:00:00"/>
    <s v="C1442"/>
    <s v="Webcam"/>
    <x v="2"/>
    <n v="5"/>
    <n v="799"/>
    <n v="0"/>
    <s v="South"/>
    <s v="UPI"/>
    <x v="2"/>
    <n v="3196"/>
  </r>
  <r>
    <s v="ORD04536"/>
    <d v="2026-08-24T00:00:00"/>
    <s v="C1414"/>
    <s v="Mechanical Keyboard"/>
    <x v="0"/>
    <n v="1"/>
    <n v="499"/>
    <n v="0"/>
    <s v="East"/>
    <s v="Net Banking"/>
    <x v="0"/>
    <n v="3995"/>
  </r>
  <r>
    <s v="ORD04537"/>
    <d v="2026-07-04T00:00:00"/>
    <s v="C1595"/>
    <s v="Headphones"/>
    <x v="3"/>
    <n v="3"/>
    <n v="499"/>
    <n v="0.1"/>
    <s v="Central"/>
    <s v="UPI"/>
    <x v="0"/>
    <n v="499"/>
  </r>
  <r>
    <s v="ORD04538"/>
    <d v="2026-04-05T00:00:00"/>
    <s v="C1519"/>
    <s v="Wireless Mouse"/>
    <x v="4"/>
    <n v="5"/>
    <n v="999"/>
    <n v="0"/>
    <s v="East"/>
    <s v="COD"/>
    <x v="0"/>
    <n v="1347.3"/>
  </r>
  <r>
    <s v="ORD04539"/>
    <d v="2026-03-26T00:00:00"/>
    <s v="C1301"/>
    <s v="Wireless Mouse"/>
    <x v="1"/>
    <n v="3"/>
    <n v="799"/>
    <n v="0"/>
    <s v="North"/>
    <s v="Net Banking"/>
    <x v="0"/>
    <n v="4995"/>
  </r>
  <r>
    <s v="ORD04540"/>
    <d v="2026-08-27T00:00:00"/>
    <s v="C1513"/>
    <s v="Bluetooth Speaker"/>
    <x v="0"/>
    <n v="3"/>
    <n v="499"/>
    <n v="0.05"/>
    <s v="East"/>
    <s v="Credit Card"/>
    <x v="0"/>
    <n v="2397"/>
  </r>
  <r>
    <s v="ORD04541"/>
    <d v="2026-08-04T00:00:00"/>
    <s v="C1727"/>
    <s v="Headphones"/>
    <x v="4"/>
    <n v="2"/>
    <n v="1299"/>
    <n v="0.1"/>
    <s v="South"/>
    <s v="Debit Card"/>
    <x v="0"/>
    <n v="1422.1499999999999"/>
  </r>
  <r>
    <s v="ORD04542"/>
    <d v="2026-01-17T00:00:00"/>
    <s v="C1098"/>
    <s v="Monitor"/>
    <x v="3"/>
    <n v="5"/>
    <n v="1999"/>
    <n v="0.1"/>
    <s v="West"/>
    <s v="COD"/>
    <x v="2"/>
    <n v="2338.2000000000003"/>
  </r>
  <r>
    <s v="ORD04543"/>
    <d v="2026-04-23T00:00:00"/>
    <s v="C1209"/>
    <s v="Wireless Mouse"/>
    <x v="1"/>
    <n v="2"/>
    <n v="1999"/>
    <n v="0.1"/>
    <s v="Central"/>
    <s v="Credit Card"/>
    <x v="2"/>
    <n v="8995.5"/>
  </r>
  <r>
    <s v="ORD04544"/>
    <d v="2026-05-27T00:00:00"/>
    <s v="C1240"/>
    <s v="USB-C Hub"/>
    <x v="0"/>
    <n v="3"/>
    <n v="799"/>
    <n v="0"/>
    <s v="North"/>
    <s v="Credit Card"/>
    <x v="1"/>
    <n v="3598.2000000000003"/>
  </r>
  <r>
    <s v="ORD04545"/>
    <d v="2026-06-24T00:00:00"/>
    <s v="C1675"/>
    <s v="Webcam"/>
    <x v="1"/>
    <n v="5"/>
    <n v="7999"/>
    <n v="0"/>
    <s v="North"/>
    <s v="Net Banking"/>
    <x v="2"/>
    <n v="2397"/>
  </r>
  <r>
    <s v="ORD04546"/>
    <d v="2026-06-29T00:00:00"/>
    <s v="C1475"/>
    <s v="Webcam"/>
    <x v="1"/>
    <n v="2"/>
    <n v="499"/>
    <n v="0.15"/>
    <s v="West"/>
    <s v="UPI"/>
    <x v="0"/>
    <n v="39995"/>
  </r>
  <r>
    <s v="ORD04547"/>
    <d v="2026-05-03T00:00:00"/>
    <s v="C1277"/>
    <s v="USB-C Hub"/>
    <x v="3"/>
    <n v="2"/>
    <n v="1499"/>
    <n v="0.1"/>
    <s v="East"/>
    <s v="UPI"/>
    <x v="2"/>
    <n v="848.3"/>
  </r>
  <r>
    <s v="ORD04548"/>
    <d v="2026-07-10T00:00:00"/>
    <s v="C1350"/>
    <s v="USB-C Hub"/>
    <x v="0"/>
    <n v="1"/>
    <n v="499"/>
    <n v="0"/>
    <s v="Central"/>
    <s v="COD"/>
    <x v="0"/>
    <n v="2698.2000000000003"/>
  </r>
  <r>
    <s v="ORD04549"/>
    <d v="2026-06-03T00:00:00"/>
    <s v="C1027"/>
    <s v="Laptop Stand"/>
    <x v="1"/>
    <n v="4"/>
    <n v="7999"/>
    <n v="0.05"/>
    <s v="Central"/>
    <s v="COD"/>
    <x v="0"/>
    <n v="499"/>
  </r>
  <r>
    <s v="ORD04550"/>
    <d v="2026-09-06T00:00:00"/>
    <s v="C1220"/>
    <s v="Power Bank"/>
    <x v="1"/>
    <n v="2"/>
    <n v="1299"/>
    <n v="0"/>
    <s v="Central"/>
    <s v="UPI"/>
    <x v="2"/>
    <n v="30396.199999999997"/>
  </r>
  <r>
    <s v="ORD04551"/>
    <d v="2026-06-17T00:00:00"/>
    <s v="C1461"/>
    <s v="Mechanical Keyboard"/>
    <x v="0"/>
    <n v="2"/>
    <n v="2499"/>
    <n v="0.15"/>
    <s v="East"/>
    <s v="Credit Card"/>
    <x v="0"/>
    <n v="2598"/>
  </r>
  <r>
    <s v="ORD04552"/>
    <d v="2026-05-12T00:00:00"/>
    <s v="C1569"/>
    <s v="Headphones"/>
    <x v="0"/>
    <n v="2"/>
    <n v="999"/>
    <n v="0.15"/>
    <s v="Central"/>
    <s v="Debit Card"/>
    <x v="1"/>
    <n v="4248.3"/>
  </r>
  <r>
    <s v="ORD04553"/>
    <d v="2026-02-04T00:00:00"/>
    <s v="C1601"/>
    <s v="Keyboard"/>
    <x v="4"/>
    <n v="1"/>
    <n v="2499"/>
    <n v="0.05"/>
    <s v="Central"/>
    <s v="COD"/>
    <x v="0"/>
    <n v="1698.3"/>
  </r>
  <r>
    <s v="ORD04554"/>
    <d v="2026-07-17T00:00:00"/>
    <s v="C1613"/>
    <s v="Webcam"/>
    <x v="2"/>
    <n v="3"/>
    <n v="599"/>
    <n v="0.15"/>
    <s v="West"/>
    <s v="UPI"/>
    <x v="0"/>
    <n v="2374.0499999999997"/>
  </r>
  <r>
    <s v="ORD04555"/>
    <d v="2026-05-05T00:00:00"/>
    <s v="C1342"/>
    <s v="Wireless Mouse"/>
    <x v="2"/>
    <n v="1"/>
    <n v="1999"/>
    <n v="0.15"/>
    <s v="North"/>
    <s v="Credit Card"/>
    <x v="1"/>
    <n v="1527.45"/>
  </r>
  <r>
    <s v="ORD04556"/>
    <d v="2026-05-07T00:00:00"/>
    <s v="C1371"/>
    <s v="Bluetooth Speaker"/>
    <x v="2"/>
    <n v="1"/>
    <n v="499"/>
    <n v="0.05"/>
    <s v="South"/>
    <s v="UPI"/>
    <x v="1"/>
    <n v="1699.1499999999999"/>
  </r>
  <r>
    <s v="ORD04557"/>
    <d v="2026-01-03T00:00:00"/>
    <s v="C1770"/>
    <s v="Webcam"/>
    <x v="2"/>
    <n v="1"/>
    <n v="1299"/>
    <n v="0"/>
    <s v="Central"/>
    <s v="COD"/>
    <x v="0"/>
    <n v="474.04999999999995"/>
  </r>
  <r>
    <s v="ORD04558"/>
    <d v="2026-02-20T00:00:00"/>
    <s v="C1244"/>
    <s v="Wireless Mouse"/>
    <x v="0"/>
    <n v="4"/>
    <n v="499"/>
    <n v="0"/>
    <s v="West"/>
    <s v="Net Banking"/>
    <x v="0"/>
    <n v="1299"/>
  </r>
  <r>
    <s v="ORD04559"/>
    <d v="2026-06-05T00:00:00"/>
    <s v="C1164"/>
    <s v="Keyboard"/>
    <x v="1"/>
    <n v="1"/>
    <n v="4999"/>
    <n v="0"/>
    <s v="Central"/>
    <s v="Debit Card"/>
    <x v="0"/>
    <n v="1996"/>
  </r>
  <r>
    <s v="ORD04560"/>
    <d v="2026-05-31T00:00:00"/>
    <s v="C1082"/>
    <s v="Laptop Stand"/>
    <x v="1"/>
    <n v="3"/>
    <n v="799"/>
    <n v="0"/>
    <s v="East"/>
    <s v="Credit Card"/>
    <x v="1"/>
    <n v="4999"/>
  </r>
  <r>
    <s v="ORD04561"/>
    <d v="2026-09-26T00:00:00"/>
    <s v="C1613"/>
    <s v="Headphones"/>
    <x v="1"/>
    <n v="5"/>
    <n v="1499"/>
    <n v="0.05"/>
    <s v="West"/>
    <s v="Credit Card"/>
    <x v="2"/>
    <n v="2397"/>
  </r>
  <r>
    <s v="ORD04562"/>
    <d v="2026-07-01T00:00:00"/>
    <s v="C1599"/>
    <s v="Monitor"/>
    <x v="4"/>
    <n v="3"/>
    <n v="999"/>
    <n v="0"/>
    <s v="East"/>
    <s v="Debit Card"/>
    <x v="0"/>
    <n v="7120.25"/>
  </r>
  <r>
    <s v="ORD04563"/>
    <d v="2026-08-11T00:00:00"/>
    <s v="C1638"/>
    <s v="Mechanical Keyboard"/>
    <x v="3"/>
    <n v="1"/>
    <n v="2499"/>
    <n v="0"/>
    <s v="East"/>
    <s v="Net Banking"/>
    <x v="0"/>
    <n v="2997"/>
  </r>
  <r>
    <s v="ORD04564"/>
    <d v="2026-06-30T00:00:00"/>
    <s v="C1577"/>
    <s v="Bluetooth Speaker"/>
    <x v="0"/>
    <n v="2"/>
    <n v="2499"/>
    <n v="0"/>
    <s v="North"/>
    <s v="UPI"/>
    <x v="0"/>
    <n v="2499"/>
  </r>
  <r>
    <s v="ORD04565"/>
    <d v="2026-01-08T00:00:00"/>
    <s v="C1563"/>
    <s v="USB-C Hub"/>
    <x v="4"/>
    <n v="3"/>
    <n v="1999"/>
    <n v="0"/>
    <s v="North"/>
    <s v="Debit Card"/>
    <x v="0"/>
    <n v="4998"/>
  </r>
  <r>
    <s v="ORD04566"/>
    <d v="2026-04-25T00:00:00"/>
    <s v="C1421"/>
    <s v="Keyboard"/>
    <x v="2"/>
    <n v="3"/>
    <n v="1999"/>
    <n v="0.1"/>
    <s v="East"/>
    <s v="UPI"/>
    <x v="1"/>
    <n v="5997"/>
  </r>
  <r>
    <s v="ORD04567"/>
    <d v="2026-03-06T00:00:00"/>
    <s v="C1322"/>
    <s v="Wireless Mouse"/>
    <x v="0"/>
    <n v="3"/>
    <n v="1999"/>
    <n v="0.15"/>
    <s v="Central"/>
    <s v="Debit Card"/>
    <x v="0"/>
    <n v="5397.3"/>
  </r>
  <r>
    <s v="ORD04568"/>
    <d v="2026-06-08T00:00:00"/>
    <s v="C1669"/>
    <s v="Laptop Stand"/>
    <x v="4"/>
    <n v="3"/>
    <n v="499"/>
    <n v="0"/>
    <s v="East"/>
    <s v="Debit Card"/>
    <x v="0"/>
    <n v="5097.45"/>
  </r>
  <r>
    <s v="ORD04569"/>
    <d v="2026-01-07T00:00:00"/>
    <s v="C1761"/>
    <s v="Bluetooth Speaker"/>
    <x v="3"/>
    <n v="4"/>
    <n v="499"/>
    <n v="0"/>
    <s v="West"/>
    <s v="Net Banking"/>
    <x v="0"/>
    <n v="1497"/>
  </r>
  <r>
    <s v="ORD04570"/>
    <d v="2026-06-05T00:00:00"/>
    <s v="C1593"/>
    <s v="Mechanical Keyboard"/>
    <x v="4"/>
    <n v="2"/>
    <n v="1499"/>
    <n v="0.05"/>
    <s v="East"/>
    <s v="UPI"/>
    <x v="2"/>
    <n v="1996"/>
  </r>
  <r>
    <s v="ORD04571"/>
    <d v="2026-09-23T00:00:00"/>
    <s v="C1010"/>
    <s v="Monitor"/>
    <x v="2"/>
    <n v="1"/>
    <n v="999"/>
    <n v="0"/>
    <s v="West"/>
    <s v="COD"/>
    <x v="2"/>
    <n v="2848.1"/>
  </r>
  <r>
    <s v="ORD04572"/>
    <d v="2026-05-30T00:00:00"/>
    <s v="C1301"/>
    <s v="Bluetooth Speaker"/>
    <x v="0"/>
    <n v="4"/>
    <n v="599"/>
    <n v="0"/>
    <s v="North"/>
    <s v="Credit Card"/>
    <x v="1"/>
    <n v="999"/>
  </r>
  <r>
    <s v="ORD04573"/>
    <d v="2026-03-12T00:00:00"/>
    <s v="C1261"/>
    <s v="Bluetooth Speaker"/>
    <x v="0"/>
    <n v="1"/>
    <n v="1499"/>
    <n v="0.15"/>
    <s v="East"/>
    <s v="Credit Card"/>
    <x v="2"/>
    <n v="2396"/>
  </r>
  <r>
    <s v="ORD04574"/>
    <d v="2026-09-19T00:00:00"/>
    <s v="C1071"/>
    <s v="Bluetooth Speaker"/>
    <x v="1"/>
    <n v="2"/>
    <n v="1499"/>
    <n v="0"/>
    <s v="North"/>
    <s v="Debit Card"/>
    <x v="1"/>
    <n v="1274.1499999999999"/>
  </r>
  <r>
    <s v="ORD04575"/>
    <d v="2026-06-18T00:00:00"/>
    <s v="C1762"/>
    <s v="USB-C Hub"/>
    <x v="4"/>
    <n v="2"/>
    <n v="2499"/>
    <n v="0.15"/>
    <s v="Central"/>
    <s v="COD"/>
    <x v="2"/>
    <n v="2998"/>
  </r>
  <r>
    <s v="ORD04576"/>
    <d v="2026-05-17T00:00:00"/>
    <s v="C1464"/>
    <s v="Wireless Mouse"/>
    <x v="3"/>
    <n v="3"/>
    <n v="499"/>
    <n v="0.15"/>
    <s v="West"/>
    <s v="COD"/>
    <x v="0"/>
    <n v="4248.3"/>
  </r>
  <r>
    <s v="ORD04577"/>
    <d v="2026-09-30T00:00:00"/>
    <s v="C1437"/>
    <s v="Keyboard"/>
    <x v="2"/>
    <n v="1"/>
    <n v="599"/>
    <n v="0.15"/>
    <s v="West"/>
    <s v="Credit Card"/>
    <x v="2"/>
    <n v="1272.45"/>
  </r>
  <r>
    <s v="ORD04578"/>
    <d v="2026-04-06T00:00:00"/>
    <s v="C1314"/>
    <s v="Monitor"/>
    <x v="3"/>
    <n v="3"/>
    <n v="1999"/>
    <n v="0.05"/>
    <s v="Central"/>
    <s v="COD"/>
    <x v="2"/>
    <n v="509.15"/>
  </r>
  <r>
    <s v="ORD04579"/>
    <d v="2026-04-27T00:00:00"/>
    <s v="C1203"/>
    <s v="USB-C Hub"/>
    <x v="4"/>
    <n v="2"/>
    <n v="799"/>
    <n v="0.05"/>
    <s v="West"/>
    <s v="Net Banking"/>
    <x v="0"/>
    <n v="5697.15"/>
  </r>
  <r>
    <s v="ORD04580"/>
    <d v="2026-01-22T00:00:00"/>
    <s v="C1580"/>
    <s v="Webcam"/>
    <x v="1"/>
    <n v="1"/>
    <n v="1299"/>
    <n v="0.05"/>
    <s v="South"/>
    <s v="Net Banking"/>
    <x v="2"/>
    <n v="1518.1"/>
  </r>
  <r>
    <s v="ORD04581"/>
    <d v="2026-06-25T00:00:00"/>
    <s v="C1149"/>
    <s v="Monitor"/>
    <x v="0"/>
    <n v="1"/>
    <n v="499"/>
    <n v="0.15"/>
    <s v="Central"/>
    <s v="Debit Card"/>
    <x v="2"/>
    <n v="1234.05"/>
  </r>
  <r>
    <s v="ORD04582"/>
    <d v="2026-04-17T00:00:00"/>
    <s v="C1188"/>
    <s v="Keyboard"/>
    <x v="4"/>
    <n v="5"/>
    <n v="4999"/>
    <n v="0.15"/>
    <s v="South"/>
    <s v="Net Banking"/>
    <x v="0"/>
    <n v="424.15"/>
  </r>
  <r>
    <s v="ORD04583"/>
    <d v="2026-05-17T00:00:00"/>
    <s v="C1258"/>
    <s v="Bluetooth Speaker"/>
    <x v="0"/>
    <n v="2"/>
    <n v="999"/>
    <n v="0.15"/>
    <s v="South"/>
    <s v="COD"/>
    <x v="0"/>
    <n v="21245.75"/>
  </r>
  <r>
    <s v="ORD04584"/>
    <d v="2026-01-14T00:00:00"/>
    <s v="C1754"/>
    <s v="Monitor"/>
    <x v="2"/>
    <n v="5"/>
    <n v="1499"/>
    <n v="0.05"/>
    <s v="East"/>
    <s v="Debit Card"/>
    <x v="0"/>
    <n v="1698.3"/>
  </r>
  <r>
    <s v="ORD04585"/>
    <d v="2026-08-13T00:00:00"/>
    <s v="C1323"/>
    <s v="Headphones"/>
    <x v="3"/>
    <n v="2"/>
    <n v="1299"/>
    <n v="0"/>
    <s v="North"/>
    <s v="COD"/>
    <x v="0"/>
    <n v="7120.25"/>
  </r>
  <r>
    <s v="ORD04586"/>
    <d v="2026-05-10T00:00:00"/>
    <s v="C1704"/>
    <s v="Bluetooth Speaker"/>
    <x v="2"/>
    <n v="1"/>
    <n v="1499"/>
    <n v="0"/>
    <s v="Central"/>
    <s v="UPI"/>
    <x v="2"/>
    <n v="2598"/>
  </r>
  <r>
    <s v="ORD04587"/>
    <d v="2026-06-28T00:00:00"/>
    <s v="C1393"/>
    <s v="Monitor"/>
    <x v="2"/>
    <n v="3"/>
    <n v="999"/>
    <n v="0"/>
    <s v="North"/>
    <s v="UPI"/>
    <x v="2"/>
    <n v="1499"/>
  </r>
  <r>
    <s v="ORD04588"/>
    <d v="2026-09-09T00:00:00"/>
    <s v="C1079"/>
    <s v="Bluetooth Speaker"/>
    <x v="4"/>
    <n v="3"/>
    <n v="599"/>
    <n v="0.05"/>
    <s v="Central"/>
    <s v="UPI"/>
    <x v="1"/>
    <n v="2997"/>
  </r>
  <r>
    <s v="ORD04589"/>
    <d v="2026-08-13T00:00:00"/>
    <s v="C1696"/>
    <s v="Mechanical Keyboard"/>
    <x v="3"/>
    <n v="5"/>
    <n v="599"/>
    <n v="0"/>
    <s v="East"/>
    <s v="Net Banking"/>
    <x v="2"/>
    <n v="1707.1499999999999"/>
  </r>
  <r>
    <s v="ORD04590"/>
    <d v="2026-04-01T00:00:00"/>
    <s v="C1462"/>
    <s v="Monitor"/>
    <x v="2"/>
    <n v="5"/>
    <n v="4999"/>
    <n v="0"/>
    <s v="Central"/>
    <s v="COD"/>
    <x v="0"/>
    <n v="2995"/>
  </r>
  <r>
    <s v="ORD04591"/>
    <d v="2026-04-24T00:00:00"/>
    <s v="C1267"/>
    <s v="Webcam"/>
    <x v="3"/>
    <n v="3"/>
    <n v="599"/>
    <n v="0.1"/>
    <s v="West"/>
    <s v="Credit Card"/>
    <x v="0"/>
    <n v="24995"/>
  </r>
  <r>
    <s v="ORD04592"/>
    <d v="2026-07-16T00:00:00"/>
    <s v="C1407"/>
    <s v="Webcam"/>
    <x v="1"/>
    <n v="2"/>
    <n v="1999"/>
    <n v="0.1"/>
    <s v="East"/>
    <s v="Net Banking"/>
    <x v="1"/>
    <n v="1617.3"/>
  </r>
  <r>
    <s v="ORD04593"/>
    <d v="2026-04-25T00:00:00"/>
    <s v="C1224"/>
    <s v="Bluetooth Speaker"/>
    <x v="1"/>
    <n v="2"/>
    <n v="2499"/>
    <n v="0.1"/>
    <s v="East"/>
    <s v="COD"/>
    <x v="0"/>
    <n v="3598.2000000000003"/>
  </r>
  <r>
    <s v="ORD04594"/>
    <d v="2026-07-06T00:00:00"/>
    <s v="C1319"/>
    <s v="Bluetooth Speaker"/>
    <x v="2"/>
    <n v="1"/>
    <n v="799"/>
    <n v="0"/>
    <s v="Central"/>
    <s v="Debit Card"/>
    <x v="2"/>
    <n v="4498.2"/>
  </r>
  <r>
    <s v="ORD04595"/>
    <d v="2026-09-25T00:00:00"/>
    <s v="C1785"/>
    <s v="Webcam"/>
    <x v="0"/>
    <n v="1"/>
    <n v="999"/>
    <n v="0"/>
    <s v="North"/>
    <s v="COD"/>
    <x v="0"/>
    <n v="799"/>
  </r>
  <r>
    <s v="ORD04596"/>
    <d v="2026-08-20T00:00:00"/>
    <s v="C1660"/>
    <s v="Laptop Stand"/>
    <x v="3"/>
    <n v="4"/>
    <n v="1999"/>
    <n v="0.05"/>
    <s v="South"/>
    <s v="UPI"/>
    <x v="1"/>
    <n v="999"/>
  </r>
  <r>
    <s v="ORD04597"/>
    <d v="2026-05-02T00:00:00"/>
    <s v="C1791"/>
    <s v="Power Bank"/>
    <x v="1"/>
    <n v="5"/>
    <n v="2499"/>
    <n v="0"/>
    <s v="East"/>
    <s v="Credit Card"/>
    <x v="0"/>
    <n v="7596.2"/>
  </r>
  <r>
    <s v="ORD04598"/>
    <d v="2026-07-08T00:00:00"/>
    <s v="C1150"/>
    <s v="Laptop Stand"/>
    <x v="1"/>
    <n v="3"/>
    <n v="499"/>
    <n v="0"/>
    <s v="South"/>
    <s v="COD"/>
    <x v="1"/>
    <n v="12495"/>
  </r>
  <r>
    <s v="ORD04599"/>
    <d v="2026-04-13T00:00:00"/>
    <s v="C1150"/>
    <s v="Keyboard"/>
    <x v="1"/>
    <n v="5"/>
    <n v="599"/>
    <n v="0.1"/>
    <s v="North"/>
    <s v="Credit Card"/>
    <x v="2"/>
    <n v="1497"/>
  </r>
  <r>
    <s v="ORD04600"/>
    <d v="2026-01-31T00:00:00"/>
    <s v="C1527"/>
    <s v="Laptop Stand"/>
    <x v="1"/>
    <n v="5"/>
    <n v="799"/>
    <n v="0.05"/>
    <s v="East"/>
    <s v="Net Banking"/>
    <x v="0"/>
    <n v="2695.5"/>
  </r>
  <r>
    <s v="ORD04601"/>
    <d v="2026-02-09T00:00:00"/>
    <s v="C1350"/>
    <s v="Keyboard"/>
    <x v="4"/>
    <n v="5"/>
    <n v="999"/>
    <n v="0"/>
    <s v="East"/>
    <s v="UPI"/>
    <x v="0"/>
    <n v="3795.25"/>
  </r>
  <r>
    <s v="ORD04602"/>
    <d v="2026-07-01T00:00:00"/>
    <s v="C1056"/>
    <s v="Laptop Stand"/>
    <x v="3"/>
    <n v="4"/>
    <n v="999"/>
    <n v="0.15"/>
    <s v="Central"/>
    <s v="Net Banking"/>
    <x v="1"/>
    <n v="4995"/>
  </r>
  <r>
    <s v="ORD04603"/>
    <d v="2026-06-08T00:00:00"/>
    <s v="C1781"/>
    <s v="Headphones"/>
    <x v="0"/>
    <n v="4"/>
    <n v="799"/>
    <n v="0.15"/>
    <s v="Central"/>
    <s v="UPI"/>
    <x v="0"/>
    <n v="3396.6"/>
  </r>
  <r>
    <s v="ORD04604"/>
    <d v="2026-02-17T00:00:00"/>
    <s v="C1006"/>
    <s v="Wireless Mouse"/>
    <x v="3"/>
    <n v="4"/>
    <n v="499"/>
    <n v="0"/>
    <s v="East"/>
    <s v="Net Banking"/>
    <x v="0"/>
    <n v="2716.6"/>
  </r>
  <r>
    <s v="ORD04605"/>
    <d v="2026-06-17T00:00:00"/>
    <s v="C1200"/>
    <s v="Mechanical Keyboard"/>
    <x v="1"/>
    <n v="3"/>
    <n v="799"/>
    <n v="0.15"/>
    <s v="South"/>
    <s v="COD"/>
    <x v="0"/>
    <n v="1996"/>
  </r>
  <r>
    <s v="ORD04606"/>
    <d v="2026-08-25T00:00:00"/>
    <s v="C1681"/>
    <s v="Bluetooth Speaker"/>
    <x v="3"/>
    <n v="3"/>
    <n v="1299"/>
    <n v="0.15"/>
    <s v="East"/>
    <s v="Net Banking"/>
    <x v="0"/>
    <n v="2037.45"/>
  </r>
  <r>
    <s v="ORD04607"/>
    <d v="2026-05-10T00:00:00"/>
    <s v="C1629"/>
    <s v="Keyboard"/>
    <x v="0"/>
    <n v="3"/>
    <n v="4999"/>
    <n v="0.1"/>
    <s v="East"/>
    <s v="Credit Card"/>
    <x v="1"/>
    <n v="3312.45"/>
  </r>
  <r>
    <s v="ORD04608"/>
    <d v="2026-08-02T00:00:00"/>
    <s v="C1526"/>
    <s v="Wireless Mouse"/>
    <x v="4"/>
    <n v="4"/>
    <n v="499"/>
    <n v="0.05"/>
    <s v="East"/>
    <s v="UPI"/>
    <x v="1"/>
    <n v="13497.300000000001"/>
  </r>
  <r>
    <s v="ORD04609"/>
    <d v="2026-04-09T00:00:00"/>
    <s v="C1048"/>
    <s v="USB-C Hub"/>
    <x v="1"/>
    <n v="4"/>
    <n v="4999"/>
    <n v="0"/>
    <s v="South"/>
    <s v="Debit Card"/>
    <x v="2"/>
    <n v="1896.1999999999998"/>
  </r>
  <r>
    <s v="ORD04610"/>
    <d v="2026-01-22T00:00:00"/>
    <s v="C1628"/>
    <s v="Laptop Stand"/>
    <x v="0"/>
    <n v="4"/>
    <n v="599"/>
    <n v="0.05"/>
    <s v="Central"/>
    <s v="Debit Card"/>
    <x v="0"/>
    <n v="19996"/>
  </r>
  <r>
    <s v="ORD04611"/>
    <d v="2026-09-12T00:00:00"/>
    <s v="C1492"/>
    <s v="Power Bank"/>
    <x v="4"/>
    <n v="2"/>
    <n v="499"/>
    <n v="0.1"/>
    <s v="East"/>
    <s v="COD"/>
    <x v="1"/>
    <n v="2276.1999999999998"/>
  </r>
  <r>
    <s v="ORD04612"/>
    <d v="2026-07-27T00:00:00"/>
    <s v="C1518"/>
    <s v="Wireless Mouse"/>
    <x v="0"/>
    <n v="2"/>
    <n v="599"/>
    <n v="0.05"/>
    <s v="South"/>
    <s v="Credit Card"/>
    <x v="0"/>
    <n v="898.2"/>
  </r>
  <r>
    <s v="ORD04613"/>
    <d v="2026-07-07T00:00:00"/>
    <s v="C1088"/>
    <s v="Power Bank"/>
    <x v="3"/>
    <n v="5"/>
    <n v="7999"/>
    <n v="0"/>
    <s v="Central"/>
    <s v="COD"/>
    <x v="0"/>
    <n v="1138.0999999999999"/>
  </r>
  <r>
    <s v="ORD04614"/>
    <d v="2026-09-16T00:00:00"/>
    <s v="C1107"/>
    <s v="Webcam"/>
    <x v="2"/>
    <n v="5"/>
    <n v="4999"/>
    <n v="0.1"/>
    <s v="East"/>
    <s v="Credit Card"/>
    <x v="2"/>
    <n v="39995"/>
  </r>
  <r>
    <s v="ORD04615"/>
    <d v="2026-07-29T00:00:00"/>
    <s v="C1476"/>
    <s v="Bluetooth Speaker"/>
    <x v="2"/>
    <n v="1"/>
    <n v="7999"/>
    <n v="0.05"/>
    <s v="North"/>
    <s v="Net Banking"/>
    <x v="2"/>
    <n v="22495.5"/>
  </r>
  <r>
    <s v="ORD04616"/>
    <d v="2026-04-28T00:00:00"/>
    <s v="C1364"/>
    <s v="Wireless Mouse"/>
    <x v="2"/>
    <n v="1"/>
    <n v="2499"/>
    <n v="0.05"/>
    <s v="North"/>
    <s v="UPI"/>
    <x v="1"/>
    <n v="7599.0499999999993"/>
  </r>
  <r>
    <s v="ORD04617"/>
    <d v="2026-08-16T00:00:00"/>
    <s v="C1162"/>
    <s v="Webcam"/>
    <x v="1"/>
    <n v="4"/>
    <n v="1299"/>
    <n v="0"/>
    <s v="North"/>
    <s v="COD"/>
    <x v="0"/>
    <n v="2374.0499999999997"/>
  </r>
  <r>
    <s v="ORD04618"/>
    <d v="2026-03-30T00:00:00"/>
    <s v="C1047"/>
    <s v="Laptop Stand"/>
    <x v="0"/>
    <n v="2"/>
    <n v="599"/>
    <n v="0.05"/>
    <s v="South"/>
    <s v="Credit Card"/>
    <x v="0"/>
    <n v="5196"/>
  </r>
  <r>
    <s v="ORD04619"/>
    <d v="2026-02-06T00:00:00"/>
    <s v="C1097"/>
    <s v="Power Bank"/>
    <x v="0"/>
    <n v="1"/>
    <n v="499"/>
    <n v="0.15"/>
    <s v="Central"/>
    <s v="Debit Card"/>
    <x v="0"/>
    <n v="1138.0999999999999"/>
  </r>
  <r>
    <s v="ORD04620"/>
    <d v="2026-04-25T00:00:00"/>
    <s v="C1415"/>
    <s v="USB-C Hub"/>
    <x v="1"/>
    <n v="2"/>
    <n v="599"/>
    <n v="0.05"/>
    <s v="Central"/>
    <s v="Net Banking"/>
    <x v="0"/>
    <n v="424.15"/>
  </r>
  <r>
    <s v="ORD04621"/>
    <d v="2026-07-12T00:00:00"/>
    <s v="C1762"/>
    <s v="Power Bank"/>
    <x v="3"/>
    <n v="2"/>
    <n v="1999"/>
    <n v="0.1"/>
    <s v="East"/>
    <s v="COD"/>
    <x v="0"/>
    <n v="1138.0999999999999"/>
  </r>
  <r>
    <s v="ORD04622"/>
    <d v="2026-04-07T00:00:00"/>
    <s v="C1649"/>
    <s v="Power Bank"/>
    <x v="4"/>
    <n v="3"/>
    <n v="7999"/>
    <n v="0"/>
    <s v="West"/>
    <s v="UPI"/>
    <x v="2"/>
    <n v="3598.2000000000003"/>
  </r>
  <r>
    <s v="ORD04623"/>
    <d v="2026-03-07T00:00:00"/>
    <s v="C1708"/>
    <s v="Headphones"/>
    <x v="1"/>
    <n v="5"/>
    <n v="599"/>
    <n v="0.1"/>
    <s v="North"/>
    <s v="UPI"/>
    <x v="0"/>
    <n v="23997"/>
  </r>
  <r>
    <s v="ORD04624"/>
    <d v="2026-04-28T00:00:00"/>
    <s v="C1461"/>
    <s v="Keyboard"/>
    <x v="4"/>
    <n v="2"/>
    <n v="599"/>
    <n v="0.15"/>
    <s v="Central"/>
    <s v="Credit Card"/>
    <x v="0"/>
    <n v="2695.5"/>
  </r>
  <r>
    <s v="ORD04625"/>
    <d v="2026-01-24T00:00:00"/>
    <s v="C1201"/>
    <s v="Keyboard"/>
    <x v="3"/>
    <n v="1"/>
    <n v="999"/>
    <n v="0.1"/>
    <s v="North"/>
    <s v="Debit Card"/>
    <x v="0"/>
    <n v="1018.3"/>
  </r>
  <r>
    <s v="ORD04626"/>
    <d v="2026-09-17T00:00:00"/>
    <s v="C1351"/>
    <s v="Power Bank"/>
    <x v="3"/>
    <n v="5"/>
    <n v="799"/>
    <n v="0.05"/>
    <s v="South"/>
    <s v="Net Banking"/>
    <x v="2"/>
    <n v="899.1"/>
  </r>
  <r>
    <s v="ORD04627"/>
    <d v="2026-07-26T00:00:00"/>
    <s v="C1692"/>
    <s v="Monitor"/>
    <x v="0"/>
    <n v="4"/>
    <n v="1499"/>
    <n v="0.05"/>
    <s v="North"/>
    <s v="COD"/>
    <x v="0"/>
    <n v="3795.25"/>
  </r>
  <r>
    <s v="ORD04628"/>
    <d v="2026-04-04T00:00:00"/>
    <s v="C1740"/>
    <s v="Keyboard"/>
    <x v="2"/>
    <n v="2"/>
    <n v="999"/>
    <n v="0"/>
    <s v="West"/>
    <s v="Credit Card"/>
    <x v="2"/>
    <n v="5696.2"/>
  </r>
  <r>
    <s v="ORD04629"/>
    <d v="2026-01-02T00:00:00"/>
    <s v="C1499"/>
    <s v="Keyboard"/>
    <x v="1"/>
    <n v="4"/>
    <n v="2499"/>
    <n v="0"/>
    <s v="West"/>
    <s v="Debit Card"/>
    <x v="2"/>
    <n v="1998"/>
  </r>
  <r>
    <s v="ORD04630"/>
    <d v="2026-01-21T00:00:00"/>
    <s v="C1158"/>
    <s v="Monitor"/>
    <x v="4"/>
    <n v="4"/>
    <n v="799"/>
    <n v="0"/>
    <s v="West"/>
    <s v="Net Banking"/>
    <x v="0"/>
    <n v="9996"/>
  </r>
  <r>
    <s v="ORD04631"/>
    <d v="2026-05-02T00:00:00"/>
    <s v="C1643"/>
    <s v="Wireless Mouse"/>
    <x v="1"/>
    <n v="5"/>
    <n v="799"/>
    <n v="0.15"/>
    <s v="Central"/>
    <s v="COD"/>
    <x v="0"/>
    <n v="3196"/>
  </r>
  <r>
    <s v="ORD04632"/>
    <d v="2026-08-22T00:00:00"/>
    <s v="C1274"/>
    <s v="Webcam"/>
    <x v="0"/>
    <n v="4"/>
    <n v="499"/>
    <n v="0.05"/>
    <s v="North"/>
    <s v="Credit Card"/>
    <x v="0"/>
    <n v="3395.75"/>
  </r>
  <r>
    <s v="ORD04633"/>
    <d v="2026-06-07T00:00:00"/>
    <s v="C1418"/>
    <s v="Laptop Stand"/>
    <x v="1"/>
    <n v="1"/>
    <n v="999"/>
    <n v="0.15"/>
    <s v="East"/>
    <s v="COD"/>
    <x v="0"/>
    <n v="1896.1999999999998"/>
  </r>
  <r>
    <s v="ORD04634"/>
    <d v="2026-03-14T00:00:00"/>
    <s v="C1070"/>
    <s v="Webcam"/>
    <x v="2"/>
    <n v="5"/>
    <n v="599"/>
    <n v="0"/>
    <s v="Central"/>
    <s v="UPI"/>
    <x v="0"/>
    <n v="849.15"/>
  </r>
  <r>
    <s v="ORD04635"/>
    <d v="2026-01-14T00:00:00"/>
    <s v="C1478"/>
    <s v="Webcam"/>
    <x v="2"/>
    <n v="5"/>
    <n v="1999"/>
    <n v="0.1"/>
    <s v="South"/>
    <s v="COD"/>
    <x v="1"/>
    <n v="2995"/>
  </r>
  <r>
    <s v="ORD04636"/>
    <d v="2026-03-01T00:00:00"/>
    <s v="C1286"/>
    <s v="Keyboard"/>
    <x v="2"/>
    <n v="2"/>
    <n v="1499"/>
    <n v="0.1"/>
    <s v="South"/>
    <s v="Debit Card"/>
    <x v="2"/>
    <n v="8995.5"/>
  </r>
  <r>
    <s v="ORD04637"/>
    <d v="2026-09-28T00:00:00"/>
    <s v="C1731"/>
    <s v="USB-C Hub"/>
    <x v="0"/>
    <n v="5"/>
    <n v="499"/>
    <n v="0.05"/>
    <s v="Central"/>
    <s v="UPI"/>
    <x v="0"/>
    <n v="2698.2000000000003"/>
  </r>
  <r>
    <s v="ORD04638"/>
    <d v="2026-02-18T00:00:00"/>
    <s v="C1143"/>
    <s v="Monitor"/>
    <x v="4"/>
    <n v="3"/>
    <n v="4999"/>
    <n v="0.1"/>
    <s v="West"/>
    <s v="COD"/>
    <x v="0"/>
    <n v="2370.25"/>
  </r>
  <r>
    <s v="ORD04639"/>
    <d v="2026-09-06T00:00:00"/>
    <s v="C1220"/>
    <s v="Headphones"/>
    <x v="2"/>
    <n v="1"/>
    <n v="7999"/>
    <n v="0.05"/>
    <s v="North"/>
    <s v="UPI"/>
    <x v="0"/>
    <n v="13497.300000000001"/>
  </r>
  <r>
    <s v="ORD04640"/>
    <d v="2026-03-28T00:00:00"/>
    <s v="C1232"/>
    <s v="Power Bank"/>
    <x v="3"/>
    <n v="2"/>
    <n v="999"/>
    <n v="0"/>
    <s v="South"/>
    <s v="UPI"/>
    <x v="1"/>
    <n v="7599.0499999999993"/>
  </r>
  <r>
    <s v="ORD04641"/>
    <d v="2026-06-17T00:00:00"/>
    <s v="C1378"/>
    <s v="Power Bank"/>
    <x v="4"/>
    <n v="1"/>
    <n v="799"/>
    <n v="0.05"/>
    <s v="South"/>
    <s v="Credit Card"/>
    <x v="1"/>
    <n v="1998"/>
  </r>
  <r>
    <s v="ORD04642"/>
    <d v="2026-04-27T00:00:00"/>
    <s v="C1639"/>
    <s v="Power Bank"/>
    <x v="2"/>
    <n v="3"/>
    <n v="599"/>
    <n v="0"/>
    <s v="South"/>
    <s v="Net Banking"/>
    <x v="0"/>
    <n v="759.05"/>
  </r>
  <r>
    <s v="ORD04643"/>
    <d v="2026-08-24T00:00:00"/>
    <s v="C1645"/>
    <s v="Monitor"/>
    <x v="4"/>
    <n v="2"/>
    <n v="1299"/>
    <n v="0.05"/>
    <s v="South"/>
    <s v="Net Banking"/>
    <x v="0"/>
    <n v="1797"/>
  </r>
  <r>
    <s v="ORD04644"/>
    <d v="2026-08-01T00:00:00"/>
    <s v="C1275"/>
    <s v="Headphones"/>
    <x v="2"/>
    <n v="2"/>
    <n v="2499"/>
    <n v="0.05"/>
    <s v="South"/>
    <s v="COD"/>
    <x v="0"/>
    <n v="2468.1"/>
  </r>
  <r>
    <s v="ORD04645"/>
    <d v="2026-07-05T00:00:00"/>
    <s v="C1457"/>
    <s v="Headphones"/>
    <x v="4"/>
    <n v="4"/>
    <n v="4999"/>
    <n v="0.05"/>
    <s v="East"/>
    <s v="COD"/>
    <x v="1"/>
    <n v="4748.0999999999995"/>
  </r>
  <r>
    <s v="ORD04646"/>
    <d v="2026-01-19T00:00:00"/>
    <s v="C1230"/>
    <s v="Wireless Mouse"/>
    <x v="3"/>
    <n v="3"/>
    <n v="7999"/>
    <n v="0.15"/>
    <s v="West"/>
    <s v="COD"/>
    <x v="0"/>
    <n v="18996.2"/>
  </r>
  <r>
    <s v="ORD04647"/>
    <d v="2026-03-18T00:00:00"/>
    <s v="C1040"/>
    <s v="Bluetooth Speaker"/>
    <x v="4"/>
    <n v="5"/>
    <n v="1499"/>
    <n v="0"/>
    <s v="East"/>
    <s v="UPI"/>
    <x v="2"/>
    <n v="20397.45"/>
  </r>
  <r>
    <s v="ORD04648"/>
    <d v="2026-01-19T00:00:00"/>
    <s v="C1222"/>
    <s v="Laptop Stand"/>
    <x v="2"/>
    <n v="1"/>
    <n v="599"/>
    <n v="0.05"/>
    <s v="West"/>
    <s v="COD"/>
    <x v="0"/>
    <n v="7495"/>
  </r>
  <r>
    <s v="ORD04649"/>
    <d v="2026-05-17T00:00:00"/>
    <s v="C1430"/>
    <s v="Keyboard"/>
    <x v="0"/>
    <n v="1"/>
    <n v="4999"/>
    <n v="0.1"/>
    <s v="West"/>
    <s v="Debit Card"/>
    <x v="0"/>
    <n v="569.04999999999995"/>
  </r>
  <r>
    <s v="ORD04650"/>
    <d v="2026-01-31T00:00:00"/>
    <s v="C1040"/>
    <s v="Webcam"/>
    <x v="0"/>
    <n v="1"/>
    <n v="4999"/>
    <n v="0"/>
    <s v="West"/>
    <s v="Net Banking"/>
    <x v="0"/>
    <n v="4499.1000000000004"/>
  </r>
  <r>
    <s v="ORD04651"/>
    <d v="2026-07-26T00:00:00"/>
    <s v="C1437"/>
    <s v="Keyboard"/>
    <x v="1"/>
    <n v="2"/>
    <n v="1299"/>
    <n v="0"/>
    <s v="East"/>
    <s v="Credit Card"/>
    <x v="2"/>
    <n v="4999"/>
  </r>
  <r>
    <s v="ORD04652"/>
    <d v="2026-06-11T00:00:00"/>
    <s v="C1240"/>
    <s v="Power Bank"/>
    <x v="3"/>
    <n v="1"/>
    <n v="7999"/>
    <n v="0"/>
    <s v="North"/>
    <s v="COD"/>
    <x v="1"/>
    <n v="2598"/>
  </r>
  <r>
    <s v="ORD04653"/>
    <d v="2026-02-28T00:00:00"/>
    <s v="C1157"/>
    <s v="Monitor"/>
    <x v="4"/>
    <n v="2"/>
    <n v="1299"/>
    <n v="0.1"/>
    <s v="West"/>
    <s v="Credit Card"/>
    <x v="0"/>
    <n v="7999"/>
  </r>
  <r>
    <s v="ORD04654"/>
    <d v="2026-03-17T00:00:00"/>
    <s v="C1203"/>
    <s v="Monitor"/>
    <x v="0"/>
    <n v="2"/>
    <n v="499"/>
    <n v="0.05"/>
    <s v="Central"/>
    <s v="COD"/>
    <x v="0"/>
    <n v="2338.2000000000003"/>
  </r>
  <r>
    <s v="ORD04655"/>
    <d v="2026-01-08T00:00:00"/>
    <s v="C1770"/>
    <s v="Webcam"/>
    <x v="3"/>
    <n v="4"/>
    <n v="1999"/>
    <n v="0"/>
    <s v="East"/>
    <s v="Credit Card"/>
    <x v="0"/>
    <n v="948.09999999999991"/>
  </r>
  <r>
    <s v="ORD04656"/>
    <d v="2026-07-29T00:00:00"/>
    <s v="C1013"/>
    <s v="USB-C Hub"/>
    <x v="2"/>
    <n v="1"/>
    <n v="4999"/>
    <n v="0.05"/>
    <s v="North"/>
    <s v="UPI"/>
    <x v="0"/>
    <n v="7996"/>
  </r>
  <r>
    <s v="ORD04657"/>
    <d v="2026-08-14T00:00:00"/>
    <s v="C1172"/>
    <s v="Keyboard"/>
    <x v="1"/>
    <n v="3"/>
    <n v="799"/>
    <n v="0.1"/>
    <s v="South"/>
    <s v="UPI"/>
    <x v="1"/>
    <n v="4749.05"/>
  </r>
  <r>
    <s v="ORD04658"/>
    <d v="2026-09-22T00:00:00"/>
    <s v="C1182"/>
    <s v="Mechanical Keyboard"/>
    <x v="1"/>
    <n v="4"/>
    <n v="1999"/>
    <n v="0.05"/>
    <s v="Central"/>
    <s v="Debit Card"/>
    <x v="0"/>
    <n v="2157.3000000000002"/>
  </r>
  <r>
    <s v="ORD04659"/>
    <d v="2026-07-11T00:00:00"/>
    <s v="C1115"/>
    <s v="Bluetooth Speaker"/>
    <x v="0"/>
    <n v="4"/>
    <n v="499"/>
    <n v="0.05"/>
    <s v="South"/>
    <s v="Debit Card"/>
    <x v="0"/>
    <n v="7596.2"/>
  </r>
  <r>
    <s v="ORD04660"/>
    <d v="2026-01-21T00:00:00"/>
    <s v="C1338"/>
    <s v="USB-C Hub"/>
    <x v="2"/>
    <n v="4"/>
    <n v="4999"/>
    <n v="0"/>
    <s v="East"/>
    <s v="Credit Card"/>
    <x v="0"/>
    <n v="1896.1999999999998"/>
  </r>
  <r>
    <s v="ORD04661"/>
    <d v="2026-06-03T00:00:00"/>
    <s v="C1471"/>
    <s v="Mechanical Keyboard"/>
    <x v="1"/>
    <n v="5"/>
    <n v="599"/>
    <n v="0.1"/>
    <s v="Central"/>
    <s v="Debit Card"/>
    <x v="1"/>
    <n v="19996"/>
  </r>
  <r>
    <s v="ORD04662"/>
    <d v="2026-09-01T00:00:00"/>
    <s v="C1120"/>
    <s v="Webcam"/>
    <x v="1"/>
    <n v="3"/>
    <n v="1299"/>
    <n v="0"/>
    <s v="South"/>
    <s v="Credit Card"/>
    <x v="0"/>
    <n v="2695.5"/>
  </r>
  <r>
    <s v="ORD04663"/>
    <d v="2026-08-04T00:00:00"/>
    <s v="C1563"/>
    <s v="Headphones"/>
    <x v="4"/>
    <n v="2"/>
    <n v="999"/>
    <n v="0.05"/>
    <s v="West"/>
    <s v="Credit Card"/>
    <x v="0"/>
    <n v="3897"/>
  </r>
  <r>
    <s v="ORD04664"/>
    <d v="2026-02-06T00:00:00"/>
    <s v="C1085"/>
    <s v="Webcam"/>
    <x v="2"/>
    <n v="4"/>
    <n v="4999"/>
    <n v="0.05"/>
    <s v="South"/>
    <s v="COD"/>
    <x v="2"/>
    <n v="1898.1"/>
  </r>
  <r>
    <s v="ORD04665"/>
    <d v="2026-07-07T00:00:00"/>
    <s v="C1463"/>
    <s v="Power Bank"/>
    <x v="1"/>
    <n v="5"/>
    <n v="1299"/>
    <n v="0"/>
    <s v="South"/>
    <s v="UPI"/>
    <x v="2"/>
    <n v="18996.2"/>
  </r>
  <r>
    <s v="ORD04666"/>
    <d v="2026-08-12T00:00:00"/>
    <s v="C1480"/>
    <s v="Monitor"/>
    <x v="1"/>
    <n v="2"/>
    <n v="1299"/>
    <n v="0"/>
    <s v="North"/>
    <s v="COD"/>
    <x v="2"/>
    <n v="6495"/>
  </r>
  <r>
    <s v="ORD04667"/>
    <d v="2026-07-28T00:00:00"/>
    <s v="C1496"/>
    <s v="Headphones"/>
    <x v="3"/>
    <n v="1"/>
    <n v="1499"/>
    <n v="0.15"/>
    <s v="West"/>
    <s v="COD"/>
    <x v="0"/>
    <n v="2598"/>
  </r>
  <r>
    <s v="ORD04668"/>
    <d v="2026-06-09T00:00:00"/>
    <s v="C1723"/>
    <s v="Power Bank"/>
    <x v="1"/>
    <n v="2"/>
    <n v="999"/>
    <n v="0.15"/>
    <s v="South"/>
    <s v="COD"/>
    <x v="1"/>
    <n v="1274.1499999999999"/>
  </r>
  <r>
    <s v="ORD04669"/>
    <d v="2026-01-22T00:00:00"/>
    <s v="C1489"/>
    <s v="Headphones"/>
    <x v="4"/>
    <n v="2"/>
    <n v="4999"/>
    <n v="0.05"/>
    <s v="West"/>
    <s v="COD"/>
    <x v="0"/>
    <n v="1698.3"/>
  </r>
  <r>
    <s v="ORD04670"/>
    <d v="2026-03-04T00:00:00"/>
    <s v="C1799"/>
    <s v="Mechanical Keyboard"/>
    <x v="2"/>
    <n v="5"/>
    <n v="599"/>
    <n v="0.15"/>
    <s v="Central"/>
    <s v="Debit Card"/>
    <x v="0"/>
    <n v="9498.1"/>
  </r>
  <r>
    <s v="ORD04671"/>
    <d v="2026-04-03T00:00:00"/>
    <s v="C1041"/>
    <s v="Laptop Stand"/>
    <x v="1"/>
    <n v="4"/>
    <n v="2499"/>
    <n v="0"/>
    <s v="East"/>
    <s v="UPI"/>
    <x v="1"/>
    <n v="2545.75"/>
  </r>
  <r>
    <s v="ORD04672"/>
    <d v="2026-09-27T00:00:00"/>
    <s v="C1663"/>
    <s v="Webcam"/>
    <x v="4"/>
    <n v="2"/>
    <n v="4999"/>
    <n v="0"/>
    <s v="West"/>
    <s v="Credit Card"/>
    <x v="1"/>
    <n v="9996"/>
  </r>
  <r>
    <s v="ORD04673"/>
    <d v="2026-05-08T00:00:00"/>
    <s v="C1177"/>
    <s v="Keyboard"/>
    <x v="0"/>
    <n v="5"/>
    <n v="499"/>
    <n v="0.15"/>
    <s v="Central"/>
    <s v="UPI"/>
    <x v="1"/>
    <n v="9998"/>
  </r>
  <r>
    <s v="ORD04674"/>
    <d v="2026-03-20T00:00:00"/>
    <s v="C1788"/>
    <s v="Monitor"/>
    <x v="0"/>
    <n v="3"/>
    <n v="2499"/>
    <n v="0"/>
    <s v="North"/>
    <s v="UPI"/>
    <x v="0"/>
    <n v="2120.75"/>
  </r>
  <r>
    <s v="ORD04675"/>
    <d v="2026-04-16T00:00:00"/>
    <s v="C1130"/>
    <s v="Monitor"/>
    <x v="0"/>
    <n v="5"/>
    <n v="1999"/>
    <n v="0.05"/>
    <s v="West"/>
    <s v="Credit Card"/>
    <x v="1"/>
    <n v="7497"/>
  </r>
  <r>
    <s v="ORD04676"/>
    <d v="2026-02-27T00:00:00"/>
    <s v="C1083"/>
    <s v="Keyboard"/>
    <x v="4"/>
    <n v="5"/>
    <n v="999"/>
    <n v="0"/>
    <s v="Central"/>
    <s v="Net Banking"/>
    <x v="0"/>
    <n v="9495.25"/>
  </r>
  <r>
    <s v="ORD04677"/>
    <d v="2026-09-11T00:00:00"/>
    <s v="C1386"/>
    <s v="Mechanical Keyboard"/>
    <x v="1"/>
    <n v="2"/>
    <n v="1499"/>
    <n v="0.05"/>
    <s v="North"/>
    <s v="Debit Card"/>
    <x v="0"/>
    <n v="4995"/>
  </r>
  <r>
    <s v="ORD04678"/>
    <d v="2026-06-10T00:00:00"/>
    <s v="C1355"/>
    <s v="Headphones"/>
    <x v="1"/>
    <n v="3"/>
    <n v="4999"/>
    <n v="0"/>
    <s v="North"/>
    <s v="UPI"/>
    <x v="2"/>
    <n v="2848.1"/>
  </r>
  <r>
    <s v="ORD04679"/>
    <d v="2026-08-24T00:00:00"/>
    <s v="C1203"/>
    <s v="Bluetooth Speaker"/>
    <x v="3"/>
    <n v="4"/>
    <n v="1499"/>
    <n v="0.15"/>
    <s v="West"/>
    <s v="Debit Card"/>
    <x v="2"/>
    <n v="14997"/>
  </r>
  <r>
    <s v="ORD04680"/>
    <d v="2026-09-02T00:00:00"/>
    <s v="C1386"/>
    <s v="Power Bank"/>
    <x v="1"/>
    <n v="1"/>
    <n v="1299"/>
    <n v="0"/>
    <s v="East"/>
    <s v="Net Banking"/>
    <x v="0"/>
    <n v="5096.5999999999995"/>
  </r>
  <r>
    <s v="ORD04681"/>
    <d v="2026-01-08T00:00:00"/>
    <s v="C1702"/>
    <s v="Mechanical Keyboard"/>
    <x v="2"/>
    <n v="4"/>
    <n v="4999"/>
    <n v="0"/>
    <s v="East"/>
    <s v="COD"/>
    <x v="2"/>
    <n v="1299"/>
  </r>
  <r>
    <s v="ORD04682"/>
    <d v="2026-05-31T00:00:00"/>
    <s v="C1679"/>
    <s v="Webcam"/>
    <x v="4"/>
    <n v="1"/>
    <n v="499"/>
    <n v="0.1"/>
    <s v="Central"/>
    <s v="Credit Card"/>
    <x v="2"/>
    <n v="19996"/>
  </r>
  <r>
    <s v="ORD04683"/>
    <d v="2026-09-09T00:00:00"/>
    <s v="C1041"/>
    <s v="Webcam"/>
    <x v="3"/>
    <n v="3"/>
    <n v="2499"/>
    <n v="0"/>
    <s v="North"/>
    <s v="UPI"/>
    <x v="0"/>
    <n v="449.1"/>
  </r>
  <r>
    <s v="ORD04684"/>
    <d v="2026-09-15T00:00:00"/>
    <s v="C1405"/>
    <s v="Power Bank"/>
    <x v="4"/>
    <n v="1"/>
    <n v="4999"/>
    <n v="0.1"/>
    <s v="Central"/>
    <s v="COD"/>
    <x v="0"/>
    <n v="7497"/>
  </r>
  <r>
    <s v="ORD04685"/>
    <d v="2026-07-03T00:00:00"/>
    <s v="C1267"/>
    <s v="Mechanical Keyboard"/>
    <x v="4"/>
    <n v="2"/>
    <n v="2499"/>
    <n v="0.1"/>
    <s v="East"/>
    <s v="Debit Card"/>
    <x v="0"/>
    <n v="4499.1000000000004"/>
  </r>
  <r>
    <s v="ORD04686"/>
    <d v="2026-02-25T00:00:00"/>
    <s v="C1532"/>
    <s v="Power Bank"/>
    <x v="0"/>
    <n v="2"/>
    <n v="4999"/>
    <n v="0.15"/>
    <s v="East"/>
    <s v="Debit Card"/>
    <x v="0"/>
    <n v="4498.2"/>
  </r>
  <r>
    <s v="ORD04687"/>
    <d v="2026-09-05T00:00:00"/>
    <s v="C1301"/>
    <s v="USB-C Hub"/>
    <x v="4"/>
    <n v="4"/>
    <n v="1499"/>
    <n v="0.15"/>
    <s v="South"/>
    <s v="Net Banking"/>
    <x v="1"/>
    <n v="8498.2999999999993"/>
  </r>
  <r>
    <s v="ORD04688"/>
    <d v="2026-03-08T00:00:00"/>
    <s v="C1430"/>
    <s v="Mechanical Keyboard"/>
    <x v="0"/>
    <n v="4"/>
    <n v="7999"/>
    <n v="0.1"/>
    <s v="East"/>
    <s v="Net Banking"/>
    <x v="0"/>
    <n v="5096.5999999999995"/>
  </r>
  <r>
    <s v="ORD04689"/>
    <d v="2026-08-11T00:00:00"/>
    <s v="C1261"/>
    <s v="Bluetooth Speaker"/>
    <x v="0"/>
    <n v="3"/>
    <n v="599"/>
    <n v="0"/>
    <s v="South"/>
    <s v="Debit Card"/>
    <x v="0"/>
    <n v="28796.400000000001"/>
  </r>
  <r>
    <s v="ORD04690"/>
    <d v="2026-01-23T00:00:00"/>
    <s v="C1232"/>
    <s v="USB-C Hub"/>
    <x v="0"/>
    <n v="4"/>
    <n v="499"/>
    <n v="0.15"/>
    <s v="North"/>
    <s v="Net Banking"/>
    <x v="0"/>
    <n v="1797"/>
  </r>
  <r>
    <s v="ORD04691"/>
    <d v="2026-08-14T00:00:00"/>
    <s v="C1323"/>
    <s v="Bluetooth Speaker"/>
    <x v="3"/>
    <n v="3"/>
    <n v="999"/>
    <n v="0.1"/>
    <s v="Central"/>
    <s v="Credit Card"/>
    <x v="2"/>
    <n v="1696.6"/>
  </r>
  <r>
    <s v="ORD04692"/>
    <d v="2026-02-09T00:00:00"/>
    <s v="C1629"/>
    <s v="Laptop Stand"/>
    <x v="4"/>
    <n v="4"/>
    <n v="599"/>
    <n v="0"/>
    <s v="North"/>
    <s v="Net Banking"/>
    <x v="0"/>
    <n v="2697.3"/>
  </r>
  <r>
    <s v="ORD04693"/>
    <d v="2026-06-16T00:00:00"/>
    <s v="C1749"/>
    <s v="Keyboard"/>
    <x v="1"/>
    <n v="5"/>
    <n v="4999"/>
    <n v="0.15"/>
    <s v="West"/>
    <s v="COD"/>
    <x v="1"/>
    <n v="2396"/>
  </r>
  <r>
    <s v="ORD04694"/>
    <d v="2026-05-14T00:00:00"/>
    <s v="C1572"/>
    <s v="USB-C Hub"/>
    <x v="4"/>
    <n v="2"/>
    <n v="4999"/>
    <n v="0"/>
    <s v="South"/>
    <s v="COD"/>
    <x v="2"/>
    <n v="21245.75"/>
  </r>
  <r>
    <s v="ORD04695"/>
    <d v="2026-07-09T00:00:00"/>
    <s v="C1781"/>
    <s v="Headphones"/>
    <x v="4"/>
    <n v="5"/>
    <n v="799"/>
    <n v="0.15"/>
    <s v="South"/>
    <s v="Debit Card"/>
    <x v="2"/>
    <n v="9998"/>
  </r>
  <r>
    <s v="ORD04696"/>
    <d v="2026-01-27T00:00:00"/>
    <s v="C1228"/>
    <s v="Mechanical Keyboard"/>
    <x v="0"/>
    <n v="4"/>
    <n v="599"/>
    <n v="0.1"/>
    <s v="East"/>
    <s v="UPI"/>
    <x v="0"/>
    <n v="3395.75"/>
  </r>
  <r>
    <s v="ORD04697"/>
    <d v="2026-09-01T00:00:00"/>
    <s v="C1232"/>
    <s v="USB-C Hub"/>
    <x v="0"/>
    <n v="4"/>
    <n v="2499"/>
    <n v="0.05"/>
    <s v="East"/>
    <s v="COD"/>
    <x v="2"/>
    <n v="2156.4"/>
  </r>
  <r>
    <s v="ORD04698"/>
    <d v="2026-06-30T00:00:00"/>
    <s v="C1221"/>
    <s v="Keyboard"/>
    <x v="1"/>
    <n v="1"/>
    <n v="499"/>
    <n v="0.05"/>
    <s v="West"/>
    <s v="UPI"/>
    <x v="2"/>
    <n v="9496.1999999999989"/>
  </r>
  <r>
    <s v="ORD04699"/>
    <d v="2026-04-17T00:00:00"/>
    <s v="C1664"/>
    <s v="Keyboard"/>
    <x v="2"/>
    <n v="5"/>
    <n v="4999"/>
    <n v="0.05"/>
    <s v="South"/>
    <s v="Credit Card"/>
    <x v="0"/>
    <n v="474.04999999999995"/>
  </r>
  <r>
    <s v="ORD04700"/>
    <d v="2026-07-08T00:00:00"/>
    <s v="C1139"/>
    <s v="Keyboard"/>
    <x v="0"/>
    <n v="3"/>
    <n v="599"/>
    <n v="0"/>
    <s v="West"/>
    <s v="Debit Card"/>
    <x v="0"/>
    <n v="23745.25"/>
  </r>
  <r>
    <s v="ORD04701"/>
    <d v="2026-01-18T00:00:00"/>
    <s v="C1431"/>
    <s v="Monitor"/>
    <x v="4"/>
    <n v="2"/>
    <n v="499"/>
    <n v="0.15"/>
    <s v="West"/>
    <s v="Net Banking"/>
    <x v="0"/>
    <n v="1797"/>
  </r>
  <r>
    <s v="ORD04702"/>
    <d v="2026-02-07T00:00:00"/>
    <s v="C1472"/>
    <s v="Keyboard"/>
    <x v="3"/>
    <n v="4"/>
    <n v="2499"/>
    <n v="0"/>
    <s v="West"/>
    <s v="Net Banking"/>
    <x v="0"/>
    <n v="848.3"/>
  </r>
  <r>
    <s v="ORD04703"/>
    <d v="2026-02-06T00:00:00"/>
    <s v="C1229"/>
    <s v="Monitor"/>
    <x v="1"/>
    <n v="4"/>
    <n v="1999"/>
    <n v="0.15"/>
    <s v="Central"/>
    <s v="Debit Card"/>
    <x v="2"/>
    <n v="9996"/>
  </r>
  <r>
    <s v="ORD04704"/>
    <d v="2026-08-30T00:00:00"/>
    <s v="C1356"/>
    <s v="Wireless Mouse"/>
    <x v="3"/>
    <n v="3"/>
    <n v="799"/>
    <n v="0"/>
    <s v="East"/>
    <s v="Net Banking"/>
    <x v="2"/>
    <n v="6796.5999999999995"/>
  </r>
  <r>
    <s v="ORD04705"/>
    <d v="2026-03-25T00:00:00"/>
    <s v="C1338"/>
    <s v="Laptop Stand"/>
    <x v="1"/>
    <n v="5"/>
    <n v="799"/>
    <n v="0"/>
    <s v="Central"/>
    <s v="Net Banking"/>
    <x v="0"/>
    <n v="2397"/>
  </r>
  <r>
    <s v="ORD04706"/>
    <d v="2026-05-27T00:00:00"/>
    <s v="C1612"/>
    <s v="Mechanical Keyboard"/>
    <x v="0"/>
    <n v="1"/>
    <n v="4999"/>
    <n v="0.05"/>
    <s v="South"/>
    <s v="COD"/>
    <x v="2"/>
    <n v="3995"/>
  </r>
  <r>
    <s v="ORD04707"/>
    <d v="2026-04-15T00:00:00"/>
    <s v="C1074"/>
    <s v="Wireless Mouse"/>
    <x v="2"/>
    <n v="2"/>
    <n v="2499"/>
    <n v="0"/>
    <s v="East"/>
    <s v="Debit Card"/>
    <x v="0"/>
    <n v="4749.05"/>
  </r>
  <r>
    <s v="ORD04708"/>
    <d v="2026-08-27T00:00:00"/>
    <s v="C1407"/>
    <s v="Keyboard"/>
    <x v="0"/>
    <n v="1"/>
    <n v="7999"/>
    <n v="0"/>
    <s v="Central"/>
    <s v="COD"/>
    <x v="0"/>
    <n v="4998"/>
  </r>
  <r>
    <s v="ORD04709"/>
    <d v="2026-02-20T00:00:00"/>
    <s v="C1245"/>
    <s v="Monitor"/>
    <x v="3"/>
    <n v="4"/>
    <n v="7999"/>
    <n v="0.15"/>
    <s v="West"/>
    <s v="Credit Card"/>
    <x v="0"/>
    <n v="7999"/>
  </r>
  <r>
    <s v="ORD04710"/>
    <d v="2026-01-14T00:00:00"/>
    <s v="C1553"/>
    <s v="USB-C Hub"/>
    <x v="4"/>
    <n v="1"/>
    <n v="7999"/>
    <n v="0.15"/>
    <s v="Central"/>
    <s v="Debit Card"/>
    <x v="0"/>
    <n v="27196.6"/>
  </r>
  <r>
    <s v="ORD04711"/>
    <d v="2026-09-11T00:00:00"/>
    <s v="C1558"/>
    <s v="Wireless Mouse"/>
    <x v="3"/>
    <n v="4"/>
    <n v="7999"/>
    <n v="0"/>
    <s v="West"/>
    <s v="Net Banking"/>
    <x v="2"/>
    <n v="6799.15"/>
  </r>
  <r>
    <s v="ORD04712"/>
    <d v="2026-04-04T00:00:00"/>
    <s v="C1678"/>
    <s v="Monitor"/>
    <x v="3"/>
    <n v="2"/>
    <n v="599"/>
    <n v="0.05"/>
    <s v="Central"/>
    <s v="Debit Card"/>
    <x v="1"/>
    <n v="31996"/>
  </r>
  <r>
    <s v="ORD04713"/>
    <d v="2026-08-25T00:00:00"/>
    <s v="C1577"/>
    <s v="Monitor"/>
    <x v="1"/>
    <n v="1"/>
    <n v="1299"/>
    <n v="0"/>
    <s v="East"/>
    <s v="Debit Card"/>
    <x v="2"/>
    <n v="1138.0999999999999"/>
  </r>
  <r>
    <s v="ORD04714"/>
    <d v="2026-08-25T00:00:00"/>
    <s v="C1173"/>
    <s v="Keyboard"/>
    <x v="4"/>
    <n v="5"/>
    <n v="499"/>
    <n v="0.15"/>
    <s v="East"/>
    <s v="COD"/>
    <x v="0"/>
    <n v="1299"/>
  </r>
  <r>
    <s v="ORD04715"/>
    <d v="2026-02-28T00:00:00"/>
    <s v="C1705"/>
    <s v="Keyboard"/>
    <x v="0"/>
    <n v="5"/>
    <n v="499"/>
    <n v="0"/>
    <s v="West"/>
    <s v="Net Banking"/>
    <x v="0"/>
    <n v="2120.75"/>
  </r>
  <r>
    <s v="ORD04716"/>
    <d v="2026-05-22T00:00:00"/>
    <s v="C1126"/>
    <s v="Wireless Mouse"/>
    <x v="0"/>
    <n v="3"/>
    <n v="1999"/>
    <n v="0.1"/>
    <s v="East"/>
    <s v="Credit Card"/>
    <x v="2"/>
    <n v="2495"/>
  </r>
  <r>
    <s v="ORD04717"/>
    <d v="2026-08-12T00:00:00"/>
    <s v="C1672"/>
    <s v="USB-C Hub"/>
    <x v="1"/>
    <n v="1"/>
    <n v="799"/>
    <n v="0.05"/>
    <s v="North"/>
    <s v="UPI"/>
    <x v="1"/>
    <n v="5397.3"/>
  </r>
  <r>
    <s v="ORD04718"/>
    <d v="2026-04-04T00:00:00"/>
    <s v="C1701"/>
    <s v="Wireless Mouse"/>
    <x v="2"/>
    <n v="4"/>
    <n v="2499"/>
    <n v="0.1"/>
    <s v="West"/>
    <s v="COD"/>
    <x v="0"/>
    <n v="759.05"/>
  </r>
  <r>
    <s v="ORD04719"/>
    <d v="2026-09-04T00:00:00"/>
    <s v="C1141"/>
    <s v="Headphones"/>
    <x v="3"/>
    <n v="2"/>
    <n v="999"/>
    <n v="0.15"/>
    <s v="North"/>
    <s v="Net Banking"/>
    <x v="1"/>
    <n v="8996.4"/>
  </r>
  <r>
    <s v="ORD04720"/>
    <d v="2026-02-09T00:00:00"/>
    <s v="C1756"/>
    <s v="Laptop Stand"/>
    <x v="1"/>
    <n v="3"/>
    <n v="4999"/>
    <n v="0"/>
    <s v="South"/>
    <s v="COD"/>
    <x v="2"/>
    <n v="1698.3"/>
  </r>
  <r>
    <s v="ORD04721"/>
    <d v="2026-04-21T00:00:00"/>
    <s v="C1447"/>
    <s v="Wireless Mouse"/>
    <x v="4"/>
    <n v="2"/>
    <n v="799"/>
    <n v="0.05"/>
    <s v="South"/>
    <s v="Credit Card"/>
    <x v="1"/>
    <n v="14997"/>
  </r>
  <r>
    <s v="ORD04722"/>
    <d v="2026-02-16T00:00:00"/>
    <s v="C1477"/>
    <s v="Keyboard"/>
    <x v="1"/>
    <n v="2"/>
    <n v="499"/>
    <n v="0.05"/>
    <s v="West"/>
    <s v="Debit Card"/>
    <x v="0"/>
    <n v="1518.1"/>
  </r>
  <r>
    <s v="ORD04723"/>
    <d v="2026-04-10T00:00:00"/>
    <s v="C1103"/>
    <s v="Power Bank"/>
    <x v="3"/>
    <n v="5"/>
    <n v="4999"/>
    <n v="0.1"/>
    <s v="West"/>
    <s v="Credit Card"/>
    <x v="0"/>
    <n v="948.09999999999991"/>
  </r>
  <r>
    <s v="ORD04724"/>
    <d v="2026-04-14T00:00:00"/>
    <s v="C1280"/>
    <s v="Webcam"/>
    <x v="3"/>
    <n v="5"/>
    <n v="999"/>
    <n v="0"/>
    <s v="South"/>
    <s v="Net Banking"/>
    <x v="0"/>
    <n v="22495.5"/>
  </r>
  <r>
    <s v="ORD04725"/>
    <d v="2026-07-11T00:00:00"/>
    <s v="C1096"/>
    <s v="Laptop Stand"/>
    <x v="4"/>
    <n v="1"/>
    <n v="7999"/>
    <n v="0.15"/>
    <s v="North"/>
    <s v="Net Banking"/>
    <x v="0"/>
    <n v="4995"/>
  </r>
  <r>
    <s v="ORD04726"/>
    <d v="2026-01-08T00:00:00"/>
    <s v="C1660"/>
    <s v="Webcam"/>
    <x v="3"/>
    <n v="1"/>
    <n v="7999"/>
    <n v="0.05"/>
    <s v="Central"/>
    <s v="UPI"/>
    <x v="2"/>
    <n v="6799.15"/>
  </r>
  <r>
    <s v="ORD04727"/>
    <d v="2026-06-10T00:00:00"/>
    <s v="C1682"/>
    <s v="Webcam"/>
    <x v="2"/>
    <n v="4"/>
    <n v="4999"/>
    <n v="0"/>
    <s v="West"/>
    <s v="Credit Card"/>
    <x v="0"/>
    <n v="7599.0499999999993"/>
  </r>
  <r>
    <s v="ORD04728"/>
    <d v="2026-02-01T00:00:00"/>
    <s v="C1467"/>
    <s v="Monitor"/>
    <x v="0"/>
    <n v="1"/>
    <n v="4999"/>
    <n v="0.05"/>
    <s v="Central"/>
    <s v="Net Banking"/>
    <x v="0"/>
    <n v="19996"/>
  </r>
  <r>
    <s v="ORD04729"/>
    <d v="2026-07-05T00:00:00"/>
    <s v="C1133"/>
    <s v="Monitor"/>
    <x v="1"/>
    <n v="1"/>
    <n v="2499"/>
    <n v="0.15"/>
    <s v="West"/>
    <s v="Net Banking"/>
    <x v="1"/>
    <n v="4749.05"/>
  </r>
  <r>
    <s v="ORD04730"/>
    <d v="2026-04-15T00:00:00"/>
    <s v="C1731"/>
    <s v="Headphones"/>
    <x v="0"/>
    <n v="4"/>
    <n v="4999"/>
    <n v="0.1"/>
    <s v="Central"/>
    <s v="Debit Card"/>
    <x v="0"/>
    <n v="2124.15"/>
  </r>
  <r>
    <s v="ORD04731"/>
    <d v="2026-06-03T00:00:00"/>
    <s v="C1615"/>
    <s v="Wireless Mouse"/>
    <x v="1"/>
    <n v="4"/>
    <n v="1299"/>
    <n v="0.05"/>
    <s v="South"/>
    <s v="COD"/>
    <x v="1"/>
    <n v="17996.400000000001"/>
  </r>
  <r>
    <s v="ORD04732"/>
    <d v="2026-05-27T00:00:00"/>
    <s v="C1333"/>
    <s v="Wireless Mouse"/>
    <x v="4"/>
    <n v="1"/>
    <n v="999"/>
    <n v="0"/>
    <s v="West"/>
    <s v="COD"/>
    <x v="0"/>
    <n v="4936.2"/>
  </r>
  <r>
    <s v="ORD04733"/>
    <d v="2026-08-20T00:00:00"/>
    <s v="C1178"/>
    <s v="USB-C Hub"/>
    <x v="0"/>
    <n v="3"/>
    <n v="4999"/>
    <n v="0.1"/>
    <s v="East"/>
    <s v="UPI"/>
    <x v="0"/>
    <n v="999"/>
  </r>
  <r>
    <s v="ORD04734"/>
    <d v="2026-04-11T00:00:00"/>
    <s v="C1293"/>
    <s v="Keyboard"/>
    <x v="4"/>
    <n v="5"/>
    <n v="599"/>
    <n v="0.1"/>
    <s v="East"/>
    <s v="UPI"/>
    <x v="0"/>
    <n v="13497.300000000001"/>
  </r>
  <r>
    <s v="ORD04735"/>
    <d v="2026-01-12T00:00:00"/>
    <s v="C1684"/>
    <s v="Laptop Stand"/>
    <x v="0"/>
    <n v="1"/>
    <n v="1499"/>
    <n v="0.1"/>
    <s v="Central"/>
    <s v="Credit Card"/>
    <x v="0"/>
    <n v="2695.5"/>
  </r>
  <r>
    <s v="ORD04736"/>
    <d v="2026-07-01T00:00:00"/>
    <s v="C1339"/>
    <s v="Laptop Stand"/>
    <x v="4"/>
    <n v="1"/>
    <n v="599"/>
    <n v="0"/>
    <s v="East"/>
    <s v="Debit Card"/>
    <x v="1"/>
    <n v="1349.1000000000001"/>
  </r>
  <r>
    <s v="ORD04737"/>
    <d v="2026-09-27T00:00:00"/>
    <s v="C1241"/>
    <s v="Keyboard"/>
    <x v="4"/>
    <n v="1"/>
    <n v="7999"/>
    <n v="0"/>
    <s v="North"/>
    <s v="Debit Card"/>
    <x v="0"/>
    <n v="599"/>
  </r>
  <r>
    <s v="ORD04738"/>
    <d v="2026-03-09T00:00:00"/>
    <s v="C1485"/>
    <s v="Wireless Mouse"/>
    <x v="0"/>
    <n v="4"/>
    <n v="999"/>
    <n v="0.1"/>
    <s v="South"/>
    <s v="Credit Card"/>
    <x v="0"/>
    <n v="7999"/>
  </r>
  <r>
    <s v="ORD04739"/>
    <d v="2026-08-24T00:00:00"/>
    <s v="C1240"/>
    <s v="Wireless Mouse"/>
    <x v="4"/>
    <n v="4"/>
    <n v="1299"/>
    <n v="0"/>
    <s v="Central"/>
    <s v="Credit Card"/>
    <x v="0"/>
    <n v="3596.4"/>
  </r>
  <r>
    <s v="ORD04740"/>
    <d v="2026-08-02T00:00:00"/>
    <s v="C1307"/>
    <s v="Webcam"/>
    <x v="1"/>
    <n v="5"/>
    <n v="799"/>
    <n v="0.15"/>
    <s v="North"/>
    <s v="UPI"/>
    <x v="0"/>
    <n v="5196"/>
  </r>
  <r>
    <s v="ORD04741"/>
    <d v="2026-05-12T00:00:00"/>
    <s v="C1788"/>
    <s v="Power Bank"/>
    <x v="4"/>
    <n v="4"/>
    <n v="799"/>
    <n v="0"/>
    <s v="North"/>
    <s v="UPI"/>
    <x v="0"/>
    <n v="3395.75"/>
  </r>
  <r>
    <s v="ORD04742"/>
    <d v="2026-03-30T00:00:00"/>
    <s v="C1013"/>
    <s v="Webcam"/>
    <x v="4"/>
    <n v="1"/>
    <n v="999"/>
    <n v="0"/>
    <s v="East"/>
    <s v="Debit Card"/>
    <x v="0"/>
    <n v="3196"/>
  </r>
  <r>
    <s v="ORD04743"/>
    <d v="2026-05-25T00:00:00"/>
    <s v="C1145"/>
    <s v="Webcam"/>
    <x v="1"/>
    <n v="5"/>
    <n v="1499"/>
    <n v="0"/>
    <s v="North"/>
    <s v="Net Banking"/>
    <x v="2"/>
    <n v="999"/>
  </r>
  <r>
    <s v="ORD04744"/>
    <d v="2026-05-07T00:00:00"/>
    <s v="C1794"/>
    <s v="Bluetooth Speaker"/>
    <x v="1"/>
    <n v="5"/>
    <n v="4999"/>
    <n v="0.05"/>
    <s v="East"/>
    <s v="UPI"/>
    <x v="0"/>
    <n v="7495"/>
  </r>
  <r>
    <s v="ORD04745"/>
    <d v="2026-03-08T00:00:00"/>
    <s v="C1512"/>
    <s v="Mechanical Keyboard"/>
    <x v="1"/>
    <n v="3"/>
    <n v="1499"/>
    <n v="0.1"/>
    <s v="South"/>
    <s v="UPI"/>
    <x v="0"/>
    <n v="23745.25"/>
  </r>
  <r>
    <s v="ORD04746"/>
    <d v="2026-07-19T00:00:00"/>
    <s v="C1553"/>
    <s v="Webcam"/>
    <x v="0"/>
    <n v="5"/>
    <n v="999"/>
    <n v="0"/>
    <s v="East"/>
    <s v="Debit Card"/>
    <x v="0"/>
    <n v="4047.3"/>
  </r>
  <r>
    <s v="ORD04747"/>
    <d v="2026-06-19T00:00:00"/>
    <s v="C1761"/>
    <s v="USB-C Hub"/>
    <x v="1"/>
    <n v="2"/>
    <n v="499"/>
    <n v="0.15"/>
    <s v="Central"/>
    <s v="Net Banking"/>
    <x v="0"/>
    <n v="4995"/>
  </r>
  <r>
    <s v="ORD04748"/>
    <d v="2026-02-10T00:00:00"/>
    <s v="C1290"/>
    <s v="Wireless Mouse"/>
    <x v="3"/>
    <n v="4"/>
    <n v="499"/>
    <n v="0.15"/>
    <s v="Central"/>
    <s v="UPI"/>
    <x v="0"/>
    <n v="848.3"/>
  </r>
  <r>
    <s v="ORD04749"/>
    <d v="2026-06-14T00:00:00"/>
    <s v="C1081"/>
    <s v="Monitor"/>
    <x v="1"/>
    <n v="4"/>
    <n v="1499"/>
    <n v="0.05"/>
    <s v="Central"/>
    <s v="COD"/>
    <x v="0"/>
    <n v="1696.6"/>
  </r>
  <r>
    <s v="ORD04750"/>
    <d v="2026-07-06T00:00:00"/>
    <s v="C1248"/>
    <s v="Wireless Mouse"/>
    <x v="4"/>
    <n v="4"/>
    <n v="1999"/>
    <n v="0"/>
    <s v="South"/>
    <s v="Credit Card"/>
    <x v="0"/>
    <n v="5696.2"/>
  </r>
  <r>
    <s v="ORD04751"/>
    <d v="2026-08-17T00:00:00"/>
    <s v="C1062"/>
    <s v="Webcam"/>
    <x v="4"/>
    <n v="1"/>
    <n v="599"/>
    <n v="0"/>
    <s v="North"/>
    <s v="Net Banking"/>
    <x v="0"/>
    <n v="7996"/>
  </r>
  <r>
    <s v="ORD04752"/>
    <d v="2026-09-28T00:00:00"/>
    <s v="C1662"/>
    <s v="Wireless Mouse"/>
    <x v="0"/>
    <n v="1"/>
    <n v="799"/>
    <n v="0.15"/>
    <s v="East"/>
    <s v="COD"/>
    <x v="1"/>
    <n v="599"/>
  </r>
  <r>
    <s v="ORD04753"/>
    <d v="2026-03-22T00:00:00"/>
    <s v="C1517"/>
    <s v="Laptop Stand"/>
    <x v="2"/>
    <n v="4"/>
    <n v="999"/>
    <n v="0"/>
    <s v="West"/>
    <s v="UPI"/>
    <x v="0"/>
    <n v="679.15"/>
  </r>
  <r>
    <s v="ORD04754"/>
    <d v="2026-05-19T00:00:00"/>
    <s v="C1462"/>
    <s v="USB-C Hub"/>
    <x v="2"/>
    <n v="1"/>
    <n v="7999"/>
    <n v="0"/>
    <s v="East"/>
    <s v="COD"/>
    <x v="0"/>
    <n v="3996"/>
  </r>
  <r>
    <s v="ORD04755"/>
    <d v="2026-04-20T00:00:00"/>
    <s v="C1746"/>
    <s v="Headphones"/>
    <x v="3"/>
    <n v="3"/>
    <n v="2499"/>
    <n v="0.05"/>
    <s v="West"/>
    <s v="Net Banking"/>
    <x v="2"/>
    <n v="7999"/>
  </r>
  <r>
    <s v="ORD04756"/>
    <d v="2026-05-18T00:00:00"/>
    <s v="C1711"/>
    <s v="Bluetooth Speaker"/>
    <x v="3"/>
    <n v="1"/>
    <n v="799"/>
    <n v="0.15"/>
    <s v="East"/>
    <s v="UPI"/>
    <x v="0"/>
    <n v="7122.15"/>
  </r>
  <r>
    <s v="ORD04757"/>
    <d v="2026-06-07T00:00:00"/>
    <s v="C1268"/>
    <s v="Mechanical Keyboard"/>
    <x v="4"/>
    <n v="4"/>
    <n v="1499"/>
    <n v="0.15"/>
    <s v="East"/>
    <s v="UPI"/>
    <x v="0"/>
    <n v="679.15"/>
  </r>
  <r>
    <s v="ORD04758"/>
    <d v="2026-06-06T00:00:00"/>
    <s v="C1059"/>
    <s v="Wireless Mouse"/>
    <x v="4"/>
    <n v="4"/>
    <n v="7999"/>
    <n v="0"/>
    <s v="West"/>
    <s v="Credit Card"/>
    <x v="1"/>
    <n v="5096.5999999999995"/>
  </r>
  <r>
    <s v="ORD04759"/>
    <d v="2026-09-11T00:00:00"/>
    <s v="C1481"/>
    <s v="Power Bank"/>
    <x v="3"/>
    <n v="2"/>
    <n v="4999"/>
    <n v="0.05"/>
    <s v="North"/>
    <s v="Net Banking"/>
    <x v="0"/>
    <n v="31996"/>
  </r>
  <r>
    <s v="ORD04760"/>
    <d v="2026-07-02T00:00:00"/>
    <s v="C1757"/>
    <s v="Wireless Mouse"/>
    <x v="1"/>
    <n v="3"/>
    <n v="7999"/>
    <n v="0.05"/>
    <s v="East"/>
    <s v="Debit Card"/>
    <x v="0"/>
    <n v="9498.1"/>
  </r>
  <r>
    <s v="ORD04761"/>
    <d v="2026-03-01T00:00:00"/>
    <s v="C1697"/>
    <s v="Headphones"/>
    <x v="4"/>
    <n v="3"/>
    <n v="4999"/>
    <n v="0"/>
    <s v="Central"/>
    <s v="Net Banking"/>
    <x v="0"/>
    <n v="22797.149999999998"/>
  </r>
  <r>
    <s v="ORD04762"/>
    <d v="2026-01-09T00:00:00"/>
    <s v="C1234"/>
    <s v="Bluetooth Speaker"/>
    <x v="0"/>
    <n v="2"/>
    <n v="599"/>
    <n v="0"/>
    <s v="East"/>
    <s v="Net Banking"/>
    <x v="0"/>
    <n v="14997"/>
  </r>
  <r>
    <s v="ORD04763"/>
    <d v="2026-07-04T00:00:00"/>
    <s v="C1638"/>
    <s v="Wireless Mouse"/>
    <x v="1"/>
    <n v="1"/>
    <n v="1299"/>
    <n v="0.1"/>
    <s v="South"/>
    <s v="UPI"/>
    <x v="2"/>
    <n v="1198"/>
  </r>
  <r>
    <s v="ORD04764"/>
    <d v="2026-03-12T00:00:00"/>
    <s v="C1196"/>
    <s v="Power Bank"/>
    <x v="3"/>
    <n v="1"/>
    <n v="2499"/>
    <n v="0.15"/>
    <s v="Central"/>
    <s v="UPI"/>
    <x v="0"/>
    <n v="1169.1000000000001"/>
  </r>
  <r>
    <s v="ORD04765"/>
    <d v="2026-01-09T00:00:00"/>
    <s v="C1505"/>
    <s v="Wireless Mouse"/>
    <x v="1"/>
    <n v="4"/>
    <n v="499"/>
    <n v="0"/>
    <s v="East"/>
    <s v="COD"/>
    <x v="0"/>
    <n v="2124.15"/>
  </r>
  <r>
    <s v="ORD04766"/>
    <d v="2026-07-01T00:00:00"/>
    <s v="C1682"/>
    <s v="Laptop Stand"/>
    <x v="2"/>
    <n v="5"/>
    <n v="499"/>
    <n v="0"/>
    <s v="South"/>
    <s v="COD"/>
    <x v="0"/>
    <n v="1996"/>
  </r>
  <r>
    <s v="ORD04767"/>
    <d v="2026-04-23T00:00:00"/>
    <s v="C1619"/>
    <s v="Webcam"/>
    <x v="4"/>
    <n v="2"/>
    <n v="4999"/>
    <n v="0.15"/>
    <s v="Central"/>
    <s v="Debit Card"/>
    <x v="0"/>
    <n v="2495"/>
  </r>
  <r>
    <s v="ORD04768"/>
    <d v="2026-05-10T00:00:00"/>
    <s v="C1493"/>
    <s v="Wireless Mouse"/>
    <x v="2"/>
    <n v="1"/>
    <n v="7999"/>
    <n v="0"/>
    <s v="South"/>
    <s v="Debit Card"/>
    <x v="0"/>
    <n v="8498.2999999999993"/>
  </r>
  <r>
    <s v="ORD04769"/>
    <d v="2026-04-10T00:00:00"/>
    <s v="C1192"/>
    <s v="Wireless Mouse"/>
    <x v="1"/>
    <n v="4"/>
    <n v="999"/>
    <n v="0"/>
    <s v="North"/>
    <s v="COD"/>
    <x v="0"/>
    <n v="7999"/>
  </r>
  <r>
    <s v="ORD04770"/>
    <d v="2026-06-10T00:00:00"/>
    <s v="C1579"/>
    <s v="Headphones"/>
    <x v="2"/>
    <n v="5"/>
    <n v="2499"/>
    <n v="0.05"/>
    <s v="North"/>
    <s v="Debit Card"/>
    <x v="0"/>
    <n v="3996"/>
  </r>
  <r>
    <s v="ORD04771"/>
    <d v="2026-02-09T00:00:00"/>
    <s v="C1567"/>
    <s v="Keyboard"/>
    <x v="3"/>
    <n v="4"/>
    <n v="1999"/>
    <n v="0.1"/>
    <s v="East"/>
    <s v="COD"/>
    <x v="2"/>
    <n v="11870.25"/>
  </r>
  <r>
    <s v="ORD04772"/>
    <d v="2026-09-24T00:00:00"/>
    <s v="C1687"/>
    <s v="Headphones"/>
    <x v="4"/>
    <n v="2"/>
    <n v="499"/>
    <n v="0.05"/>
    <s v="West"/>
    <s v="Net Banking"/>
    <x v="0"/>
    <n v="7196.4000000000005"/>
  </r>
  <r>
    <s v="ORD04773"/>
    <d v="2026-05-17T00:00:00"/>
    <s v="C1752"/>
    <s v="Wireless Mouse"/>
    <x v="0"/>
    <n v="5"/>
    <n v="799"/>
    <n v="0"/>
    <s v="West"/>
    <s v="Credit Card"/>
    <x v="0"/>
    <n v="948.09999999999991"/>
  </r>
  <r>
    <s v="ORD04774"/>
    <d v="2026-06-12T00:00:00"/>
    <s v="C1081"/>
    <s v="Laptop Stand"/>
    <x v="2"/>
    <n v="1"/>
    <n v="4999"/>
    <n v="0.15"/>
    <s v="Central"/>
    <s v="Credit Card"/>
    <x v="2"/>
    <n v="3995"/>
  </r>
  <r>
    <s v="ORD04775"/>
    <d v="2026-01-11T00:00:00"/>
    <s v="C1284"/>
    <s v="Mechanical Keyboard"/>
    <x v="1"/>
    <n v="1"/>
    <n v="1999"/>
    <n v="0.1"/>
    <s v="North"/>
    <s v="UPI"/>
    <x v="0"/>
    <n v="4249.1499999999996"/>
  </r>
  <r>
    <s v="ORD04776"/>
    <d v="2026-08-31T00:00:00"/>
    <s v="C1023"/>
    <s v="Headphones"/>
    <x v="1"/>
    <n v="5"/>
    <n v="999"/>
    <n v="0.05"/>
    <s v="North"/>
    <s v="UPI"/>
    <x v="0"/>
    <n v="1799.1000000000001"/>
  </r>
  <r>
    <s v="ORD04777"/>
    <d v="2026-09-17T00:00:00"/>
    <s v="C1405"/>
    <s v="Webcam"/>
    <x v="2"/>
    <n v="2"/>
    <n v="1299"/>
    <n v="0"/>
    <s v="West"/>
    <s v="Credit Card"/>
    <x v="0"/>
    <n v="4745.25"/>
  </r>
  <r>
    <s v="ORD04778"/>
    <d v="2026-04-19T00:00:00"/>
    <s v="C1503"/>
    <s v="Monitor"/>
    <x v="2"/>
    <n v="1"/>
    <n v="7999"/>
    <n v="0"/>
    <s v="West"/>
    <s v="Credit Card"/>
    <x v="0"/>
    <n v="2598"/>
  </r>
  <r>
    <s v="ORD04779"/>
    <d v="2026-03-07T00:00:00"/>
    <s v="C1188"/>
    <s v="Headphones"/>
    <x v="1"/>
    <n v="2"/>
    <n v="1299"/>
    <n v="0.1"/>
    <s v="Central"/>
    <s v="Net Banking"/>
    <x v="2"/>
    <n v="7999"/>
  </r>
  <r>
    <s v="ORD04780"/>
    <d v="2026-09-27T00:00:00"/>
    <s v="C1029"/>
    <s v="Headphones"/>
    <x v="3"/>
    <n v="4"/>
    <n v="2499"/>
    <n v="0"/>
    <s v="West"/>
    <s v="Debit Card"/>
    <x v="0"/>
    <n v="2338.2000000000003"/>
  </r>
  <r>
    <s v="ORD04781"/>
    <d v="2026-03-18T00:00:00"/>
    <s v="C1113"/>
    <s v="Laptop Stand"/>
    <x v="0"/>
    <n v="2"/>
    <n v="799"/>
    <n v="0.1"/>
    <s v="East"/>
    <s v="Net Banking"/>
    <x v="2"/>
    <n v="9996"/>
  </r>
  <r>
    <s v="ORD04782"/>
    <d v="2026-04-29T00:00:00"/>
    <s v="C1162"/>
    <s v="Mechanical Keyboard"/>
    <x v="3"/>
    <n v="4"/>
    <n v="799"/>
    <n v="0.1"/>
    <s v="Central"/>
    <s v="Net Banking"/>
    <x v="0"/>
    <n v="1438.2"/>
  </r>
  <r>
    <s v="ORD04783"/>
    <d v="2026-05-25T00:00:00"/>
    <s v="C1662"/>
    <s v="Headphones"/>
    <x v="3"/>
    <n v="3"/>
    <n v="499"/>
    <n v="0"/>
    <s v="West"/>
    <s v="UPI"/>
    <x v="1"/>
    <n v="2876.4"/>
  </r>
  <r>
    <s v="ORD04784"/>
    <d v="2026-02-18T00:00:00"/>
    <s v="C1736"/>
    <s v="Bluetooth Speaker"/>
    <x v="0"/>
    <n v="5"/>
    <n v="999"/>
    <n v="0"/>
    <s v="Central"/>
    <s v="UPI"/>
    <x v="0"/>
    <n v="1497"/>
  </r>
  <r>
    <s v="ORD04785"/>
    <d v="2026-05-13T00:00:00"/>
    <s v="C1730"/>
    <s v="Bluetooth Speaker"/>
    <x v="0"/>
    <n v="3"/>
    <n v="999"/>
    <n v="0.15"/>
    <s v="East"/>
    <s v="COD"/>
    <x v="0"/>
    <n v="4995"/>
  </r>
  <r>
    <s v="ORD04786"/>
    <d v="2026-01-25T00:00:00"/>
    <s v="C1417"/>
    <s v="Keyboard"/>
    <x v="0"/>
    <n v="2"/>
    <n v="499"/>
    <n v="0"/>
    <s v="North"/>
    <s v="COD"/>
    <x v="0"/>
    <n v="2547.4499999999998"/>
  </r>
  <r>
    <s v="ORD04787"/>
    <d v="2026-08-05T00:00:00"/>
    <s v="C1605"/>
    <s v="Power Bank"/>
    <x v="3"/>
    <n v="3"/>
    <n v="999"/>
    <n v="0.1"/>
    <s v="East"/>
    <s v="COD"/>
    <x v="0"/>
    <n v="998"/>
  </r>
  <r>
    <s v="ORD04788"/>
    <d v="2026-04-16T00:00:00"/>
    <s v="C1339"/>
    <s v="Mechanical Keyboard"/>
    <x v="1"/>
    <n v="1"/>
    <n v="7999"/>
    <n v="0.1"/>
    <s v="South"/>
    <s v="Credit Card"/>
    <x v="0"/>
    <n v="2697.3"/>
  </r>
  <r>
    <s v="ORD04789"/>
    <d v="2026-01-22T00:00:00"/>
    <s v="C1338"/>
    <s v="Mechanical Keyboard"/>
    <x v="4"/>
    <n v="5"/>
    <n v="1999"/>
    <n v="0.15"/>
    <s v="North"/>
    <s v="Net Banking"/>
    <x v="2"/>
    <n v="7199.1"/>
  </r>
  <r>
    <s v="ORD04790"/>
    <d v="2026-04-07T00:00:00"/>
    <s v="C1271"/>
    <s v="Power Bank"/>
    <x v="2"/>
    <n v="2"/>
    <n v="1299"/>
    <n v="0"/>
    <s v="Central"/>
    <s v="UPI"/>
    <x v="2"/>
    <n v="8495.75"/>
  </r>
  <r>
    <s v="ORD04791"/>
    <d v="2026-04-26T00:00:00"/>
    <s v="C1772"/>
    <s v="Laptop Stand"/>
    <x v="0"/>
    <n v="5"/>
    <n v="1299"/>
    <n v="0"/>
    <s v="West"/>
    <s v="Debit Card"/>
    <x v="1"/>
    <n v="2598"/>
  </r>
  <r>
    <s v="ORD04792"/>
    <d v="2026-07-21T00:00:00"/>
    <s v="C1647"/>
    <s v="Monitor"/>
    <x v="3"/>
    <n v="5"/>
    <n v="1299"/>
    <n v="0.05"/>
    <s v="West"/>
    <s v="UPI"/>
    <x v="1"/>
    <n v="6495"/>
  </r>
  <r>
    <s v="ORD04793"/>
    <d v="2026-09-15T00:00:00"/>
    <s v="C1176"/>
    <s v="Mechanical Keyboard"/>
    <x v="0"/>
    <n v="4"/>
    <n v="599"/>
    <n v="0"/>
    <s v="Central"/>
    <s v="COD"/>
    <x v="2"/>
    <n v="6170.25"/>
  </r>
  <r>
    <s v="ORD04794"/>
    <d v="2026-09-22T00:00:00"/>
    <s v="C1514"/>
    <s v="Power Bank"/>
    <x v="0"/>
    <n v="3"/>
    <n v="1999"/>
    <n v="0"/>
    <s v="North"/>
    <s v="Credit Card"/>
    <x v="0"/>
    <n v="2396"/>
  </r>
  <r>
    <s v="ORD04795"/>
    <d v="2026-08-03T00:00:00"/>
    <s v="C1306"/>
    <s v="Power Bank"/>
    <x v="0"/>
    <n v="3"/>
    <n v="599"/>
    <n v="0"/>
    <s v="East"/>
    <s v="Debit Card"/>
    <x v="0"/>
    <n v="5997"/>
  </r>
  <r>
    <s v="ORD04796"/>
    <d v="2026-01-18T00:00:00"/>
    <s v="C1187"/>
    <s v="Headphones"/>
    <x v="2"/>
    <n v="3"/>
    <n v="4999"/>
    <n v="0"/>
    <s v="Central"/>
    <s v="UPI"/>
    <x v="2"/>
    <n v="1797"/>
  </r>
  <r>
    <s v="ORD04797"/>
    <d v="2026-02-17T00:00:00"/>
    <s v="C1179"/>
    <s v="Keyboard"/>
    <x v="3"/>
    <n v="2"/>
    <n v="2499"/>
    <n v="0.15"/>
    <s v="Central"/>
    <s v="Credit Card"/>
    <x v="0"/>
    <n v="14997"/>
  </r>
  <r>
    <s v="ORD04798"/>
    <d v="2026-07-17T00:00:00"/>
    <s v="C1678"/>
    <s v="Mechanical Keyboard"/>
    <x v="0"/>
    <n v="1"/>
    <n v="499"/>
    <n v="0"/>
    <s v="North"/>
    <s v="UPI"/>
    <x v="0"/>
    <n v="4248.3"/>
  </r>
  <r>
    <s v="ORD04799"/>
    <d v="2026-01-29T00:00:00"/>
    <s v="C1709"/>
    <s v="Wireless Mouse"/>
    <x v="0"/>
    <n v="2"/>
    <n v="999"/>
    <n v="0"/>
    <s v="East"/>
    <s v="Net Banking"/>
    <x v="1"/>
    <n v="499"/>
  </r>
  <r>
    <s v="ORD04800"/>
    <d v="2026-05-19T00:00:00"/>
    <s v="C1723"/>
    <s v="Headphones"/>
    <x v="3"/>
    <n v="3"/>
    <n v="499"/>
    <n v="0.15"/>
    <s v="West"/>
    <s v="Debit Card"/>
    <x v="2"/>
    <n v="1998"/>
  </r>
  <r>
    <s v="ORD04801"/>
    <d v="2026-03-06T00:00:00"/>
    <s v="C1626"/>
    <s v="USB-C Hub"/>
    <x v="0"/>
    <n v="1"/>
    <n v="599"/>
    <n v="0.05"/>
    <s v="East"/>
    <s v="Debit Card"/>
    <x v="0"/>
    <n v="1272.45"/>
  </r>
  <r>
    <s v="ORD04802"/>
    <d v="2026-08-08T00:00:00"/>
    <s v="C1295"/>
    <s v="Wireless Mouse"/>
    <x v="3"/>
    <n v="5"/>
    <n v="2499"/>
    <n v="0"/>
    <s v="North"/>
    <s v="Net Banking"/>
    <x v="1"/>
    <n v="569.04999999999995"/>
  </r>
  <r>
    <s v="ORD04803"/>
    <d v="2026-08-30T00:00:00"/>
    <s v="C1579"/>
    <s v="Monitor"/>
    <x v="4"/>
    <n v="3"/>
    <n v="999"/>
    <n v="0"/>
    <s v="North"/>
    <s v="Debit Card"/>
    <x v="0"/>
    <n v="12495"/>
  </r>
  <r>
    <s v="ORD04804"/>
    <d v="2026-09-17T00:00:00"/>
    <s v="C1120"/>
    <s v="Bluetooth Speaker"/>
    <x v="1"/>
    <n v="3"/>
    <n v="2499"/>
    <n v="0.05"/>
    <s v="Central"/>
    <s v="COD"/>
    <x v="1"/>
    <n v="2997"/>
  </r>
  <r>
    <s v="ORD04805"/>
    <d v="2026-06-21T00:00:00"/>
    <s v="C1270"/>
    <s v="Wireless Mouse"/>
    <x v="4"/>
    <n v="1"/>
    <n v="4999"/>
    <n v="0.05"/>
    <s v="South"/>
    <s v="Debit Card"/>
    <x v="0"/>
    <n v="7122.15"/>
  </r>
  <r>
    <s v="ORD04806"/>
    <d v="2026-03-07T00:00:00"/>
    <s v="C1286"/>
    <s v="Wireless Mouse"/>
    <x v="1"/>
    <n v="1"/>
    <n v="1999"/>
    <n v="0"/>
    <s v="East"/>
    <s v="UPI"/>
    <x v="0"/>
    <n v="4749.05"/>
  </r>
  <r>
    <s v="ORD04807"/>
    <d v="2026-03-22T00:00:00"/>
    <s v="C1743"/>
    <s v="Wireless Mouse"/>
    <x v="4"/>
    <n v="2"/>
    <n v="999"/>
    <n v="0.1"/>
    <s v="North"/>
    <s v="COD"/>
    <x v="0"/>
    <n v="1999"/>
  </r>
  <r>
    <s v="ORD04808"/>
    <d v="2026-08-18T00:00:00"/>
    <s v="C1108"/>
    <s v="Laptop Stand"/>
    <x v="1"/>
    <n v="4"/>
    <n v="599"/>
    <n v="0"/>
    <s v="East"/>
    <s v="Credit Card"/>
    <x v="0"/>
    <n v="1798.2"/>
  </r>
  <r>
    <s v="ORD04809"/>
    <d v="2026-02-18T00:00:00"/>
    <s v="C1698"/>
    <s v="Webcam"/>
    <x v="2"/>
    <n v="5"/>
    <n v="7999"/>
    <n v="0"/>
    <s v="North"/>
    <s v="UPI"/>
    <x v="1"/>
    <n v="2396"/>
  </r>
  <r>
    <s v="ORD04810"/>
    <d v="2026-04-21T00:00:00"/>
    <s v="C1401"/>
    <s v="Monitor"/>
    <x v="4"/>
    <n v="1"/>
    <n v="499"/>
    <n v="0.1"/>
    <s v="Central"/>
    <s v="Net Banking"/>
    <x v="0"/>
    <n v="39995"/>
  </r>
  <r>
    <s v="ORD04811"/>
    <d v="2026-05-27T00:00:00"/>
    <s v="C1651"/>
    <s v="Headphones"/>
    <x v="2"/>
    <n v="3"/>
    <n v="1499"/>
    <n v="0"/>
    <s v="Central"/>
    <s v="Debit Card"/>
    <x v="2"/>
    <n v="449.1"/>
  </r>
  <r>
    <s v="ORD04812"/>
    <d v="2026-07-04T00:00:00"/>
    <s v="C1008"/>
    <s v="Wireless Mouse"/>
    <x v="0"/>
    <n v="5"/>
    <n v="599"/>
    <n v="0.1"/>
    <s v="North"/>
    <s v="UPI"/>
    <x v="0"/>
    <n v="4497"/>
  </r>
  <r>
    <s v="ORD04813"/>
    <d v="2026-08-13T00:00:00"/>
    <s v="C1127"/>
    <s v="Bluetooth Speaker"/>
    <x v="1"/>
    <n v="2"/>
    <n v="1499"/>
    <n v="0.15"/>
    <s v="Central"/>
    <s v="COD"/>
    <x v="0"/>
    <n v="2695.5"/>
  </r>
  <r>
    <s v="ORD04814"/>
    <d v="2026-04-29T00:00:00"/>
    <s v="C1284"/>
    <s v="USB-C Hub"/>
    <x v="4"/>
    <n v="3"/>
    <n v="2499"/>
    <n v="0.1"/>
    <s v="West"/>
    <s v="COD"/>
    <x v="1"/>
    <n v="2548.2999999999997"/>
  </r>
  <r>
    <s v="ORD04815"/>
    <d v="2026-02-18T00:00:00"/>
    <s v="C1346"/>
    <s v="Laptop Stand"/>
    <x v="2"/>
    <n v="1"/>
    <n v="499"/>
    <n v="0"/>
    <s v="Central"/>
    <s v="Net Banking"/>
    <x v="0"/>
    <n v="6747.3"/>
  </r>
  <r>
    <s v="ORD04816"/>
    <d v="2026-06-01T00:00:00"/>
    <s v="C1184"/>
    <s v="USB-C Hub"/>
    <x v="1"/>
    <n v="4"/>
    <n v="1499"/>
    <n v="0"/>
    <s v="North"/>
    <s v="Debit Card"/>
    <x v="0"/>
    <n v="499"/>
  </r>
  <r>
    <s v="ORD04817"/>
    <d v="2026-03-02T00:00:00"/>
    <s v="C1024"/>
    <s v="Mechanical Keyboard"/>
    <x v="4"/>
    <n v="1"/>
    <n v="1999"/>
    <n v="0"/>
    <s v="North"/>
    <s v="UPI"/>
    <x v="1"/>
    <n v="5996"/>
  </r>
  <r>
    <s v="ORD04818"/>
    <d v="2026-08-02T00:00:00"/>
    <s v="C1688"/>
    <s v="Headphones"/>
    <x v="1"/>
    <n v="3"/>
    <n v="599"/>
    <n v="0"/>
    <s v="West"/>
    <s v="COD"/>
    <x v="0"/>
    <n v="1999"/>
  </r>
  <r>
    <s v="ORD04819"/>
    <d v="2026-02-06T00:00:00"/>
    <s v="C1340"/>
    <s v="Webcam"/>
    <x v="3"/>
    <n v="3"/>
    <n v="499"/>
    <n v="0.15"/>
    <s v="Central"/>
    <s v="UPI"/>
    <x v="0"/>
    <n v="1797"/>
  </r>
  <r>
    <s v="ORD04820"/>
    <d v="2026-06-13T00:00:00"/>
    <s v="C1621"/>
    <s v="Monitor"/>
    <x v="1"/>
    <n v="4"/>
    <n v="1999"/>
    <n v="0"/>
    <s v="East"/>
    <s v="Net Banking"/>
    <x v="0"/>
    <n v="1272.45"/>
  </r>
  <r>
    <s v="ORD04821"/>
    <d v="2026-09-11T00:00:00"/>
    <s v="C1466"/>
    <s v="Keyboard"/>
    <x v="2"/>
    <n v="3"/>
    <n v="1999"/>
    <n v="0"/>
    <s v="South"/>
    <s v="Credit Card"/>
    <x v="0"/>
    <n v="7996"/>
  </r>
  <r>
    <s v="ORD04822"/>
    <d v="2026-01-03T00:00:00"/>
    <s v="C1452"/>
    <s v="Keyboard"/>
    <x v="0"/>
    <n v="3"/>
    <n v="4999"/>
    <n v="0.1"/>
    <s v="South"/>
    <s v="Debit Card"/>
    <x v="0"/>
    <n v="5997"/>
  </r>
  <r>
    <s v="ORD04823"/>
    <d v="2026-09-22T00:00:00"/>
    <s v="C1265"/>
    <s v="Laptop Stand"/>
    <x v="2"/>
    <n v="4"/>
    <n v="799"/>
    <n v="0.15"/>
    <s v="North"/>
    <s v="Net Banking"/>
    <x v="0"/>
    <n v="13497.300000000001"/>
  </r>
  <r>
    <s v="ORD04824"/>
    <d v="2026-06-18T00:00:00"/>
    <s v="C1222"/>
    <s v="Bluetooth Speaker"/>
    <x v="0"/>
    <n v="1"/>
    <n v="4999"/>
    <n v="0"/>
    <s v="North"/>
    <s v="UPI"/>
    <x v="0"/>
    <n v="2716.6"/>
  </r>
  <r>
    <s v="ORD04825"/>
    <d v="2026-02-13T00:00:00"/>
    <s v="C1610"/>
    <s v="Bluetooth Speaker"/>
    <x v="2"/>
    <n v="2"/>
    <n v="599"/>
    <n v="0.1"/>
    <s v="North"/>
    <s v="Net Banking"/>
    <x v="0"/>
    <n v="4999"/>
  </r>
  <r>
    <s v="ORD04826"/>
    <d v="2026-02-11T00:00:00"/>
    <s v="C1376"/>
    <s v="Headphones"/>
    <x v="3"/>
    <n v="1"/>
    <n v="499"/>
    <n v="0"/>
    <s v="West"/>
    <s v="COD"/>
    <x v="0"/>
    <n v="1078.2"/>
  </r>
  <r>
    <s v="ORD04827"/>
    <d v="2026-07-13T00:00:00"/>
    <s v="C1179"/>
    <s v="Laptop Stand"/>
    <x v="0"/>
    <n v="5"/>
    <n v="2499"/>
    <n v="0.1"/>
    <s v="Central"/>
    <s v="Debit Card"/>
    <x v="0"/>
    <n v="499"/>
  </r>
  <r>
    <s v="ORD04828"/>
    <d v="2026-08-01T00:00:00"/>
    <s v="C1551"/>
    <s v="Wireless Mouse"/>
    <x v="2"/>
    <n v="1"/>
    <n v="2499"/>
    <n v="0.15"/>
    <s v="Central"/>
    <s v="Debit Card"/>
    <x v="2"/>
    <n v="11245.5"/>
  </r>
  <r>
    <s v="ORD04829"/>
    <d v="2026-04-22T00:00:00"/>
    <s v="C1366"/>
    <s v="Monitor"/>
    <x v="1"/>
    <n v="1"/>
    <n v="7999"/>
    <n v="0.1"/>
    <s v="South"/>
    <s v="Debit Card"/>
    <x v="0"/>
    <n v="2124.15"/>
  </r>
  <r>
    <s v="ORD04830"/>
    <d v="2026-01-12T00:00:00"/>
    <s v="C1279"/>
    <s v="Keyboard"/>
    <x v="4"/>
    <n v="2"/>
    <n v="1299"/>
    <n v="0.15"/>
    <s v="West"/>
    <s v="Debit Card"/>
    <x v="2"/>
    <n v="7199.1"/>
  </r>
  <r>
    <s v="ORD04831"/>
    <d v="2026-03-06T00:00:00"/>
    <s v="C1640"/>
    <s v="Keyboard"/>
    <x v="1"/>
    <n v="3"/>
    <n v="7999"/>
    <n v="0"/>
    <s v="East"/>
    <s v="Debit Card"/>
    <x v="2"/>
    <n v="2208.2999999999997"/>
  </r>
  <r>
    <s v="ORD04832"/>
    <d v="2026-01-09T00:00:00"/>
    <s v="C1006"/>
    <s v="Laptop Stand"/>
    <x v="1"/>
    <n v="5"/>
    <n v="499"/>
    <n v="0"/>
    <s v="East"/>
    <s v="COD"/>
    <x v="0"/>
    <n v="23997"/>
  </r>
  <r>
    <s v="ORD04833"/>
    <d v="2026-06-28T00:00:00"/>
    <s v="C1602"/>
    <s v="Bluetooth Speaker"/>
    <x v="3"/>
    <n v="4"/>
    <n v="7999"/>
    <n v="0.05"/>
    <s v="West"/>
    <s v="COD"/>
    <x v="0"/>
    <n v="2495"/>
  </r>
  <r>
    <s v="ORD04834"/>
    <d v="2026-09-07T00:00:00"/>
    <s v="C1116"/>
    <s v="Mechanical Keyboard"/>
    <x v="3"/>
    <n v="5"/>
    <n v="799"/>
    <n v="0"/>
    <s v="West"/>
    <s v="UPI"/>
    <x v="1"/>
    <n v="30396.199999999997"/>
  </r>
  <r>
    <s v="ORD04835"/>
    <d v="2026-03-15T00:00:00"/>
    <s v="C1630"/>
    <s v="Mechanical Keyboard"/>
    <x v="4"/>
    <n v="2"/>
    <n v="599"/>
    <n v="0"/>
    <s v="West"/>
    <s v="Credit Card"/>
    <x v="0"/>
    <n v="3995"/>
  </r>
  <r>
    <s v="ORD04836"/>
    <d v="2026-05-13T00:00:00"/>
    <s v="C1232"/>
    <s v="Keyboard"/>
    <x v="4"/>
    <n v="4"/>
    <n v="4999"/>
    <n v="0.05"/>
    <s v="North"/>
    <s v="Debit Card"/>
    <x v="0"/>
    <n v="1198"/>
  </r>
  <r>
    <s v="ORD04837"/>
    <d v="2026-07-28T00:00:00"/>
    <s v="C1005"/>
    <s v="Laptop Stand"/>
    <x v="1"/>
    <n v="4"/>
    <n v="7999"/>
    <n v="0"/>
    <s v="West"/>
    <s v="Debit Card"/>
    <x v="2"/>
    <n v="18996.2"/>
  </r>
  <r>
    <s v="ORD04838"/>
    <d v="2026-08-16T00:00:00"/>
    <s v="C1008"/>
    <s v="Laptop Stand"/>
    <x v="2"/>
    <n v="5"/>
    <n v="7999"/>
    <n v="0"/>
    <s v="West"/>
    <s v="Net Banking"/>
    <x v="0"/>
    <n v="31996"/>
  </r>
  <r>
    <s v="ORD04839"/>
    <d v="2026-02-12T00:00:00"/>
    <s v="C1690"/>
    <s v="Keyboard"/>
    <x v="0"/>
    <n v="2"/>
    <n v="1299"/>
    <n v="0.05"/>
    <s v="East"/>
    <s v="Net Banking"/>
    <x v="2"/>
    <n v="39995"/>
  </r>
  <r>
    <s v="ORD04840"/>
    <d v="2026-03-12T00:00:00"/>
    <s v="C1219"/>
    <s v="Laptop Stand"/>
    <x v="2"/>
    <n v="2"/>
    <n v="2499"/>
    <n v="0.1"/>
    <s v="North"/>
    <s v="Debit Card"/>
    <x v="2"/>
    <n v="2468.1"/>
  </r>
  <r>
    <s v="ORD04841"/>
    <d v="2026-09-15T00:00:00"/>
    <s v="C1360"/>
    <s v="USB-C Hub"/>
    <x v="1"/>
    <n v="5"/>
    <n v="1299"/>
    <n v="0.1"/>
    <s v="East"/>
    <s v="Credit Card"/>
    <x v="0"/>
    <n v="4498.2"/>
  </r>
  <r>
    <s v="ORD04842"/>
    <d v="2026-02-26T00:00:00"/>
    <s v="C1229"/>
    <s v="USB-C Hub"/>
    <x v="0"/>
    <n v="3"/>
    <n v="1999"/>
    <n v="0.1"/>
    <s v="East"/>
    <s v="COD"/>
    <x v="1"/>
    <n v="5845.5"/>
  </r>
  <r>
    <s v="ORD04843"/>
    <d v="2026-04-10T00:00:00"/>
    <s v="C1153"/>
    <s v="Mechanical Keyboard"/>
    <x v="4"/>
    <n v="3"/>
    <n v="999"/>
    <n v="0.15"/>
    <s v="West"/>
    <s v="Credit Card"/>
    <x v="1"/>
    <n v="5397.3"/>
  </r>
  <r>
    <s v="ORD04844"/>
    <d v="2026-04-02T00:00:00"/>
    <s v="C1246"/>
    <s v="USB-C Hub"/>
    <x v="0"/>
    <n v="4"/>
    <n v="499"/>
    <n v="0.15"/>
    <s v="East"/>
    <s v="UPI"/>
    <x v="0"/>
    <n v="2547.4499999999998"/>
  </r>
  <r>
    <s v="ORD04845"/>
    <d v="2026-01-13T00:00:00"/>
    <s v="C1604"/>
    <s v="Keyboard"/>
    <x v="3"/>
    <n v="3"/>
    <n v="7999"/>
    <n v="0.15"/>
    <s v="North"/>
    <s v="Net Banking"/>
    <x v="0"/>
    <n v="1696.6"/>
  </r>
  <r>
    <s v="ORD04846"/>
    <d v="2026-01-14T00:00:00"/>
    <s v="C1364"/>
    <s v="Bluetooth Speaker"/>
    <x v="4"/>
    <n v="4"/>
    <n v="1499"/>
    <n v="0"/>
    <s v="West"/>
    <s v="COD"/>
    <x v="0"/>
    <n v="20397.45"/>
  </r>
  <r>
    <s v="ORD04847"/>
    <d v="2026-07-31T00:00:00"/>
    <s v="C1075"/>
    <s v="Headphones"/>
    <x v="0"/>
    <n v="4"/>
    <n v="1499"/>
    <n v="0"/>
    <s v="North"/>
    <s v="COD"/>
    <x v="2"/>
    <n v="5996"/>
  </r>
  <r>
    <s v="ORD04848"/>
    <d v="2026-01-12T00:00:00"/>
    <s v="C1403"/>
    <s v="Mechanical Keyboard"/>
    <x v="3"/>
    <n v="2"/>
    <n v="1299"/>
    <n v="0"/>
    <s v="Central"/>
    <s v="UPI"/>
    <x v="0"/>
    <n v="5996"/>
  </r>
  <r>
    <s v="ORD04849"/>
    <d v="2026-02-21T00:00:00"/>
    <s v="C1069"/>
    <s v="Webcam"/>
    <x v="2"/>
    <n v="3"/>
    <n v="7999"/>
    <n v="0"/>
    <s v="North"/>
    <s v="Debit Card"/>
    <x v="0"/>
    <n v="2598"/>
  </r>
  <r>
    <s v="ORD04850"/>
    <d v="2026-08-19T00:00:00"/>
    <s v="C1427"/>
    <s v="Monitor"/>
    <x v="4"/>
    <n v="4"/>
    <n v="1499"/>
    <n v="0"/>
    <s v="West"/>
    <s v="COD"/>
    <x v="0"/>
    <n v="23997"/>
  </r>
  <r>
    <s v="ORD04851"/>
    <d v="2026-07-29T00:00:00"/>
    <s v="C1111"/>
    <s v="Wireless Mouse"/>
    <x v="0"/>
    <n v="4"/>
    <n v="999"/>
    <n v="0.05"/>
    <s v="North"/>
    <s v="Debit Card"/>
    <x v="0"/>
    <n v="5996"/>
  </r>
  <r>
    <s v="ORD04852"/>
    <d v="2026-04-22T00:00:00"/>
    <s v="C1747"/>
    <s v="Monitor"/>
    <x v="3"/>
    <n v="5"/>
    <n v="999"/>
    <n v="0"/>
    <s v="Central"/>
    <s v="Credit Card"/>
    <x v="0"/>
    <n v="3796.2"/>
  </r>
  <r>
    <s v="ORD04853"/>
    <d v="2026-09-06T00:00:00"/>
    <s v="C1470"/>
    <s v="USB-C Hub"/>
    <x v="2"/>
    <n v="4"/>
    <n v="7999"/>
    <n v="0.15"/>
    <s v="South"/>
    <s v="Debit Card"/>
    <x v="2"/>
    <n v="4995"/>
  </r>
  <r>
    <s v="ORD04854"/>
    <d v="2026-04-08T00:00:00"/>
    <s v="C1796"/>
    <s v="Monitor"/>
    <x v="2"/>
    <n v="3"/>
    <n v="499"/>
    <n v="0.15"/>
    <s v="South"/>
    <s v="COD"/>
    <x v="0"/>
    <n v="27196.6"/>
  </r>
  <r>
    <s v="ORD04855"/>
    <d v="2026-08-15T00:00:00"/>
    <s v="C1274"/>
    <s v="Keyboard"/>
    <x v="2"/>
    <n v="3"/>
    <n v="4999"/>
    <n v="0"/>
    <s v="Central"/>
    <s v="UPI"/>
    <x v="1"/>
    <n v="1272.45"/>
  </r>
  <r>
    <s v="ORD04856"/>
    <d v="2026-08-04T00:00:00"/>
    <s v="C1012"/>
    <s v="Webcam"/>
    <x v="1"/>
    <n v="2"/>
    <n v="7999"/>
    <n v="0.05"/>
    <s v="Central"/>
    <s v="Debit Card"/>
    <x v="0"/>
    <n v="14997"/>
  </r>
  <r>
    <s v="ORD04857"/>
    <d v="2026-04-29T00:00:00"/>
    <s v="C1340"/>
    <s v="Webcam"/>
    <x v="2"/>
    <n v="5"/>
    <n v="1499"/>
    <n v="0.1"/>
    <s v="West"/>
    <s v="COD"/>
    <x v="0"/>
    <n v="15198.099999999999"/>
  </r>
  <r>
    <s v="ORD04858"/>
    <d v="2026-05-30T00:00:00"/>
    <s v="C1710"/>
    <s v="Headphones"/>
    <x v="3"/>
    <n v="1"/>
    <n v="1999"/>
    <n v="0"/>
    <s v="Central"/>
    <s v="Debit Card"/>
    <x v="1"/>
    <n v="6745.5"/>
  </r>
  <r>
    <s v="ORD04859"/>
    <d v="2026-07-31T00:00:00"/>
    <s v="C1288"/>
    <s v="Mechanical Keyboard"/>
    <x v="0"/>
    <n v="2"/>
    <n v="2499"/>
    <n v="0.1"/>
    <s v="Central"/>
    <s v="Credit Card"/>
    <x v="0"/>
    <n v="1999"/>
  </r>
  <r>
    <s v="ORD04860"/>
    <d v="2026-07-13T00:00:00"/>
    <s v="C1746"/>
    <s v="Headphones"/>
    <x v="1"/>
    <n v="2"/>
    <n v="1999"/>
    <n v="0"/>
    <s v="East"/>
    <s v="Credit Card"/>
    <x v="2"/>
    <n v="4498.2"/>
  </r>
  <r>
    <s v="ORD04861"/>
    <d v="2026-08-04T00:00:00"/>
    <s v="C1769"/>
    <s v="Bluetooth Speaker"/>
    <x v="3"/>
    <n v="3"/>
    <n v="7999"/>
    <n v="0"/>
    <s v="South"/>
    <s v="UPI"/>
    <x v="0"/>
    <n v="3998"/>
  </r>
  <r>
    <s v="ORD04862"/>
    <d v="2026-07-07T00:00:00"/>
    <s v="C1714"/>
    <s v="Webcam"/>
    <x v="1"/>
    <n v="4"/>
    <n v="1499"/>
    <n v="0.1"/>
    <s v="East"/>
    <s v="Net Banking"/>
    <x v="0"/>
    <n v="23997"/>
  </r>
  <r>
    <s v="ORD04863"/>
    <d v="2026-01-03T00:00:00"/>
    <s v="C1800"/>
    <s v="Power Bank"/>
    <x v="2"/>
    <n v="2"/>
    <n v="1999"/>
    <n v="0"/>
    <s v="North"/>
    <s v="Credit Card"/>
    <x v="0"/>
    <n v="5396.4000000000005"/>
  </r>
  <r>
    <s v="ORD04864"/>
    <d v="2026-03-08T00:00:00"/>
    <s v="C1126"/>
    <s v="Wireless Mouse"/>
    <x v="1"/>
    <n v="1"/>
    <n v="1999"/>
    <n v="0"/>
    <s v="Central"/>
    <s v="COD"/>
    <x v="2"/>
    <n v="3998"/>
  </r>
  <r>
    <s v="ORD04865"/>
    <d v="2026-06-02T00:00:00"/>
    <s v="C1638"/>
    <s v="Monitor"/>
    <x v="1"/>
    <n v="2"/>
    <n v="499"/>
    <n v="0.15"/>
    <s v="Central"/>
    <s v="Net Banking"/>
    <x v="0"/>
    <n v="1999"/>
  </r>
  <r>
    <s v="ORD04866"/>
    <d v="2026-04-01T00:00:00"/>
    <s v="C1758"/>
    <s v="Power Bank"/>
    <x v="4"/>
    <n v="5"/>
    <n v="4999"/>
    <n v="0.15"/>
    <s v="West"/>
    <s v="Debit Card"/>
    <x v="0"/>
    <n v="848.3"/>
  </r>
  <r>
    <s v="ORD04867"/>
    <d v="2026-06-24T00:00:00"/>
    <s v="C1582"/>
    <s v="Mechanical Keyboard"/>
    <x v="1"/>
    <n v="2"/>
    <n v="999"/>
    <n v="0.15"/>
    <s v="East"/>
    <s v="Net Banking"/>
    <x v="0"/>
    <n v="21245.75"/>
  </r>
  <r>
    <s v="ORD04868"/>
    <d v="2026-07-03T00:00:00"/>
    <s v="C1648"/>
    <s v="Webcam"/>
    <x v="2"/>
    <n v="1"/>
    <n v="599"/>
    <n v="0.15"/>
    <s v="West"/>
    <s v="Debit Card"/>
    <x v="0"/>
    <n v="1698.3"/>
  </r>
  <r>
    <s v="ORD04869"/>
    <d v="2026-06-19T00:00:00"/>
    <s v="C1637"/>
    <s v="Monitor"/>
    <x v="3"/>
    <n v="3"/>
    <n v="799"/>
    <n v="0.1"/>
    <s v="North"/>
    <s v="UPI"/>
    <x v="0"/>
    <n v="509.15"/>
  </r>
  <r>
    <s v="ORD04870"/>
    <d v="2026-06-22T00:00:00"/>
    <s v="C1633"/>
    <s v="Wireless Mouse"/>
    <x v="2"/>
    <n v="5"/>
    <n v="4999"/>
    <n v="0.05"/>
    <s v="Central"/>
    <s v="Debit Card"/>
    <x v="2"/>
    <n v="2157.3000000000002"/>
  </r>
  <r>
    <s v="ORD04871"/>
    <d v="2026-05-25T00:00:00"/>
    <s v="C1188"/>
    <s v="Wireless Mouse"/>
    <x v="0"/>
    <n v="5"/>
    <n v="4999"/>
    <n v="0.1"/>
    <s v="Central"/>
    <s v="UPI"/>
    <x v="1"/>
    <n v="23745.25"/>
  </r>
  <r>
    <s v="ORD04872"/>
    <d v="2026-08-31T00:00:00"/>
    <s v="C1706"/>
    <s v="Power Bank"/>
    <x v="1"/>
    <n v="5"/>
    <n v="799"/>
    <n v="0.15"/>
    <s v="Central"/>
    <s v="COD"/>
    <x v="2"/>
    <n v="22495.5"/>
  </r>
  <r>
    <s v="ORD04873"/>
    <d v="2026-05-21T00:00:00"/>
    <s v="C1774"/>
    <s v="Mechanical Keyboard"/>
    <x v="2"/>
    <n v="1"/>
    <n v="799"/>
    <n v="0.05"/>
    <s v="South"/>
    <s v="Net Banking"/>
    <x v="0"/>
    <n v="3395.75"/>
  </r>
  <r>
    <s v="ORD04874"/>
    <d v="2026-02-13T00:00:00"/>
    <s v="C1728"/>
    <s v="USB-C Hub"/>
    <x v="1"/>
    <n v="2"/>
    <n v="7999"/>
    <n v="0"/>
    <s v="North"/>
    <s v="Debit Card"/>
    <x v="1"/>
    <n v="759.05"/>
  </r>
  <r>
    <s v="ORD04875"/>
    <d v="2026-03-23T00:00:00"/>
    <s v="C1632"/>
    <s v="Bluetooth Speaker"/>
    <x v="0"/>
    <n v="1"/>
    <n v="999"/>
    <n v="0.1"/>
    <s v="Central"/>
    <s v="COD"/>
    <x v="0"/>
    <n v="15998"/>
  </r>
  <r>
    <s v="ORD04876"/>
    <d v="2026-01-16T00:00:00"/>
    <s v="C1738"/>
    <s v="Wireless Mouse"/>
    <x v="2"/>
    <n v="1"/>
    <n v="1299"/>
    <n v="0.1"/>
    <s v="South"/>
    <s v="Net Banking"/>
    <x v="0"/>
    <n v="899.1"/>
  </r>
  <r>
    <s v="ORD04877"/>
    <d v="2026-07-06T00:00:00"/>
    <s v="C1065"/>
    <s v="Webcam"/>
    <x v="4"/>
    <n v="5"/>
    <n v="799"/>
    <n v="0"/>
    <s v="South"/>
    <s v="Net Banking"/>
    <x v="1"/>
    <n v="1169.1000000000001"/>
  </r>
  <r>
    <s v="ORD04878"/>
    <d v="2026-05-31T00:00:00"/>
    <s v="C1321"/>
    <s v="Wireless Mouse"/>
    <x v="0"/>
    <n v="3"/>
    <n v="599"/>
    <n v="0.1"/>
    <s v="East"/>
    <s v="Credit Card"/>
    <x v="0"/>
    <n v="3995"/>
  </r>
  <r>
    <s v="ORD04879"/>
    <d v="2026-05-25T00:00:00"/>
    <s v="C1635"/>
    <s v="Wireless Mouse"/>
    <x v="3"/>
    <n v="3"/>
    <n v="1499"/>
    <n v="0"/>
    <s v="Central"/>
    <s v="UPI"/>
    <x v="0"/>
    <n v="1617.3"/>
  </r>
  <r>
    <s v="ORD04880"/>
    <d v="2026-08-05T00:00:00"/>
    <s v="C1212"/>
    <s v="Mechanical Keyboard"/>
    <x v="0"/>
    <n v="4"/>
    <n v="2499"/>
    <n v="0"/>
    <s v="Central"/>
    <s v="Debit Card"/>
    <x v="0"/>
    <n v="4497"/>
  </r>
  <r>
    <s v="ORD04881"/>
    <d v="2026-07-17T00:00:00"/>
    <s v="C1142"/>
    <s v="Power Bank"/>
    <x v="2"/>
    <n v="3"/>
    <n v="2499"/>
    <n v="0"/>
    <s v="East"/>
    <s v="UPI"/>
    <x v="1"/>
    <n v="9996"/>
  </r>
  <r>
    <s v="ORD04882"/>
    <d v="2026-01-21T00:00:00"/>
    <s v="C1630"/>
    <s v="Headphones"/>
    <x v="1"/>
    <n v="1"/>
    <n v="1299"/>
    <n v="0"/>
    <s v="North"/>
    <s v="Debit Card"/>
    <x v="0"/>
    <n v="7497"/>
  </r>
  <r>
    <s v="ORD04883"/>
    <d v="2026-01-26T00:00:00"/>
    <s v="C1657"/>
    <s v="Bluetooth Speaker"/>
    <x v="1"/>
    <n v="1"/>
    <n v="7999"/>
    <n v="0.1"/>
    <s v="Central"/>
    <s v="UPI"/>
    <x v="0"/>
    <n v="1299"/>
  </r>
  <r>
    <s v="ORD04884"/>
    <d v="2026-03-17T00:00:00"/>
    <s v="C1632"/>
    <s v="Keyboard"/>
    <x v="3"/>
    <n v="2"/>
    <n v="1299"/>
    <n v="0.05"/>
    <s v="West"/>
    <s v="Credit Card"/>
    <x v="0"/>
    <n v="7199.1"/>
  </r>
  <r>
    <s v="ORD04885"/>
    <d v="2026-07-27T00:00:00"/>
    <s v="C1516"/>
    <s v="Monitor"/>
    <x v="2"/>
    <n v="2"/>
    <n v="4999"/>
    <n v="0"/>
    <s v="South"/>
    <s v="Net Banking"/>
    <x v="0"/>
    <n v="2468.1"/>
  </r>
  <r>
    <s v="ORD04886"/>
    <d v="2026-02-27T00:00:00"/>
    <s v="C1499"/>
    <s v="Mechanical Keyboard"/>
    <x v="1"/>
    <n v="5"/>
    <n v="1999"/>
    <n v="0"/>
    <s v="West"/>
    <s v="Debit Card"/>
    <x v="0"/>
    <n v="9998"/>
  </r>
  <r>
    <s v="ORD04887"/>
    <d v="2026-06-19T00:00:00"/>
    <s v="C1359"/>
    <s v="Wireless Mouse"/>
    <x v="0"/>
    <n v="2"/>
    <n v="999"/>
    <n v="0.15"/>
    <s v="West"/>
    <s v="UPI"/>
    <x v="0"/>
    <n v="9995"/>
  </r>
  <r>
    <s v="ORD04888"/>
    <d v="2026-08-18T00:00:00"/>
    <s v="C1734"/>
    <s v="Keyboard"/>
    <x v="1"/>
    <n v="4"/>
    <n v="499"/>
    <n v="0.15"/>
    <s v="West"/>
    <s v="COD"/>
    <x v="0"/>
    <n v="1698.3"/>
  </r>
  <r>
    <s v="ORD04889"/>
    <d v="2026-05-18T00:00:00"/>
    <s v="C1773"/>
    <s v="Power Bank"/>
    <x v="1"/>
    <n v="5"/>
    <n v="799"/>
    <n v="0.1"/>
    <s v="Central"/>
    <s v="COD"/>
    <x v="0"/>
    <n v="1696.6"/>
  </r>
  <r>
    <s v="ORD04890"/>
    <d v="2026-06-09T00:00:00"/>
    <s v="C1450"/>
    <s v="Keyboard"/>
    <x v="2"/>
    <n v="2"/>
    <n v="799"/>
    <n v="0"/>
    <s v="South"/>
    <s v="Net Banking"/>
    <x v="0"/>
    <n v="3595.5"/>
  </r>
  <r>
    <s v="ORD04891"/>
    <d v="2026-02-04T00:00:00"/>
    <s v="C1289"/>
    <s v="Wireless Mouse"/>
    <x v="3"/>
    <n v="4"/>
    <n v="599"/>
    <n v="0.15"/>
    <s v="West"/>
    <s v="Credit Card"/>
    <x v="0"/>
    <n v="1598"/>
  </r>
  <r>
    <s v="ORD04892"/>
    <d v="2026-06-28T00:00:00"/>
    <s v="C1688"/>
    <s v="Wireless Mouse"/>
    <x v="3"/>
    <n v="4"/>
    <n v="1999"/>
    <n v="0.1"/>
    <s v="Central"/>
    <s v="Net Banking"/>
    <x v="0"/>
    <n v="2036.6"/>
  </r>
  <r>
    <s v="ORD04893"/>
    <d v="2026-08-31T00:00:00"/>
    <s v="C1751"/>
    <s v="Webcam"/>
    <x v="0"/>
    <n v="4"/>
    <n v="1499"/>
    <n v="0"/>
    <s v="North"/>
    <s v="Credit Card"/>
    <x v="2"/>
    <n v="7196.4000000000005"/>
  </r>
  <r>
    <s v="ORD04894"/>
    <d v="2026-01-15T00:00:00"/>
    <s v="C1425"/>
    <s v="Power Bank"/>
    <x v="3"/>
    <n v="3"/>
    <n v="4999"/>
    <n v="0.05"/>
    <s v="East"/>
    <s v="Net Banking"/>
    <x v="0"/>
    <n v="5996"/>
  </r>
  <r>
    <s v="ORD04895"/>
    <d v="2026-05-23T00:00:00"/>
    <s v="C1541"/>
    <s v="USB-C Hub"/>
    <x v="3"/>
    <n v="1"/>
    <n v="2499"/>
    <n v="0"/>
    <s v="Central"/>
    <s v="Net Banking"/>
    <x v="0"/>
    <n v="14247.15"/>
  </r>
  <r>
    <s v="ORD04896"/>
    <d v="2026-03-03T00:00:00"/>
    <s v="C1058"/>
    <s v="Keyboard"/>
    <x v="1"/>
    <n v="5"/>
    <n v="1299"/>
    <n v="0"/>
    <s v="North"/>
    <s v="Net Banking"/>
    <x v="1"/>
    <n v="2499"/>
  </r>
  <r>
    <s v="ORD04897"/>
    <d v="2026-08-23T00:00:00"/>
    <s v="C1350"/>
    <s v="Mechanical Keyboard"/>
    <x v="0"/>
    <n v="2"/>
    <n v="499"/>
    <n v="0"/>
    <s v="West"/>
    <s v="COD"/>
    <x v="1"/>
    <n v="6495"/>
  </r>
  <r>
    <s v="ORD04898"/>
    <d v="2026-08-08T00:00:00"/>
    <s v="C1085"/>
    <s v="Webcam"/>
    <x v="2"/>
    <n v="2"/>
    <n v="1499"/>
    <n v="0"/>
    <s v="East"/>
    <s v="Debit Card"/>
    <x v="0"/>
    <n v="998"/>
  </r>
  <r>
    <s v="ORD04899"/>
    <d v="2026-08-02T00:00:00"/>
    <s v="C1330"/>
    <s v="Wireless Mouse"/>
    <x v="3"/>
    <n v="5"/>
    <n v="599"/>
    <n v="0.15"/>
    <s v="West"/>
    <s v="Credit Card"/>
    <x v="0"/>
    <n v="2998"/>
  </r>
  <r>
    <s v="ORD04900"/>
    <d v="2026-09-24T00:00:00"/>
    <s v="C1167"/>
    <s v="Bluetooth Speaker"/>
    <x v="4"/>
    <n v="3"/>
    <n v="799"/>
    <n v="0"/>
    <s v="North"/>
    <s v="Debit Card"/>
    <x v="1"/>
    <n v="2545.75"/>
  </r>
  <r>
    <s v="ORD04901"/>
    <d v="2026-03-29T00:00:00"/>
    <s v="C1784"/>
    <s v="Laptop Stand"/>
    <x v="3"/>
    <n v="5"/>
    <n v="1999"/>
    <n v="0.15"/>
    <s v="South"/>
    <s v="Net Banking"/>
    <x v="2"/>
    <n v="2397"/>
  </r>
  <r>
    <s v="ORD04902"/>
    <d v="2026-07-22T00:00:00"/>
    <s v="C1661"/>
    <s v="Bluetooth Speaker"/>
    <x v="1"/>
    <n v="4"/>
    <n v="1299"/>
    <n v="0"/>
    <s v="West"/>
    <s v="UPI"/>
    <x v="1"/>
    <n v="8495.75"/>
  </r>
  <r>
    <s v="ORD04903"/>
    <d v="2026-03-29T00:00:00"/>
    <s v="C1448"/>
    <s v="Wireless Mouse"/>
    <x v="2"/>
    <n v="4"/>
    <n v="599"/>
    <n v="0.05"/>
    <s v="West"/>
    <s v="Net Banking"/>
    <x v="2"/>
    <n v="5196"/>
  </r>
  <r>
    <s v="ORD04904"/>
    <d v="2026-01-12T00:00:00"/>
    <s v="C1332"/>
    <s v="Headphones"/>
    <x v="0"/>
    <n v="5"/>
    <n v="4999"/>
    <n v="0"/>
    <s v="East"/>
    <s v="Debit Card"/>
    <x v="2"/>
    <n v="2276.1999999999998"/>
  </r>
  <r>
    <s v="ORD04905"/>
    <d v="2026-03-12T00:00:00"/>
    <s v="C1209"/>
    <s v="USB-C Hub"/>
    <x v="3"/>
    <n v="1"/>
    <n v="799"/>
    <n v="0.15"/>
    <s v="West"/>
    <s v="Credit Card"/>
    <x v="2"/>
    <n v="24995"/>
  </r>
  <r>
    <s v="ORD04906"/>
    <d v="2026-01-11T00:00:00"/>
    <s v="C1753"/>
    <s v="Monitor"/>
    <x v="4"/>
    <n v="4"/>
    <n v="4999"/>
    <n v="0.05"/>
    <s v="South"/>
    <s v="Credit Card"/>
    <x v="1"/>
    <n v="679.15"/>
  </r>
  <r>
    <s v="ORD04907"/>
    <d v="2026-02-19T00:00:00"/>
    <s v="C1439"/>
    <s v="USB-C Hub"/>
    <x v="0"/>
    <n v="3"/>
    <n v="1499"/>
    <n v="0.05"/>
    <s v="East"/>
    <s v="COD"/>
    <x v="2"/>
    <n v="18996.2"/>
  </r>
  <r>
    <s v="ORD04908"/>
    <d v="2026-06-27T00:00:00"/>
    <s v="C1045"/>
    <s v="Mechanical Keyboard"/>
    <x v="1"/>
    <n v="4"/>
    <n v="1499"/>
    <n v="0.05"/>
    <s v="South"/>
    <s v="Credit Card"/>
    <x v="0"/>
    <n v="4272.1499999999996"/>
  </r>
  <r>
    <s v="ORD04909"/>
    <d v="2026-05-26T00:00:00"/>
    <s v="C1349"/>
    <s v="Headphones"/>
    <x v="0"/>
    <n v="3"/>
    <n v="999"/>
    <n v="0"/>
    <s v="Central"/>
    <s v="UPI"/>
    <x v="0"/>
    <n v="5696.2"/>
  </r>
  <r>
    <s v="ORD04910"/>
    <d v="2026-04-13T00:00:00"/>
    <s v="C1512"/>
    <s v="Monitor"/>
    <x v="2"/>
    <n v="4"/>
    <n v="599"/>
    <n v="0.05"/>
    <s v="East"/>
    <s v="Credit Card"/>
    <x v="0"/>
    <n v="2997"/>
  </r>
  <r>
    <s v="ORD04911"/>
    <d v="2026-05-13T00:00:00"/>
    <s v="C1792"/>
    <s v="Bluetooth Speaker"/>
    <x v="1"/>
    <n v="1"/>
    <n v="499"/>
    <n v="0.05"/>
    <s v="East"/>
    <s v="Debit Card"/>
    <x v="2"/>
    <n v="2276.1999999999998"/>
  </r>
  <r>
    <s v="ORD04912"/>
    <d v="2026-01-11T00:00:00"/>
    <s v="C1210"/>
    <s v="Headphones"/>
    <x v="2"/>
    <n v="1"/>
    <n v="1999"/>
    <n v="0"/>
    <s v="West"/>
    <s v="Credit Card"/>
    <x v="1"/>
    <n v="474.04999999999995"/>
  </r>
  <r>
    <s v="ORD04913"/>
    <d v="2026-07-19T00:00:00"/>
    <s v="C1467"/>
    <s v="Monitor"/>
    <x v="0"/>
    <n v="4"/>
    <n v="799"/>
    <n v="0.05"/>
    <s v="South"/>
    <s v="Credit Card"/>
    <x v="1"/>
    <n v="1999"/>
  </r>
  <r>
    <s v="ORD04914"/>
    <d v="2026-08-27T00:00:00"/>
    <s v="C1512"/>
    <s v="Keyboard"/>
    <x v="1"/>
    <n v="5"/>
    <n v="999"/>
    <n v="0"/>
    <s v="West"/>
    <s v="COD"/>
    <x v="0"/>
    <n v="3036.2"/>
  </r>
  <r>
    <s v="ORD04915"/>
    <d v="2026-03-14T00:00:00"/>
    <s v="C1771"/>
    <s v="Bluetooth Speaker"/>
    <x v="2"/>
    <n v="5"/>
    <n v="2499"/>
    <n v="0"/>
    <s v="South"/>
    <s v="COD"/>
    <x v="0"/>
    <n v="4995"/>
  </r>
  <r>
    <s v="ORD04916"/>
    <d v="2026-08-22T00:00:00"/>
    <s v="C1315"/>
    <s v="Headphones"/>
    <x v="4"/>
    <n v="1"/>
    <n v="599"/>
    <n v="0"/>
    <s v="Central"/>
    <s v="Debit Card"/>
    <x v="2"/>
    <n v="12495"/>
  </r>
  <r>
    <s v="ORD04917"/>
    <d v="2026-09-14T00:00:00"/>
    <s v="C1477"/>
    <s v="Keyboard"/>
    <x v="0"/>
    <n v="1"/>
    <n v="499"/>
    <n v="0.05"/>
    <s v="North"/>
    <s v="UPI"/>
    <x v="2"/>
    <n v="599"/>
  </r>
  <r>
    <s v="ORD04918"/>
    <d v="2026-04-11T00:00:00"/>
    <s v="C1123"/>
    <s v="Webcam"/>
    <x v="1"/>
    <n v="2"/>
    <n v="999"/>
    <n v="0.05"/>
    <s v="West"/>
    <s v="Debit Card"/>
    <x v="1"/>
    <n v="474.04999999999995"/>
  </r>
  <r>
    <s v="ORD04919"/>
    <d v="2026-01-10T00:00:00"/>
    <s v="C1642"/>
    <s v="Monitor"/>
    <x v="2"/>
    <n v="2"/>
    <n v="1999"/>
    <n v="0.1"/>
    <s v="West"/>
    <s v="Debit Card"/>
    <x v="0"/>
    <n v="1898.1"/>
  </r>
  <r>
    <s v="ORD04920"/>
    <d v="2026-06-13T00:00:00"/>
    <s v="C1015"/>
    <s v="Power Bank"/>
    <x v="4"/>
    <n v="2"/>
    <n v="799"/>
    <n v="0.15"/>
    <s v="West"/>
    <s v="Debit Card"/>
    <x v="2"/>
    <n v="3598.2000000000003"/>
  </r>
  <r>
    <s v="ORD04921"/>
    <d v="2026-04-27T00:00:00"/>
    <s v="C1164"/>
    <s v="Webcam"/>
    <x v="0"/>
    <n v="2"/>
    <n v="499"/>
    <n v="0.15"/>
    <s v="Central"/>
    <s v="Debit Card"/>
    <x v="0"/>
    <n v="1358.3"/>
  </r>
  <r>
    <s v="ORD04922"/>
    <d v="2026-06-17T00:00:00"/>
    <s v="C1069"/>
    <s v="Bluetooth Speaker"/>
    <x v="0"/>
    <n v="5"/>
    <n v="999"/>
    <n v="0.1"/>
    <s v="East"/>
    <s v="Debit Card"/>
    <x v="0"/>
    <n v="848.3"/>
  </r>
  <r>
    <s v="ORD04923"/>
    <d v="2026-02-18T00:00:00"/>
    <s v="C1211"/>
    <s v="Wireless Mouse"/>
    <x v="2"/>
    <n v="5"/>
    <n v="1999"/>
    <n v="0"/>
    <s v="East"/>
    <s v="Credit Card"/>
    <x v="0"/>
    <n v="4495.5"/>
  </r>
  <r>
    <s v="ORD04924"/>
    <d v="2026-02-20T00:00:00"/>
    <s v="C1781"/>
    <s v="Keyboard"/>
    <x v="0"/>
    <n v="2"/>
    <n v="1299"/>
    <n v="0.05"/>
    <s v="North"/>
    <s v="UPI"/>
    <x v="1"/>
    <n v="9995"/>
  </r>
  <r>
    <s v="ORD04925"/>
    <d v="2026-07-04T00:00:00"/>
    <s v="C1025"/>
    <s v="Laptop Stand"/>
    <x v="4"/>
    <n v="1"/>
    <n v="2499"/>
    <n v="0.05"/>
    <s v="South"/>
    <s v="COD"/>
    <x v="0"/>
    <n v="2468.1"/>
  </r>
  <r>
    <s v="ORD04926"/>
    <d v="2026-08-11T00:00:00"/>
    <s v="C1078"/>
    <s v="Power Bank"/>
    <x v="0"/>
    <n v="5"/>
    <n v="799"/>
    <n v="0.15"/>
    <s v="West"/>
    <s v="Credit Card"/>
    <x v="1"/>
    <n v="2374.0499999999997"/>
  </r>
  <r>
    <s v="ORD04927"/>
    <d v="2026-02-18T00:00:00"/>
    <s v="C1320"/>
    <s v="Keyboard"/>
    <x v="4"/>
    <n v="4"/>
    <n v="999"/>
    <n v="0"/>
    <s v="East"/>
    <s v="Debit Card"/>
    <x v="0"/>
    <n v="3395.75"/>
  </r>
  <r>
    <s v="ORD04928"/>
    <d v="2026-09-10T00:00:00"/>
    <s v="C1778"/>
    <s v="Headphones"/>
    <x v="1"/>
    <n v="1"/>
    <n v="4999"/>
    <n v="0.15"/>
    <s v="East"/>
    <s v="Debit Card"/>
    <x v="2"/>
    <n v="3996"/>
  </r>
  <r>
    <s v="ORD04929"/>
    <d v="2026-04-29T00:00:00"/>
    <s v="C1531"/>
    <s v="Laptop Stand"/>
    <x v="4"/>
    <n v="5"/>
    <n v="999"/>
    <n v="0.15"/>
    <s v="East"/>
    <s v="Credit Card"/>
    <x v="0"/>
    <n v="4249.1499999999996"/>
  </r>
  <r>
    <s v="ORD04930"/>
    <d v="2026-06-13T00:00:00"/>
    <s v="C1794"/>
    <s v="Monitor"/>
    <x v="3"/>
    <n v="3"/>
    <n v="4999"/>
    <n v="0.1"/>
    <s v="South"/>
    <s v="Credit Card"/>
    <x v="1"/>
    <n v="4245.75"/>
  </r>
  <r>
    <s v="ORD04931"/>
    <d v="2026-04-20T00:00:00"/>
    <s v="C1770"/>
    <s v="Mechanical Keyboard"/>
    <x v="0"/>
    <n v="2"/>
    <n v="1499"/>
    <n v="0.15"/>
    <s v="West"/>
    <s v="UPI"/>
    <x v="2"/>
    <n v="13497.300000000001"/>
  </r>
  <r>
    <s v="ORD04932"/>
    <d v="2026-08-18T00:00:00"/>
    <s v="C1225"/>
    <s v="Wireless Mouse"/>
    <x v="4"/>
    <n v="3"/>
    <n v="7999"/>
    <n v="0.05"/>
    <s v="South"/>
    <s v="COD"/>
    <x v="0"/>
    <n v="2548.2999999999997"/>
  </r>
  <r>
    <s v="ORD04933"/>
    <d v="2026-09-15T00:00:00"/>
    <s v="C1162"/>
    <s v="Power Bank"/>
    <x v="2"/>
    <n v="3"/>
    <n v="999"/>
    <n v="0.1"/>
    <s v="North"/>
    <s v="Debit Card"/>
    <x v="2"/>
    <n v="22797.149999999998"/>
  </r>
  <r>
    <s v="ORD04934"/>
    <d v="2026-07-02T00:00:00"/>
    <s v="C1159"/>
    <s v="Power Bank"/>
    <x v="0"/>
    <n v="1"/>
    <n v="7999"/>
    <n v="0.1"/>
    <s v="East"/>
    <s v="COD"/>
    <x v="2"/>
    <n v="2697.3"/>
  </r>
  <r>
    <s v="ORD04935"/>
    <d v="2026-06-28T00:00:00"/>
    <s v="C1714"/>
    <s v="Monitor"/>
    <x v="3"/>
    <n v="2"/>
    <n v="7999"/>
    <n v="0"/>
    <s v="West"/>
    <s v="COD"/>
    <x v="0"/>
    <n v="7199.1"/>
  </r>
  <r>
    <s v="ORD04936"/>
    <d v="2026-08-05T00:00:00"/>
    <s v="C1185"/>
    <s v="Bluetooth Speaker"/>
    <x v="0"/>
    <n v="4"/>
    <n v="2499"/>
    <n v="0.05"/>
    <s v="East"/>
    <s v="Net Banking"/>
    <x v="1"/>
    <n v="15998"/>
  </r>
  <r>
    <s v="ORD04937"/>
    <d v="2026-03-05T00:00:00"/>
    <s v="C1575"/>
    <s v="Wireless Mouse"/>
    <x v="2"/>
    <n v="2"/>
    <n v="799"/>
    <n v="0.15"/>
    <s v="West"/>
    <s v="UPI"/>
    <x v="0"/>
    <n v="9496.1999999999989"/>
  </r>
  <r>
    <s v="ORD04938"/>
    <d v="2026-08-04T00:00:00"/>
    <s v="C1059"/>
    <s v="Bluetooth Speaker"/>
    <x v="1"/>
    <n v="3"/>
    <n v="2499"/>
    <n v="0.15"/>
    <s v="Central"/>
    <s v="Net Banking"/>
    <x v="0"/>
    <n v="1358.3"/>
  </r>
  <r>
    <s v="ORD04939"/>
    <d v="2026-04-16T00:00:00"/>
    <s v="C1105"/>
    <s v="Bluetooth Speaker"/>
    <x v="4"/>
    <n v="3"/>
    <n v="1499"/>
    <n v="0"/>
    <s v="South"/>
    <s v="Debit Card"/>
    <x v="0"/>
    <n v="6372.45"/>
  </r>
  <r>
    <s v="ORD04940"/>
    <d v="2026-09-19T00:00:00"/>
    <s v="C1425"/>
    <s v="Webcam"/>
    <x v="3"/>
    <n v="2"/>
    <n v="499"/>
    <n v="0.15"/>
    <s v="North"/>
    <s v="UPI"/>
    <x v="1"/>
    <n v="4497"/>
  </r>
  <r>
    <s v="ORD04941"/>
    <d v="2026-07-31T00:00:00"/>
    <s v="C1102"/>
    <s v="Bluetooth Speaker"/>
    <x v="3"/>
    <n v="3"/>
    <n v="1299"/>
    <n v="0"/>
    <s v="East"/>
    <s v="Credit Card"/>
    <x v="0"/>
    <n v="848.3"/>
  </r>
  <r>
    <s v="ORD04942"/>
    <d v="2026-02-09T00:00:00"/>
    <s v="C1440"/>
    <s v="Laptop Stand"/>
    <x v="1"/>
    <n v="4"/>
    <n v="799"/>
    <n v="0.1"/>
    <s v="East"/>
    <s v="UPI"/>
    <x v="0"/>
    <n v="3897"/>
  </r>
  <r>
    <s v="ORD04943"/>
    <d v="2026-04-27T00:00:00"/>
    <s v="C1188"/>
    <s v="Laptop Stand"/>
    <x v="4"/>
    <n v="4"/>
    <n v="999"/>
    <n v="0.15"/>
    <s v="North"/>
    <s v="UPI"/>
    <x v="0"/>
    <n v="2876.4"/>
  </r>
  <r>
    <s v="ORD04944"/>
    <d v="2026-06-21T00:00:00"/>
    <s v="C1167"/>
    <s v="Headphones"/>
    <x v="3"/>
    <n v="1"/>
    <n v="999"/>
    <n v="0.1"/>
    <s v="Central"/>
    <s v="Debit Card"/>
    <x v="0"/>
    <n v="3396.6"/>
  </r>
  <r>
    <s v="ORD04945"/>
    <d v="2026-01-10T00:00:00"/>
    <s v="C1324"/>
    <s v="Laptop Stand"/>
    <x v="3"/>
    <n v="3"/>
    <n v="7999"/>
    <n v="0"/>
    <s v="West"/>
    <s v="COD"/>
    <x v="0"/>
    <n v="899.1"/>
  </r>
  <r>
    <s v="ORD04946"/>
    <d v="2026-04-05T00:00:00"/>
    <s v="C1042"/>
    <s v="USB-C Hub"/>
    <x v="0"/>
    <n v="3"/>
    <n v="4999"/>
    <n v="0.05"/>
    <s v="West"/>
    <s v="Credit Card"/>
    <x v="1"/>
    <n v="23997"/>
  </r>
  <r>
    <s v="ORD04947"/>
    <d v="2026-01-19T00:00:00"/>
    <s v="C1633"/>
    <s v="Webcam"/>
    <x v="3"/>
    <n v="5"/>
    <n v="499"/>
    <n v="0"/>
    <s v="South"/>
    <s v="UPI"/>
    <x v="1"/>
    <n v="14247.15"/>
  </r>
  <r>
    <s v="ORD04948"/>
    <d v="2026-02-17T00:00:00"/>
    <s v="C1130"/>
    <s v="Monitor"/>
    <x v="3"/>
    <n v="4"/>
    <n v="7999"/>
    <n v="0.15"/>
    <s v="South"/>
    <s v="Debit Card"/>
    <x v="0"/>
    <n v="2495"/>
  </r>
  <r>
    <s v="ORD04949"/>
    <d v="2026-03-31T00:00:00"/>
    <s v="C1575"/>
    <s v="Laptop Stand"/>
    <x v="1"/>
    <n v="3"/>
    <n v="999"/>
    <n v="0.1"/>
    <s v="Central"/>
    <s v="Debit Card"/>
    <x v="2"/>
    <n v="27196.6"/>
  </r>
  <r>
    <s v="ORD04950"/>
    <d v="2026-08-29T00:00:00"/>
    <s v="C1557"/>
    <s v="Mechanical Keyboard"/>
    <x v="0"/>
    <n v="4"/>
    <n v="4999"/>
    <n v="0.1"/>
    <s v="South"/>
    <s v="UPI"/>
    <x v="0"/>
    <n v="2697.3"/>
  </r>
  <r>
    <s v="ORD04951"/>
    <d v="2026-09-08T00:00:00"/>
    <s v="C1634"/>
    <s v="Laptop Stand"/>
    <x v="2"/>
    <n v="5"/>
    <n v="799"/>
    <n v="0.15"/>
    <s v="Central"/>
    <s v="UPI"/>
    <x v="0"/>
    <n v="17996.400000000001"/>
  </r>
  <r>
    <s v="ORD04952"/>
    <d v="2026-03-19T00:00:00"/>
    <s v="C1436"/>
    <s v="Mechanical Keyboard"/>
    <x v="0"/>
    <n v="3"/>
    <n v="799"/>
    <n v="0.05"/>
    <s v="North"/>
    <s v="COD"/>
    <x v="1"/>
    <n v="3395.75"/>
  </r>
  <r>
    <s v="ORD04953"/>
    <d v="2026-08-26T00:00:00"/>
    <s v="C1027"/>
    <s v="Power Bank"/>
    <x v="1"/>
    <n v="2"/>
    <n v="1299"/>
    <n v="0"/>
    <s v="Central"/>
    <s v="UPI"/>
    <x v="0"/>
    <n v="2277.15"/>
  </r>
  <r>
    <s v="ORD04954"/>
    <d v="2026-05-19T00:00:00"/>
    <s v="C1594"/>
    <s v="Bluetooth Speaker"/>
    <x v="1"/>
    <n v="1"/>
    <n v="499"/>
    <n v="0.1"/>
    <s v="East"/>
    <s v="UPI"/>
    <x v="1"/>
    <n v="2598"/>
  </r>
  <r>
    <s v="ORD04955"/>
    <d v="2026-06-08T00:00:00"/>
    <s v="C1199"/>
    <s v="Laptop Stand"/>
    <x v="2"/>
    <n v="1"/>
    <n v="2499"/>
    <n v="0"/>
    <s v="South"/>
    <s v="Debit Card"/>
    <x v="0"/>
    <n v="449.1"/>
  </r>
  <r>
    <s v="ORD04956"/>
    <d v="2026-08-09T00:00:00"/>
    <s v="C1784"/>
    <s v="Wireless Mouse"/>
    <x v="4"/>
    <n v="3"/>
    <n v="7999"/>
    <n v="0.15"/>
    <s v="East"/>
    <s v="Credit Card"/>
    <x v="1"/>
    <n v="2499"/>
  </r>
  <r>
    <s v="ORD04957"/>
    <d v="2026-08-09T00:00:00"/>
    <s v="C1551"/>
    <s v="Mechanical Keyboard"/>
    <x v="4"/>
    <n v="4"/>
    <n v="599"/>
    <n v="0.1"/>
    <s v="Central"/>
    <s v="Credit Card"/>
    <x v="0"/>
    <n v="20397.45"/>
  </r>
  <r>
    <s v="ORD04958"/>
    <d v="2026-07-14T00:00:00"/>
    <s v="C1200"/>
    <s v="Mechanical Keyboard"/>
    <x v="2"/>
    <n v="1"/>
    <n v="499"/>
    <n v="0.05"/>
    <s v="East"/>
    <s v="Net Banking"/>
    <x v="0"/>
    <n v="2156.4"/>
  </r>
  <r>
    <s v="ORD04959"/>
    <d v="2026-05-10T00:00:00"/>
    <s v="C1533"/>
    <s v="Webcam"/>
    <x v="2"/>
    <n v="2"/>
    <n v="7999"/>
    <n v="0"/>
    <s v="West"/>
    <s v="Credit Card"/>
    <x v="0"/>
    <n v="474.04999999999995"/>
  </r>
  <r>
    <s v="ORD04960"/>
    <d v="2026-06-22T00:00:00"/>
    <s v="C1024"/>
    <s v="USB-C Hub"/>
    <x v="4"/>
    <n v="1"/>
    <n v="799"/>
    <n v="0"/>
    <s v="Central"/>
    <s v="Debit Card"/>
    <x v="0"/>
    <n v="15998"/>
  </r>
  <r>
    <s v="ORD04961"/>
    <d v="2026-03-27T00:00:00"/>
    <s v="C1728"/>
    <s v="Monitor"/>
    <x v="1"/>
    <n v="2"/>
    <n v="999"/>
    <n v="0"/>
    <s v="Central"/>
    <s v="Debit Card"/>
    <x v="0"/>
    <n v="799"/>
  </r>
  <r>
    <s v="ORD04962"/>
    <d v="2026-01-03T00:00:00"/>
    <s v="C1610"/>
    <s v="Monitor"/>
    <x v="4"/>
    <n v="4"/>
    <n v="499"/>
    <n v="0.1"/>
    <s v="West"/>
    <s v="COD"/>
    <x v="0"/>
    <n v="1998"/>
  </r>
  <r>
    <s v="ORD04963"/>
    <d v="2026-02-27T00:00:00"/>
    <s v="C1613"/>
    <s v="Webcam"/>
    <x v="4"/>
    <n v="3"/>
    <n v="1499"/>
    <n v="0.1"/>
    <s v="Central"/>
    <s v="Net Banking"/>
    <x v="0"/>
    <n v="1796.4"/>
  </r>
  <r>
    <s v="ORD04964"/>
    <d v="2026-03-13T00:00:00"/>
    <s v="C1382"/>
    <s v="Laptop Stand"/>
    <x v="4"/>
    <n v="5"/>
    <n v="999"/>
    <n v="0.05"/>
    <s v="East"/>
    <s v="Debit Card"/>
    <x v="2"/>
    <n v="4047.3"/>
  </r>
  <r>
    <s v="ORD04965"/>
    <d v="2026-07-19T00:00:00"/>
    <s v="C1673"/>
    <s v="Keyboard"/>
    <x v="0"/>
    <n v="4"/>
    <n v="799"/>
    <n v="0.1"/>
    <s v="East"/>
    <s v="UPI"/>
    <x v="2"/>
    <n v="4745.25"/>
  </r>
  <r>
    <s v="ORD04966"/>
    <d v="2026-02-11T00:00:00"/>
    <s v="C1272"/>
    <s v="USB-C Hub"/>
    <x v="0"/>
    <n v="1"/>
    <n v="799"/>
    <n v="0.15"/>
    <s v="East"/>
    <s v="Credit Card"/>
    <x v="0"/>
    <n v="2876.4"/>
  </r>
  <r>
    <s v="ORD04967"/>
    <d v="2026-09-30T00:00:00"/>
    <s v="C1577"/>
    <s v="Bluetooth Speaker"/>
    <x v="4"/>
    <n v="4"/>
    <n v="499"/>
    <n v="0"/>
    <s v="North"/>
    <s v="Credit Card"/>
    <x v="0"/>
    <n v="679.15"/>
  </r>
  <r>
    <s v="ORD04968"/>
    <d v="2026-08-06T00:00:00"/>
    <s v="C1028"/>
    <s v="Wireless Mouse"/>
    <x v="0"/>
    <n v="1"/>
    <n v="1299"/>
    <n v="0.05"/>
    <s v="North"/>
    <s v="Net Banking"/>
    <x v="0"/>
    <n v="1996"/>
  </r>
  <r>
    <s v="ORD04969"/>
    <d v="2026-04-28T00:00:00"/>
    <s v="C1009"/>
    <s v="Keyboard"/>
    <x v="0"/>
    <n v="3"/>
    <n v="2499"/>
    <n v="0"/>
    <s v="East"/>
    <s v="COD"/>
    <x v="2"/>
    <n v="1234.05"/>
  </r>
  <r>
    <s v="ORD04970"/>
    <d v="2026-02-10T00:00:00"/>
    <s v="C1363"/>
    <s v="USB-C Hub"/>
    <x v="1"/>
    <n v="4"/>
    <n v="1299"/>
    <n v="0"/>
    <s v="West"/>
    <s v="Debit Card"/>
    <x v="2"/>
    <n v="7497"/>
  </r>
  <r>
    <s v="ORD04971"/>
    <d v="2026-06-04T00:00:00"/>
    <s v="C1602"/>
    <s v="Keyboard"/>
    <x v="3"/>
    <n v="5"/>
    <n v="1299"/>
    <n v="0.1"/>
    <s v="West"/>
    <s v="Net Banking"/>
    <x v="0"/>
    <n v="5196"/>
  </r>
  <r>
    <s v="ORD04972"/>
    <d v="2026-03-15T00:00:00"/>
    <s v="C1789"/>
    <s v="Bluetooth Speaker"/>
    <x v="1"/>
    <n v="1"/>
    <n v="499"/>
    <n v="0"/>
    <s v="South"/>
    <s v="UPI"/>
    <x v="0"/>
    <n v="5845.5"/>
  </r>
  <r>
    <s v="ORD04973"/>
    <d v="2026-01-20T00:00:00"/>
    <s v="C1128"/>
    <s v="Mechanical Keyboard"/>
    <x v="3"/>
    <n v="4"/>
    <n v="599"/>
    <n v="0.05"/>
    <s v="North"/>
    <s v="COD"/>
    <x v="1"/>
    <n v="499"/>
  </r>
  <r>
    <s v="ORD04974"/>
    <d v="2026-04-20T00:00:00"/>
    <s v="C1069"/>
    <s v="Keyboard"/>
    <x v="2"/>
    <n v="4"/>
    <n v="499"/>
    <n v="0"/>
    <s v="Central"/>
    <s v="Debit Card"/>
    <x v="2"/>
    <n v="2276.1999999999998"/>
  </r>
  <r>
    <s v="ORD04975"/>
    <d v="2026-07-10T00:00:00"/>
    <s v="C1170"/>
    <s v="Monitor"/>
    <x v="2"/>
    <n v="1"/>
    <n v="1299"/>
    <n v="0.15"/>
    <s v="North"/>
    <s v="UPI"/>
    <x v="1"/>
    <n v="1996"/>
  </r>
  <r>
    <s v="ORD04976"/>
    <d v="2026-08-22T00:00:00"/>
    <s v="C1171"/>
    <s v="Bluetooth Speaker"/>
    <x v="1"/>
    <n v="5"/>
    <n v="4999"/>
    <n v="0.1"/>
    <s v="Central"/>
    <s v="UPI"/>
    <x v="0"/>
    <n v="1104.1499999999999"/>
  </r>
  <r>
    <s v="ORD04977"/>
    <d v="2026-08-31T00:00:00"/>
    <s v="C1267"/>
    <s v="Wireless Mouse"/>
    <x v="2"/>
    <n v="3"/>
    <n v="2499"/>
    <n v="0.05"/>
    <s v="South"/>
    <s v="UPI"/>
    <x v="0"/>
    <n v="22495.5"/>
  </r>
  <r>
    <s v="ORD04978"/>
    <d v="2026-01-17T00:00:00"/>
    <s v="C1537"/>
    <s v="Webcam"/>
    <x v="4"/>
    <n v="4"/>
    <n v="799"/>
    <n v="0"/>
    <s v="South"/>
    <s v="UPI"/>
    <x v="0"/>
    <n v="7122.15"/>
  </r>
  <r>
    <s v="ORD04979"/>
    <d v="2026-07-05T00:00:00"/>
    <s v="C1279"/>
    <s v="Laptop Stand"/>
    <x v="3"/>
    <n v="2"/>
    <n v="999"/>
    <n v="0.15"/>
    <s v="Central"/>
    <s v="Credit Card"/>
    <x v="0"/>
    <n v="3196"/>
  </r>
  <r>
    <s v="ORD04980"/>
    <d v="2026-09-10T00:00:00"/>
    <s v="C1534"/>
    <s v="Wireless Mouse"/>
    <x v="0"/>
    <n v="2"/>
    <n v="499"/>
    <n v="0.05"/>
    <s v="North"/>
    <s v="COD"/>
    <x v="0"/>
    <n v="1698.3"/>
  </r>
  <r>
    <s v="ORD04981"/>
    <d v="2026-08-30T00:00:00"/>
    <s v="C1199"/>
    <s v="Keyboard"/>
    <x v="2"/>
    <n v="5"/>
    <n v="1299"/>
    <n v="0"/>
    <s v="East"/>
    <s v="Debit Card"/>
    <x v="0"/>
    <n v="948.09999999999991"/>
  </r>
  <r>
    <s v="ORD04982"/>
    <d v="2026-08-23T00:00:00"/>
    <s v="C1795"/>
    <s v="Laptop Stand"/>
    <x v="4"/>
    <n v="2"/>
    <n v="7999"/>
    <n v="0.1"/>
    <s v="West"/>
    <s v="Net Banking"/>
    <x v="0"/>
    <n v="6495"/>
  </r>
  <r>
    <s v="ORD04983"/>
    <d v="2026-03-29T00:00:00"/>
    <s v="C1564"/>
    <s v="Power Bank"/>
    <x v="0"/>
    <n v="1"/>
    <n v="499"/>
    <n v="0"/>
    <s v="Central"/>
    <s v="Net Banking"/>
    <x v="0"/>
    <n v="14398.2"/>
  </r>
  <r>
    <s v="ORD04984"/>
    <d v="2026-01-15T00:00:00"/>
    <s v="C1565"/>
    <s v="USB-C Hub"/>
    <x v="2"/>
    <n v="4"/>
    <n v="999"/>
    <n v="0"/>
    <s v="West"/>
    <s v="UPI"/>
    <x v="1"/>
    <n v="499"/>
  </r>
  <r>
    <s v="ORD04985"/>
    <d v="2026-03-18T00:00:00"/>
    <s v="C1737"/>
    <s v="Monitor"/>
    <x v="3"/>
    <n v="1"/>
    <n v="999"/>
    <n v="0"/>
    <s v="West"/>
    <s v="UPI"/>
    <x v="2"/>
    <n v="3996"/>
  </r>
  <r>
    <s v="ORD04986"/>
    <d v="2026-07-16T00:00:00"/>
    <s v="C1201"/>
    <s v="Power Bank"/>
    <x v="3"/>
    <n v="4"/>
    <n v="799"/>
    <n v="0"/>
    <s v="North"/>
    <s v="COD"/>
    <x v="0"/>
    <n v="999"/>
  </r>
  <r>
    <s v="ORD04987"/>
    <d v="2026-07-18T00:00:00"/>
    <s v="C1054"/>
    <s v="Wireless Mouse"/>
    <x v="4"/>
    <n v="5"/>
    <n v="799"/>
    <n v="0.1"/>
    <s v="South"/>
    <s v="COD"/>
    <x v="0"/>
    <n v="3196"/>
  </r>
  <r>
    <s v="ORD04988"/>
    <d v="2026-02-20T00:00:00"/>
    <s v="C1152"/>
    <s v="Wireless Mouse"/>
    <x v="2"/>
    <n v="1"/>
    <n v="1999"/>
    <n v="0.05"/>
    <s v="West"/>
    <s v="Debit Card"/>
    <x v="1"/>
    <n v="3595.5"/>
  </r>
  <r>
    <s v="ORD04989"/>
    <d v="2026-03-09T00:00:00"/>
    <s v="C1543"/>
    <s v="Bluetooth Speaker"/>
    <x v="4"/>
    <n v="4"/>
    <n v="2499"/>
    <n v="0"/>
    <s v="East"/>
    <s v="Debit Card"/>
    <x v="0"/>
    <n v="1899.05"/>
  </r>
  <r>
    <s v="ORD04990"/>
    <d v="2026-03-28T00:00:00"/>
    <s v="C1504"/>
    <s v="Mechanical Keyboard"/>
    <x v="1"/>
    <n v="3"/>
    <n v="7999"/>
    <n v="0.1"/>
    <s v="East"/>
    <s v="Credit Card"/>
    <x v="1"/>
    <n v="9996"/>
  </r>
  <r>
    <s v="ORD04991"/>
    <d v="2026-09-13T00:00:00"/>
    <s v="C1555"/>
    <s v="Headphones"/>
    <x v="4"/>
    <n v="2"/>
    <n v="999"/>
    <n v="0"/>
    <s v="South"/>
    <s v="COD"/>
    <x v="0"/>
    <n v="21597.3"/>
  </r>
  <r>
    <s v="ORD04992"/>
    <d v="2026-05-13T00:00:00"/>
    <s v="C1119"/>
    <s v="USB-C Hub"/>
    <x v="3"/>
    <n v="3"/>
    <n v="799"/>
    <n v="0.1"/>
    <s v="Central"/>
    <s v="Net Banking"/>
    <x v="1"/>
    <n v="1998"/>
  </r>
  <r>
    <s v="ORD04993"/>
    <d v="2026-03-02T00:00:00"/>
    <s v="C1746"/>
    <s v="Webcam"/>
    <x v="0"/>
    <n v="1"/>
    <n v="1499"/>
    <n v="0.1"/>
    <s v="Central"/>
    <s v="Credit Card"/>
    <x v="0"/>
    <n v="2157.3000000000002"/>
  </r>
  <r>
    <s v="ORD04994"/>
    <d v="2026-07-23T00:00:00"/>
    <s v="C1439"/>
    <s v="USB-C Hub"/>
    <x v="1"/>
    <n v="3"/>
    <n v="999"/>
    <n v="0"/>
    <s v="East"/>
    <s v="Net Banking"/>
    <x v="0"/>
    <n v="1349.1000000000001"/>
  </r>
  <r>
    <s v="ORD04995"/>
    <d v="2026-09-05T00:00:00"/>
    <s v="C1168"/>
    <s v="Headphones"/>
    <x v="0"/>
    <n v="2"/>
    <n v="499"/>
    <n v="0.05"/>
    <s v="South"/>
    <s v="UPI"/>
    <x v="0"/>
    <n v="2997"/>
  </r>
  <r>
    <s v="ORD04996"/>
    <d v="2026-04-29T00:00:00"/>
    <s v="C1539"/>
    <s v="Wireless Mouse"/>
    <x v="3"/>
    <n v="1"/>
    <n v="499"/>
    <n v="0.15"/>
    <s v="South"/>
    <s v="Net Banking"/>
    <x v="2"/>
    <n v="948.09999999999991"/>
  </r>
  <r>
    <s v="ORD04997"/>
    <d v="2026-04-09T00:00:00"/>
    <s v="C1556"/>
    <s v="Webcam"/>
    <x v="4"/>
    <n v="4"/>
    <n v="799"/>
    <n v="0"/>
    <s v="North"/>
    <s v="Credit Card"/>
    <x v="0"/>
    <n v="424.15"/>
  </r>
  <r>
    <s v="ORD04998"/>
    <d v="2026-06-05T00:00:00"/>
    <s v="C1382"/>
    <s v="Bluetooth Speaker"/>
    <x v="3"/>
    <n v="2"/>
    <n v="1999"/>
    <n v="0.05"/>
    <s v="South"/>
    <s v="COD"/>
    <x v="2"/>
    <n v="3196"/>
  </r>
  <r>
    <s v="ORD04999"/>
    <d v="2026-02-14T00:00:00"/>
    <s v="C1480"/>
    <s v="USB-C Hub"/>
    <x v="3"/>
    <n v="5"/>
    <n v="499"/>
    <n v="0"/>
    <s v="Central"/>
    <s v="Net Banking"/>
    <x v="2"/>
    <n v="3798.1"/>
  </r>
  <r>
    <s v="ORD05000"/>
    <d v="2026-09-30T00:00:00"/>
    <s v="C1313"/>
    <s v="Mechanical Keyboard"/>
    <x v="1"/>
    <n v="3"/>
    <n v="1499"/>
    <n v="0.05"/>
    <s v="West"/>
    <s v="COD"/>
    <x v="0"/>
    <n v="24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19372-073E-44C0-8CB6-CBDCDFEEF74F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CE493-DE9F-4F3D-9DA3-A35556F21F85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0" firstHeaderRow="1" firstDataRow="2" firstDataCol="1"/>
  <pivotFields count="12">
    <pivotField dataField="1"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03BB59-C548-47D8-9E76-040273EC326E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2"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657D2-BA6D-4E09-BAF7-1334657D2E8B}" name="SalesData" displayName="SalesData" ref="A2:L5100" totalsRowShown="0">
  <autoFilter ref="A2:L5100" xr:uid="{A76657D2-BA6D-4E09-BAF7-1334657D2E8B}"/>
  <tableColumns count="12">
    <tableColumn id="1" xr3:uid="{568C6B58-3E7F-42B1-ABA4-0D8405CA0324}" name="ORD00001"/>
    <tableColumn id="2" xr3:uid="{7C74A601-3839-45E8-880A-F31523EECE26}" name="22-03-2026" dataDxfId="1"/>
    <tableColumn id="3" xr3:uid="{EED3F896-3A9F-473E-8487-C1E073F09C43}" name="C1684"/>
    <tableColumn id="4" xr3:uid="{9CA7C450-8B64-43BC-8683-41FBD69BFD9C}" name="Laptop Stand"/>
    <tableColumn id="5" xr3:uid="{593E76DA-2F0B-425C-B9A0-71FE23FD7D9E}" name="Accessories"/>
    <tableColumn id="6" xr3:uid="{4E66D835-BB65-4311-8D00-386E1D04EE78}" name="5"/>
    <tableColumn id="7" xr3:uid="{1D649F7B-14EC-409A-95F9-75CCC0768427}" name="799"/>
    <tableColumn id="8" xr3:uid="{7C32C561-D94D-4151-8934-9544CA410577}" name="0.15"/>
    <tableColumn id="9" xr3:uid="{B4A61670-FDC9-4E40-A7B8-6D3AA25236B8}" name="East"/>
    <tableColumn id="10" xr3:uid="{416F8E71-23F1-45D0-B452-A4F708CA033D}" name="Debit Card"/>
    <tableColumn id="11" xr3:uid="{03A4949D-F231-4C77-BCA7-AAABC8B84DB1}" name="Delivered"/>
    <tableColumn id="13" xr3:uid="{4F6B9DDA-F607-413E-B923-63367C5F6D61}" name="Revenue" dataDxfId="0">
      <calculatedColumnFormula>F2*G2*(1-H2)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4217-177F-4D82-9476-C050B55F66DE}">
  <dimension ref="A3:B9"/>
  <sheetViews>
    <sheetView workbookViewId="0">
      <selection activeCell="M18" sqref="M18"/>
    </sheetView>
  </sheetViews>
  <sheetFormatPr defaultRowHeight="14.4"/>
  <cols>
    <col min="1" max="1" width="18.77734375" bestFit="1" customWidth="1"/>
    <col min="2" max="2" width="15.5546875" bestFit="1" customWidth="1"/>
  </cols>
  <sheetData>
    <row r="3" spans="1:2">
      <c r="A3" s="3" t="s">
        <v>5948</v>
      </c>
      <c r="B3" t="s">
        <v>5954</v>
      </c>
    </row>
    <row r="4" spans="1:2">
      <c r="A4" s="4" t="s">
        <v>14</v>
      </c>
      <c r="B4" s="2">
        <v>1017</v>
      </c>
    </row>
    <row r="5" spans="1:2">
      <c r="A5" s="4" t="s">
        <v>27</v>
      </c>
      <c r="B5" s="2">
        <v>1015</v>
      </c>
    </row>
    <row r="6" spans="1:2">
      <c r="A6" s="4" t="s">
        <v>40</v>
      </c>
      <c r="B6" s="2">
        <v>1023</v>
      </c>
    </row>
    <row r="7" spans="1:2">
      <c r="A7" s="4" t="s">
        <v>21</v>
      </c>
      <c r="B7" s="2">
        <v>960</v>
      </c>
    </row>
    <row r="8" spans="1:2">
      <c r="A8" s="4" t="s">
        <v>35</v>
      </c>
      <c r="B8" s="2">
        <v>985</v>
      </c>
    </row>
    <row r="9" spans="1:2">
      <c r="A9" s="4" t="s">
        <v>5949</v>
      </c>
      <c r="B9" s="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6D3E-7B53-4DA0-91FA-CF8D16185772}">
  <dimension ref="A3:E10"/>
  <sheetViews>
    <sheetView workbookViewId="0">
      <selection activeCell="J4" sqref="J4"/>
    </sheetView>
  </sheetViews>
  <sheetFormatPr defaultRowHeight="14.4"/>
  <cols>
    <col min="1" max="1" width="18.77734375" bestFit="1" customWidth="1"/>
    <col min="2" max="2" width="15.5546875" bestFit="1" customWidth="1"/>
    <col min="3" max="3" width="9" bestFit="1" customWidth="1"/>
    <col min="4" max="4" width="8.5546875" bestFit="1" customWidth="1"/>
    <col min="5" max="5" width="10.5546875" bestFit="1" customWidth="1"/>
  </cols>
  <sheetData>
    <row r="3" spans="1:5">
      <c r="A3" s="3" t="s">
        <v>5954</v>
      </c>
      <c r="B3" s="3" t="s">
        <v>5957</v>
      </c>
    </row>
    <row r="4" spans="1:5">
      <c r="A4" s="3" t="s">
        <v>5948</v>
      </c>
      <c r="B4" t="s">
        <v>37</v>
      </c>
      <c r="C4" t="s">
        <v>17</v>
      </c>
      <c r="D4" t="s">
        <v>23</v>
      </c>
      <c r="E4" t="s">
        <v>5949</v>
      </c>
    </row>
    <row r="5" spans="1:5">
      <c r="A5" s="4" t="s">
        <v>14</v>
      </c>
      <c r="B5" s="2">
        <v>200</v>
      </c>
      <c r="C5" s="2">
        <v>597</v>
      </c>
      <c r="D5" s="2">
        <v>220</v>
      </c>
      <c r="E5" s="2">
        <v>1017</v>
      </c>
    </row>
    <row r="6" spans="1:5">
      <c r="A6" s="4" t="s">
        <v>27</v>
      </c>
      <c r="B6" s="2">
        <v>199</v>
      </c>
      <c r="C6" s="2">
        <v>629</v>
      </c>
      <c r="D6" s="2">
        <v>187</v>
      </c>
      <c r="E6" s="2">
        <v>1015</v>
      </c>
    </row>
    <row r="7" spans="1:5">
      <c r="A7" s="4" t="s">
        <v>40</v>
      </c>
      <c r="B7" s="2">
        <v>205</v>
      </c>
      <c r="C7" s="2">
        <v>613</v>
      </c>
      <c r="D7" s="2">
        <v>205</v>
      </c>
      <c r="E7" s="2">
        <v>1023</v>
      </c>
    </row>
    <row r="8" spans="1:5">
      <c r="A8" s="4" t="s">
        <v>21</v>
      </c>
      <c r="B8" s="2">
        <v>186</v>
      </c>
      <c r="C8" s="2">
        <v>584</v>
      </c>
      <c r="D8" s="2">
        <v>190</v>
      </c>
      <c r="E8" s="2">
        <v>960</v>
      </c>
    </row>
    <row r="9" spans="1:5">
      <c r="A9" s="4" t="s">
        <v>35</v>
      </c>
      <c r="B9" s="2">
        <v>189</v>
      </c>
      <c r="C9" s="2">
        <v>607</v>
      </c>
      <c r="D9" s="2">
        <v>189</v>
      </c>
      <c r="E9" s="2">
        <v>985</v>
      </c>
    </row>
    <row r="10" spans="1:5">
      <c r="A10" s="4" t="s">
        <v>5949</v>
      </c>
      <c r="B10" s="2">
        <v>979</v>
      </c>
      <c r="C10" s="2">
        <v>3030</v>
      </c>
      <c r="D10" s="2">
        <v>991</v>
      </c>
      <c r="E10" s="2">
        <v>5000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BABB-9F64-478D-8D52-3A895BBEDA3E}">
  <dimension ref="A1:O5296"/>
  <sheetViews>
    <sheetView topLeftCell="A3" workbookViewId="0">
      <selection activeCell="K6" sqref="K6"/>
    </sheetView>
  </sheetViews>
  <sheetFormatPr defaultRowHeight="14.4"/>
  <cols>
    <col min="1" max="1" width="11.5546875" customWidth="1"/>
    <col min="2" max="2" width="12.21875" customWidth="1"/>
    <col min="4" max="4" width="13.88671875" customWidth="1"/>
    <col min="5" max="5" width="12.88671875" customWidth="1"/>
    <col min="10" max="10" width="11.77734375" customWidth="1"/>
    <col min="11" max="11" width="10.88671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5943</v>
      </c>
      <c r="M1" t="s">
        <v>5944</v>
      </c>
    </row>
    <row r="2" spans="1:15">
      <c r="A2" t="s">
        <v>11</v>
      </c>
      <c r="B2" s="1" t="s">
        <v>5938</v>
      </c>
      <c r="C2" t="s">
        <v>12</v>
      </c>
      <c r="D2" t="s">
        <v>13</v>
      </c>
      <c r="E2" t="s">
        <v>14</v>
      </c>
      <c r="F2" t="s">
        <v>5939</v>
      </c>
      <c r="G2" t="s">
        <v>5940</v>
      </c>
      <c r="H2" t="s">
        <v>5941</v>
      </c>
      <c r="I2" t="s">
        <v>15</v>
      </c>
      <c r="J2" t="s">
        <v>16</v>
      </c>
      <c r="K2" t="s">
        <v>17</v>
      </c>
      <c r="L2" t="s">
        <v>5942</v>
      </c>
      <c r="M2" t="s">
        <v>5945</v>
      </c>
    </row>
    <row r="3" spans="1:15">
      <c r="A3" t="s">
        <v>18</v>
      </c>
      <c r="B3" s="1">
        <v>46108</v>
      </c>
      <c r="C3" t="s">
        <v>19</v>
      </c>
      <c r="D3" t="s">
        <v>20</v>
      </c>
      <c r="E3" t="s">
        <v>21</v>
      </c>
      <c r="F3">
        <v>4</v>
      </c>
      <c r="G3">
        <v>999</v>
      </c>
      <c r="H3">
        <v>0.15</v>
      </c>
      <c r="I3" t="s">
        <v>15</v>
      </c>
      <c r="J3" t="s">
        <v>22</v>
      </c>
      <c r="K3" t="s">
        <v>23</v>
      </c>
      <c r="L3">
        <f>F2*G2*(1-H2)</f>
        <v>3395.75</v>
      </c>
      <c r="N3">
        <f>SUM(L2:L5001)</f>
        <v>31666326.100000009</v>
      </c>
    </row>
    <row r="4" spans="1:15">
      <c r="A4" t="s">
        <v>24</v>
      </c>
      <c r="B4" s="1">
        <v>46208</v>
      </c>
      <c r="C4" t="s">
        <v>25</v>
      </c>
      <c r="D4" t="s">
        <v>26</v>
      </c>
      <c r="E4" t="s">
        <v>27</v>
      </c>
      <c r="F4">
        <v>2</v>
      </c>
      <c r="G4">
        <v>7999</v>
      </c>
      <c r="H4">
        <v>0</v>
      </c>
      <c r="I4" t="s">
        <v>15</v>
      </c>
      <c r="J4" t="s">
        <v>28</v>
      </c>
      <c r="K4" t="s">
        <v>17</v>
      </c>
      <c r="L4">
        <f>F3*G3*(1-H3)</f>
        <v>3396.6</v>
      </c>
      <c r="N4" t="s">
        <v>5946</v>
      </c>
    </row>
    <row r="5" spans="1:15">
      <c r="A5" t="s">
        <v>29</v>
      </c>
      <c r="B5" s="1">
        <v>46213</v>
      </c>
      <c r="C5" t="s">
        <v>30</v>
      </c>
      <c r="D5" t="s">
        <v>31</v>
      </c>
      <c r="E5" t="s">
        <v>21</v>
      </c>
      <c r="F5">
        <v>4</v>
      </c>
      <c r="G5">
        <v>4999</v>
      </c>
      <c r="H5">
        <v>0.1</v>
      </c>
      <c r="I5" t="s">
        <v>32</v>
      </c>
      <c r="J5" t="s">
        <v>16</v>
      </c>
      <c r="K5" t="s">
        <v>17</v>
      </c>
      <c r="L5">
        <f>F4*G4*(1-H4)</f>
        <v>15998</v>
      </c>
      <c r="N5">
        <f>COUNTA(A2:A5001)</f>
        <v>5000</v>
      </c>
    </row>
    <row r="6" spans="1:15">
      <c r="A6" t="s">
        <v>33</v>
      </c>
      <c r="B6" s="1">
        <v>46069</v>
      </c>
      <c r="C6" t="s">
        <v>34</v>
      </c>
      <c r="D6" t="s">
        <v>13</v>
      </c>
      <c r="E6" t="s">
        <v>35</v>
      </c>
      <c r="F6">
        <v>1</v>
      </c>
      <c r="G6">
        <v>2499</v>
      </c>
      <c r="H6">
        <v>0.15</v>
      </c>
      <c r="I6" t="s">
        <v>32</v>
      </c>
      <c r="J6" t="s">
        <v>36</v>
      </c>
      <c r="K6" t="s">
        <v>37</v>
      </c>
      <c r="L6">
        <f>F5*G5*(1-H5)</f>
        <v>17996.400000000001</v>
      </c>
      <c r="N6" t="s">
        <v>5947</v>
      </c>
    </row>
    <row r="7" spans="1:15">
      <c r="A7" t="s">
        <v>38</v>
      </c>
      <c r="B7" s="1">
        <v>46123</v>
      </c>
      <c r="C7" t="s">
        <v>39</v>
      </c>
      <c r="D7" t="s">
        <v>31</v>
      </c>
      <c r="E7" t="s">
        <v>40</v>
      </c>
      <c r="F7">
        <v>2</v>
      </c>
      <c r="G7">
        <v>799</v>
      </c>
      <c r="H7">
        <v>0</v>
      </c>
      <c r="I7" t="s">
        <v>32</v>
      </c>
      <c r="J7" t="s">
        <v>16</v>
      </c>
      <c r="K7" t="s">
        <v>23</v>
      </c>
      <c r="L7">
        <f>F6*G6*(1-H6)</f>
        <v>2124.15</v>
      </c>
      <c r="N7">
        <f>SUM(F2:F5001)</f>
        <v>14829</v>
      </c>
    </row>
    <row r="8" spans="1:15">
      <c r="A8" t="s">
        <v>41</v>
      </c>
      <c r="B8" s="1">
        <v>46284</v>
      </c>
      <c r="C8" t="s">
        <v>42</v>
      </c>
      <c r="D8" t="s">
        <v>43</v>
      </c>
      <c r="E8" t="s">
        <v>21</v>
      </c>
      <c r="F8">
        <v>4</v>
      </c>
      <c r="G8">
        <v>1499</v>
      </c>
      <c r="H8">
        <v>0.05</v>
      </c>
      <c r="I8" t="s">
        <v>44</v>
      </c>
      <c r="J8" t="s">
        <v>22</v>
      </c>
      <c r="K8" t="s">
        <v>23</v>
      </c>
      <c r="L8">
        <f>F7*G7*(1-H7)</f>
        <v>1598</v>
      </c>
      <c r="N8">
        <f>AVERAGE(L2:L5001)</f>
        <v>6334.5321264252871</v>
      </c>
    </row>
    <row r="9" spans="1:15">
      <c r="A9" t="s">
        <v>45</v>
      </c>
      <c r="B9" s="1">
        <v>46294</v>
      </c>
      <c r="C9" t="s">
        <v>46</v>
      </c>
      <c r="D9" t="s">
        <v>13</v>
      </c>
      <c r="E9" t="s">
        <v>35</v>
      </c>
      <c r="F9">
        <v>4</v>
      </c>
      <c r="G9">
        <v>1499</v>
      </c>
      <c r="H9">
        <v>0.05</v>
      </c>
      <c r="I9" t="s">
        <v>47</v>
      </c>
      <c r="J9" t="s">
        <v>22</v>
      </c>
      <c r="K9" t="s">
        <v>37</v>
      </c>
      <c r="L9">
        <f>F8*G8*(1-H8)</f>
        <v>5696.2</v>
      </c>
      <c r="N9">
        <f>COUNTIF(K2:K5001,"Cancelled")</f>
        <v>979</v>
      </c>
    </row>
    <row r="10" spans="1:15">
      <c r="A10" t="s">
        <v>48</v>
      </c>
      <c r="B10" s="1">
        <v>46031</v>
      </c>
      <c r="C10" t="s">
        <v>49</v>
      </c>
      <c r="D10" t="s">
        <v>43</v>
      </c>
      <c r="E10" t="s">
        <v>14</v>
      </c>
      <c r="F10">
        <v>5</v>
      </c>
      <c r="G10">
        <v>599</v>
      </c>
      <c r="H10">
        <v>0.05</v>
      </c>
      <c r="I10" t="s">
        <v>50</v>
      </c>
      <c r="J10" t="s">
        <v>51</v>
      </c>
      <c r="K10" t="s">
        <v>17</v>
      </c>
      <c r="L10">
        <f>F9*G9*(1-H9)</f>
        <v>5696.2</v>
      </c>
      <c r="N10">
        <f>COUNTIF(K2:K5001,"Completed")</f>
        <v>0</v>
      </c>
    </row>
    <row r="11" spans="1:15">
      <c r="A11" t="s">
        <v>52</v>
      </c>
      <c r="B11" s="1">
        <v>46201</v>
      </c>
      <c r="C11" t="s">
        <v>53</v>
      </c>
      <c r="D11" t="s">
        <v>26</v>
      </c>
      <c r="E11" t="s">
        <v>27</v>
      </c>
      <c r="F11">
        <v>4</v>
      </c>
      <c r="G11">
        <v>7999</v>
      </c>
      <c r="H11">
        <v>0</v>
      </c>
      <c r="I11" t="s">
        <v>32</v>
      </c>
      <c r="J11" t="s">
        <v>36</v>
      </c>
      <c r="K11" t="s">
        <v>17</v>
      </c>
      <c r="L11">
        <f>F10*G10*(1-H10)</f>
        <v>2845.25</v>
      </c>
      <c r="N11">
        <f>COUNTIF(K2:K5001,"Completed")</f>
        <v>0</v>
      </c>
    </row>
    <row r="12" spans="1:15">
      <c r="A12" t="s">
        <v>54</v>
      </c>
      <c r="B12" s="1">
        <v>46167</v>
      </c>
      <c r="C12" t="s">
        <v>55</v>
      </c>
      <c r="D12" t="s">
        <v>56</v>
      </c>
      <c r="E12" t="s">
        <v>35</v>
      </c>
      <c r="F12">
        <v>1</v>
      </c>
      <c r="G12">
        <v>1299</v>
      </c>
      <c r="H12">
        <v>0.05</v>
      </c>
      <c r="I12" t="s">
        <v>44</v>
      </c>
      <c r="J12" t="s">
        <v>22</v>
      </c>
      <c r="K12" t="s">
        <v>37</v>
      </c>
      <c r="L12">
        <f>F11*G11*(1-H11)</f>
        <v>31996</v>
      </c>
    </row>
    <row r="13" spans="1:15">
      <c r="A13" t="s">
        <v>57</v>
      </c>
      <c r="B13" s="1">
        <v>46280</v>
      </c>
      <c r="C13" t="s">
        <v>58</v>
      </c>
      <c r="D13" t="s">
        <v>59</v>
      </c>
      <c r="E13" t="s">
        <v>21</v>
      </c>
      <c r="F13">
        <v>4</v>
      </c>
      <c r="G13">
        <v>2499</v>
      </c>
      <c r="H13">
        <v>0.05</v>
      </c>
      <c r="I13" t="s">
        <v>47</v>
      </c>
      <c r="J13" t="s">
        <v>51</v>
      </c>
      <c r="K13" t="s">
        <v>37</v>
      </c>
      <c r="L13">
        <f>F12*G12*(1-H12)</f>
        <v>1234.05</v>
      </c>
    </row>
    <row r="14" spans="1:15">
      <c r="A14" t="s">
        <v>60</v>
      </c>
      <c r="B14" s="1">
        <v>46208</v>
      </c>
      <c r="C14" t="s">
        <v>61</v>
      </c>
      <c r="D14" t="s">
        <v>62</v>
      </c>
      <c r="E14" t="s">
        <v>40</v>
      </c>
      <c r="F14">
        <v>2</v>
      </c>
      <c r="G14">
        <v>799</v>
      </c>
      <c r="H14">
        <v>0.1</v>
      </c>
      <c r="I14" t="s">
        <v>47</v>
      </c>
      <c r="J14" t="s">
        <v>51</v>
      </c>
      <c r="K14" t="s">
        <v>17</v>
      </c>
      <c r="L14">
        <f>F13*G13*(1-H13)</f>
        <v>9496.1999999999989</v>
      </c>
    </row>
    <row r="15" spans="1:15">
      <c r="A15" t="s">
        <v>63</v>
      </c>
      <c r="B15" s="1">
        <v>46112</v>
      </c>
      <c r="C15" t="s">
        <v>64</v>
      </c>
      <c r="D15" t="s">
        <v>20</v>
      </c>
      <c r="E15" t="s">
        <v>21</v>
      </c>
      <c r="F15">
        <v>1</v>
      </c>
      <c r="G15">
        <v>4999</v>
      </c>
      <c r="H15">
        <v>0</v>
      </c>
      <c r="I15" t="s">
        <v>32</v>
      </c>
      <c r="J15" t="s">
        <v>36</v>
      </c>
      <c r="K15" t="s">
        <v>17</v>
      </c>
      <c r="L15">
        <f>F14*G14*(1-H14)</f>
        <v>1438.2</v>
      </c>
    </row>
    <row r="16" spans="1:15">
      <c r="A16" t="s">
        <v>65</v>
      </c>
      <c r="B16" s="1">
        <v>46284</v>
      </c>
      <c r="C16" t="s">
        <v>66</v>
      </c>
      <c r="D16" t="s">
        <v>20</v>
      </c>
      <c r="E16" t="s">
        <v>21</v>
      </c>
      <c r="F16">
        <v>5</v>
      </c>
      <c r="G16">
        <v>799</v>
      </c>
      <c r="H16">
        <v>0.1</v>
      </c>
      <c r="I16" t="s">
        <v>50</v>
      </c>
      <c r="J16" t="s">
        <v>28</v>
      </c>
      <c r="K16" t="s">
        <v>17</v>
      </c>
      <c r="L16">
        <f>F15*G15*(1-H15)</f>
        <v>4999</v>
      </c>
      <c r="O16">
        <f>SUM(L2:L5001)</f>
        <v>31666326.100000009</v>
      </c>
    </row>
    <row r="17" spans="1:12">
      <c r="A17" t="s">
        <v>67</v>
      </c>
      <c r="B17" s="1">
        <v>46208</v>
      </c>
      <c r="C17" t="s">
        <v>68</v>
      </c>
      <c r="D17" t="s">
        <v>56</v>
      </c>
      <c r="E17" t="s">
        <v>27</v>
      </c>
      <c r="F17">
        <v>1</v>
      </c>
      <c r="G17">
        <v>2499</v>
      </c>
      <c r="H17">
        <v>0</v>
      </c>
      <c r="I17" t="s">
        <v>47</v>
      </c>
      <c r="J17" t="s">
        <v>36</v>
      </c>
      <c r="K17" t="s">
        <v>17</v>
      </c>
      <c r="L17">
        <f>F16*G16*(1-H16)</f>
        <v>3595.5</v>
      </c>
    </row>
    <row r="18" spans="1:12">
      <c r="A18" t="s">
        <v>69</v>
      </c>
      <c r="B18" s="1">
        <v>46265</v>
      </c>
      <c r="C18" t="s">
        <v>70</v>
      </c>
      <c r="D18" t="s">
        <v>71</v>
      </c>
      <c r="E18" t="s">
        <v>40</v>
      </c>
      <c r="F18">
        <v>5</v>
      </c>
      <c r="G18">
        <v>1499</v>
      </c>
      <c r="H18">
        <v>0.1</v>
      </c>
      <c r="I18" t="s">
        <v>15</v>
      </c>
      <c r="J18" t="s">
        <v>36</v>
      </c>
      <c r="K18" t="s">
        <v>17</v>
      </c>
      <c r="L18">
        <f>F17*G17*(1-H17)</f>
        <v>2499</v>
      </c>
    </row>
    <row r="19" spans="1:12">
      <c r="A19" t="s">
        <v>72</v>
      </c>
      <c r="B19" s="1">
        <v>46040</v>
      </c>
      <c r="C19" t="s">
        <v>73</v>
      </c>
      <c r="D19" t="s">
        <v>20</v>
      </c>
      <c r="E19" t="s">
        <v>35</v>
      </c>
      <c r="F19">
        <v>4</v>
      </c>
      <c r="G19">
        <v>999</v>
      </c>
      <c r="H19">
        <v>0</v>
      </c>
      <c r="I19" t="s">
        <v>32</v>
      </c>
      <c r="J19" t="s">
        <v>36</v>
      </c>
      <c r="K19" t="s">
        <v>37</v>
      </c>
      <c r="L19">
        <f>F18*G18*(1-H18)</f>
        <v>6745.5</v>
      </c>
    </row>
    <row r="20" spans="1:12">
      <c r="A20" t="s">
        <v>74</v>
      </c>
      <c r="B20" s="1">
        <v>46128</v>
      </c>
      <c r="C20" t="s">
        <v>75</v>
      </c>
      <c r="D20" t="s">
        <v>71</v>
      </c>
      <c r="E20" t="s">
        <v>14</v>
      </c>
      <c r="F20">
        <v>1</v>
      </c>
      <c r="G20">
        <v>2499</v>
      </c>
      <c r="H20">
        <v>0</v>
      </c>
      <c r="I20" t="s">
        <v>50</v>
      </c>
      <c r="J20" t="s">
        <v>28</v>
      </c>
      <c r="K20" t="s">
        <v>23</v>
      </c>
      <c r="L20">
        <f>F19*G19*(1-H19)</f>
        <v>3996</v>
      </c>
    </row>
    <row r="21" spans="1:12">
      <c r="A21" t="s">
        <v>76</v>
      </c>
      <c r="B21" s="1">
        <v>46126</v>
      </c>
      <c r="C21" t="s">
        <v>77</v>
      </c>
      <c r="D21" t="s">
        <v>78</v>
      </c>
      <c r="E21" t="s">
        <v>40</v>
      </c>
      <c r="F21">
        <v>2</v>
      </c>
      <c r="G21">
        <v>7999</v>
      </c>
      <c r="H21">
        <v>0</v>
      </c>
      <c r="I21" t="s">
        <v>47</v>
      </c>
      <c r="J21" t="s">
        <v>16</v>
      </c>
      <c r="K21" t="s">
        <v>17</v>
      </c>
      <c r="L21">
        <f>F20*G20*(1-H20)</f>
        <v>2499</v>
      </c>
    </row>
    <row r="22" spans="1:12">
      <c r="A22" t="s">
        <v>79</v>
      </c>
      <c r="B22" s="1">
        <v>46235</v>
      </c>
      <c r="C22" t="s">
        <v>80</v>
      </c>
      <c r="D22" t="s">
        <v>59</v>
      </c>
      <c r="E22" t="s">
        <v>35</v>
      </c>
      <c r="F22">
        <v>2</v>
      </c>
      <c r="G22">
        <v>4999</v>
      </c>
      <c r="H22">
        <v>0.15</v>
      </c>
      <c r="I22" t="s">
        <v>44</v>
      </c>
      <c r="J22" t="s">
        <v>16</v>
      </c>
      <c r="K22" t="s">
        <v>17</v>
      </c>
      <c r="L22">
        <f>F21*G21*(1-H21)</f>
        <v>15998</v>
      </c>
    </row>
    <row r="23" spans="1:12">
      <c r="A23" t="s">
        <v>81</v>
      </c>
      <c r="B23" s="1">
        <v>46207</v>
      </c>
      <c r="C23" t="s">
        <v>82</v>
      </c>
      <c r="D23" t="s">
        <v>71</v>
      </c>
      <c r="E23" t="s">
        <v>14</v>
      </c>
      <c r="F23">
        <v>2</v>
      </c>
      <c r="G23">
        <v>799</v>
      </c>
      <c r="H23">
        <v>0.1</v>
      </c>
      <c r="I23" t="s">
        <v>50</v>
      </c>
      <c r="J23" t="s">
        <v>36</v>
      </c>
      <c r="K23" t="s">
        <v>23</v>
      </c>
      <c r="L23">
        <f>F22*G22*(1-H22)</f>
        <v>8498.2999999999993</v>
      </c>
    </row>
    <row r="24" spans="1:12">
      <c r="A24" t="s">
        <v>83</v>
      </c>
      <c r="B24" s="1">
        <v>46132</v>
      </c>
      <c r="C24" t="s">
        <v>84</v>
      </c>
      <c r="D24" t="s">
        <v>26</v>
      </c>
      <c r="E24" t="s">
        <v>27</v>
      </c>
      <c r="F24">
        <v>4</v>
      </c>
      <c r="G24">
        <v>799</v>
      </c>
      <c r="H24">
        <v>0</v>
      </c>
      <c r="I24" t="s">
        <v>47</v>
      </c>
      <c r="J24" t="s">
        <v>22</v>
      </c>
      <c r="K24" t="s">
        <v>17</v>
      </c>
      <c r="L24">
        <f>F23*G23*(1-H23)</f>
        <v>1438.2</v>
      </c>
    </row>
    <row r="25" spans="1:12">
      <c r="A25" t="s">
        <v>85</v>
      </c>
      <c r="B25" s="1">
        <v>46196</v>
      </c>
      <c r="C25" t="s">
        <v>86</v>
      </c>
      <c r="D25" t="s">
        <v>56</v>
      </c>
      <c r="E25" t="s">
        <v>14</v>
      </c>
      <c r="F25">
        <v>1</v>
      </c>
      <c r="G25">
        <v>999</v>
      </c>
      <c r="H25">
        <v>0</v>
      </c>
      <c r="I25" t="s">
        <v>50</v>
      </c>
      <c r="J25" t="s">
        <v>28</v>
      </c>
      <c r="K25" t="s">
        <v>23</v>
      </c>
      <c r="L25">
        <f>F24*G24*(1-H24)</f>
        <v>3196</v>
      </c>
    </row>
    <row r="26" spans="1:12">
      <c r="A26" t="s">
        <v>87</v>
      </c>
      <c r="B26" s="1">
        <v>46046</v>
      </c>
      <c r="C26" t="s">
        <v>88</v>
      </c>
      <c r="D26" t="s">
        <v>62</v>
      </c>
      <c r="E26" t="s">
        <v>14</v>
      </c>
      <c r="F26">
        <v>4</v>
      </c>
      <c r="G26">
        <v>499</v>
      </c>
      <c r="H26">
        <v>0</v>
      </c>
      <c r="I26" t="s">
        <v>47</v>
      </c>
      <c r="J26" t="s">
        <v>16</v>
      </c>
      <c r="K26" t="s">
        <v>37</v>
      </c>
      <c r="L26">
        <f>F25*G25*(1-H25)</f>
        <v>999</v>
      </c>
    </row>
    <row r="27" spans="1:12">
      <c r="A27" t="s">
        <v>89</v>
      </c>
      <c r="B27" s="1">
        <v>46122</v>
      </c>
      <c r="C27" t="s">
        <v>90</v>
      </c>
      <c r="D27" t="s">
        <v>20</v>
      </c>
      <c r="E27" t="s">
        <v>40</v>
      </c>
      <c r="F27">
        <v>4</v>
      </c>
      <c r="G27">
        <v>2499</v>
      </c>
      <c r="H27">
        <v>0.05</v>
      </c>
      <c r="I27" t="s">
        <v>44</v>
      </c>
      <c r="J27" t="s">
        <v>36</v>
      </c>
      <c r="K27" t="s">
        <v>23</v>
      </c>
      <c r="L27">
        <f>F26*G26*(1-H26)</f>
        <v>1996</v>
      </c>
    </row>
    <row r="28" spans="1:12">
      <c r="A28" t="s">
        <v>91</v>
      </c>
      <c r="B28" s="1">
        <v>46185</v>
      </c>
      <c r="C28" t="s">
        <v>92</v>
      </c>
      <c r="D28" t="s">
        <v>26</v>
      </c>
      <c r="E28" t="s">
        <v>35</v>
      </c>
      <c r="F28">
        <v>4</v>
      </c>
      <c r="G28">
        <v>499</v>
      </c>
      <c r="H28">
        <v>0.05</v>
      </c>
      <c r="I28" t="s">
        <v>15</v>
      </c>
      <c r="J28" t="s">
        <v>51</v>
      </c>
      <c r="K28" t="s">
        <v>17</v>
      </c>
      <c r="L28">
        <f>F27*G27*(1-H27)</f>
        <v>9496.1999999999989</v>
      </c>
    </row>
    <row r="29" spans="1:12">
      <c r="A29" t="s">
        <v>93</v>
      </c>
      <c r="B29" s="1">
        <v>46050</v>
      </c>
      <c r="C29" t="s">
        <v>94</v>
      </c>
      <c r="D29" t="s">
        <v>62</v>
      </c>
      <c r="E29" t="s">
        <v>14</v>
      </c>
      <c r="F29">
        <v>4</v>
      </c>
      <c r="G29">
        <v>499</v>
      </c>
      <c r="H29">
        <v>0</v>
      </c>
      <c r="I29" t="s">
        <v>15</v>
      </c>
      <c r="J29" t="s">
        <v>36</v>
      </c>
      <c r="K29" t="s">
        <v>17</v>
      </c>
      <c r="L29">
        <f>F28*G28*(1-H28)</f>
        <v>1896.1999999999998</v>
      </c>
    </row>
    <row r="30" spans="1:12">
      <c r="A30" t="s">
        <v>95</v>
      </c>
      <c r="B30" s="1">
        <v>46232</v>
      </c>
      <c r="C30" t="s">
        <v>96</v>
      </c>
      <c r="D30" t="s">
        <v>20</v>
      </c>
      <c r="E30" t="s">
        <v>21</v>
      </c>
      <c r="F30">
        <v>2</v>
      </c>
      <c r="G30">
        <v>599</v>
      </c>
      <c r="H30">
        <v>0</v>
      </c>
      <c r="I30" t="s">
        <v>50</v>
      </c>
      <c r="J30" t="s">
        <v>16</v>
      </c>
      <c r="K30" t="s">
        <v>17</v>
      </c>
      <c r="L30">
        <f>F29*G29*(1-H29)</f>
        <v>1996</v>
      </c>
    </row>
    <row r="31" spans="1:12">
      <c r="A31" t="s">
        <v>97</v>
      </c>
      <c r="B31" s="1">
        <v>46087</v>
      </c>
      <c r="C31" t="s">
        <v>98</v>
      </c>
      <c r="D31" t="s">
        <v>20</v>
      </c>
      <c r="E31" t="s">
        <v>14</v>
      </c>
      <c r="F31">
        <v>3</v>
      </c>
      <c r="G31">
        <v>999</v>
      </c>
      <c r="H31">
        <v>0</v>
      </c>
      <c r="I31" t="s">
        <v>15</v>
      </c>
      <c r="J31" t="s">
        <v>16</v>
      </c>
      <c r="K31" t="s">
        <v>37</v>
      </c>
      <c r="L31">
        <f>F30*G30*(1-H30)</f>
        <v>1198</v>
      </c>
    </row>
    <row r="32" spans="1:12">
      <c r="A32" t="s">
        <v>99</v>
      </c>
      <c r="B32" s="1">
        <v>46042</v>
      </c>
      <c r="C32" t="s">
        <v>100</v>
      </c>
      <c r="D32" t="s">
        <v>78</v>
      </c>
      <c r="E32" t="s">
        <v>21</v>
      </c>
      <c r="F32">
        <v>5</v>
      </c>
      <c r="G32">
        <v>799</v>
      </c>
      <c r="H32">
        <v>0.1</v>
      </c>
      <c r="I32" t="s">
        <v>50</v>
      </c>
      <c r="J32" t="s">
        <v>51</v>
      </c>
      <c r="K32" t="s">
        <v>17</v>
      </c>
      <c r="L32">
        <f>F31*G31*(1-H31)</f>
        <v>2997</v>
      </c>
    </row>
    <row r="33" spans="1:12">
      <c r="A33" t="s">
        <v>101</v>
      </c>
      <c r="B33" s="1">
        <v>46081</v>
      </c>
      <c r="C33" t="s">
        <v>102</v>
      </c>
      <c r="D33" t="s">
        <v>62</v>
      </c>
      <c r="E33" t="s">
        <v>35</v>
      </c>
      <c r="F33">
        <v>2</v>
      </c>
      <c r="G33">
        <v>2499</v>
      </c>
      <c r="H33">
        <v>0.05</v>
      </c>
      <c r="I33" t="s">
        <v>15</v>
      </c>
      <c r="J33" t="s">
        <v>36</v>
      </c>
      <c r="K33" t="s">
        <v>17</v>
      </c>
      <c r="L33">
        <f>F32*G32*(1-H32)</f>
        <v>3595.5</v>
      </c>
    </row>
    <row r="34" spans="1:12">
      <c r="A34" t="s">
        <v>103</v>
      </c>
      <c r="B34" s="1">
        <v>46255</v>
      </c>
      <c r="C34" t="s">
        <v>104</v>
      </c>
      <c r="D34" t="s">
        <v>56</v>
      </c>
      <c r="E34" t="s">
        <v>35</v>
      </c>
      <c r="F34">
        <v>1</v>
      </c>
      <c r="G34">
        <v>999</v>
      </c>
      <c r="H34">
        <v>0</v>
      </c>
      <c r="I34" t="s">
        <v>15</v>
      </c>
      <c r="J34" t="s">
        <v>22</v>
      </c>
      <c r="K34" t="s">
        <v>23</v>
      </c>
      <c r="L34">
        <f>F33*G33*(1-H33)</f>
        <v>4748.0999999999995</v>
      </c>
    </row>
    <row r="35" spans="1:12">
      <c r="A35" t="s">
        <v>105</v>
      </c>
      <c r="B35" s="1">
        <v>46138</v>
      </c>
      <c r="C35" t="s">
        <v>106</v>
      </c>
      <c r="D35" t="s">
        <v>31</v>
      </c>
      <c r="E35" t="s">
        <v>27</v>
      </c>
      <c r="F35">
        <v>1</v>
      </c>
      <c r="G35">
        <v>499</v>
      </c>
      <c r="H35">
        <v>0.05</v>
      </c>
      <c r="I35" t="s">
        <v>32</v>
      </c>
      <c r="J35" t="s">
        <v>28</v>
      </c>
      <c r="K35" t="s">
        <v>17</v>
      </c>
      <c r="L35">
        <f>F34*G34*(1-H34)</f>
        <v>999</v>
      </c>
    </row>
    <row r="36" spans="1:12">
      <c r="A36" t="s">
        <v>107</v>
      </c>
      <c r="B36" s="1">
        <v>46057</v>
      </c>
      <c r="C36" t="s">
        <v>108</v>
      </c>
      <c r="D36" t="s">
        <v>62</v>
      </c>
      <c r="E36" t="s">
        <v>27</v>
      </c>
      <c r="F36">
        <v>2</v>
      </c>
      <c r="G36">
        <v>1999</v>
      </c>
      <c r="H36">
        <v>0</v>
      </c>
      <c r="I36" t="s">
        <v>15</v>
      </c>
      <c r="J36" t="s">
        <v>51</v>
      </c>
      <c r="K36" t="s">
        <v>17</v>
      </c>
      <c r="L36">
        <f>F35*G35*(1-H35)</f>
        <v>474.04999999999995</v>
      </c>
    </row>
    <row r="37" spans="1:12">
      <c r="A37" t="s">
        <v>109</v>
      </c>
      <c r="B37" s="1">
        <v>46238</v>
      </c>
      <c r="C37" t="s">
        <v>110</v>
      </c>
      <c r="D37" t="s">
        <v>20</v>
      </c>
      <c r="E37" t="s">
        <v>27</v>
      </c>
      <c r="F37">
        <v>1</v>
      </c>
      <c r="G37">
        <v>1999</v>
      </c>
      <c r="H37">
        <v>0.05</v>
      </c>
      <c r="I37" t="s">
        <v>47</v>
      </c>
      <c r="J37" t="s">
        <v>28</v>
      </c>
      <c r="K37" t="s">
        <v>23</v>
      </c>
      <c r="L37">
        <f>F36*G36*(1-H36)</f>
        <v>3998</v>
      </c>
    </row>
    <row r="38" spans="1:12">
      <c r="A38" t="s">
        <v>111</v>
      </c>
      <c r="B38" s="1">
        <v>46103</v>
      </c>
      <c r="C38" t="s">
        <v>108</v>
      </c>
      <c r="D38" t="s">
        <v>43</v>
      </c>
      <c r="E38" t="s">
        <v>40</v>
      </c>
      <c r="F38">
        <v>5</v>
      </c>
      <c r="G38">
        <v>2499</v>
      </c>
      <c r="H38">
        <v>0</v>
      </c>
      <c r="I38" t="s">
        <v>32</v>
      </c>
      <c r="J38" t="s">
        <v>51</v>
      </c>
      <c r="K38" t="s">
        <v>17</v>
      </c>
      <c r="L38">
        <f>F37*G37*(1-H37)</f>
        <v>1899.05</v>
      </c>
    </row>
    <row r="39" spans="1:12">
      <c r="A39" t="s">
        <v>112</v>
      </c>
      <c r="B39" s="1">
        <v>46069</v>
      </c>
      <c r="C39" t="s">
        <v>113</v>
      </c>
      <c r="D39" t="s">
        <v>71</v>
      </c>
      <c r="E39" t="s">
        <v>21</v>
      </c>
      <c r="F39">
        <v>2</v>
      </c>
      <c r="G39">
        <v>4999</v>
      </c>
      <c r="H39">
        <v>0.15</v>
      </c>
      <c r="I39" t="s">
        <v>32</v>
      </c>
      <c r="J39" t="s">
        <v>36</v>
      </c>
      <c r="K39" t="s">
        <v>23</v>
      </c>
      <c r="L39">
        <f>F38*G38*(1-H38)</f>
        <v>12495</v>
      </c>
    </row>
    <row r="40" spans="1:12">
      <c r="A40" t="s">
        <v>114</v>
      </c>
      <c r="B40" s="1">
        <v>46119</v>
      </c>
      <c r="C40" t="s">
        <v>115</v>
      </c>
      <c r="D40" t="s">
        <v>78</v>
      </c>
      <c r="E40" t="s">
        <v>21</v>
      </c>
      <c r="F40">
        <v>3</v>
      </c>
      <c r="G40">
        <v>4999</v>
      </c>
      <c r="H40">
        <v>0</v>
      </c>
      <c r="I40" t="s">
        <v>47</v>
      </c>
      <c r="J40" t="s">
        <v>36</v>
      </c>
      <c r="K40" t="s">
        <v>23</v>
      </c>
      <c r="L40">
        <f>F39*G39*(1-H39)</f>
        <v>8498.2999999999993</v>
      </c>
    </row>
    <row r="41" spans="1:12">
      <c r="A41" t="s">
        <v>116</v>
      </c>
      <c r="B41" s="1">
        <v>46165</v>
      </c>
      <c r="C41" t="s">
        <v>117</v>
      </c>
      <c r="D41" t="s">
        <v>62</v>
      </c>
      <c r="E41" t="s">
        <v>35</v>
      </c>
      <c r="F41">
        <v>2</v>
      </c>
      <c r="G41">
        <v>1299</v>
      </c>
      <c r="H41">
        <v>0.05</v>
      </c>
      <c r="I41" t="s">
        <v>15</v>
      </c>
      <c r="J41" t="s">
        <v>22</v>
      </c>
      <c r="K41" t="s">
        <v>17</v>
      </c>
      <c r="L41">
        <f>F40*G40*(1-H40)</f>
        <v>14997</v>
      </c>
    </row>
    <row r="42" spans="1:12">
      <c r="A42" t="s">
        <v>118</v>
      </c>
      <c r="B42" s="1">
        <v>46130</v>
      </c>
      <c r="C42" t="s">
        <v>119</v>
      </c>
      <c r="D42" t="s">
        <v>43</v>
      </c>
      <c r="E42" t="s">
        <v>35</v>
      </c>
      <c r="F42">
        <v>3</v>
      </c>
      <c r="G42">
        <v>4999</v>
      </c>
      <c r="H42">
        <v>0.15</v>
      </c>
      <c r="I42" t="s">
        <v>47</v>
      </c>
      <c r="J42" t="s">
        <v>36</v>
      </c>
      <c r="K42" t="s">
        <v>23</v>
      </c>
      <c r="L42">
        <f>F41*G41*(1-H41)</f>
        <v>2468.1</v>
      </c>
    </row>
    <row r="43" spans="1:12">
      <c r="A43" t="s">
        <v>120</v>
      </c>
      <c r="B43" s="1">
        <v>46203</v>
      </c>
      <c r="C43" t="s">
        <v>121</v>
      </c>
      <c r="D43" t="s">
        <v>31</v>
      </c>
      <c r="E43" t="s">
        <v>14</v>
      </c>
      <c r="F43">
        <v>5</v>
      </c>
      <c r="G43">
        <v>2499</v>
      </c>
      <c r="H43">
        <v>0.15</v>
      </c>
      <c r="I43" t="s">
        <v>32</v>
      </c>
      <c r="J43" t="s">
        <v>28</v>
      </c>
      <c r="K43" t="s">
        <v>37</v>
      </c>
      <c r="L43">
        <f>F42*G42*(1-H42)</f>
        <v>12747.449999999999</v>
      </c>
    </row>
    <row r="44" spans="1:12">
      <c r="A44" t="s">
        <v>122</v>
      </c>
      <c r="B44" s="1">
        <v>46278</v>
      </c>
      <c r="C44" t="s">
        <v>123</v>
      </c>
      <c r="D44" t="s">
        <v>20</v>
      </c>
      <c r="E44" t="s">
        <v>27</v>
      </c>
      <c r="F44">
        <v>2</v>
      </c>
      <c r="G44">
        <v>599</v>
      </c>
      <c r="H44">
        <v>0.05</v>
      </c>
      <c r="I44" t="s">
        <v>50</v>
      </c>
      <c r="J44" t="s">
        <v>36</v>
      </c>
      <c r="K44" t="s">
        <v>17</v>
      </c>
      <c r="L44">
        <f>F43*G43*(1-H43)</f>
        <v>10620.75</v>
      </c>
    </row>
    <row r="45" spans="1:12">
      <c r="A45" t="s">
        <v>124</v>
      </c>
      <c r="B45" s="1">
        <v>46118</v>
      </c>
      <c r="C45" t="s">
        <v>106</v>
      </c>
      <c r="D45" t="s">
        <v>62</v>
      </c>
      <c r="E45" t="s">
        <v>14</v>
      </c>
      <c r="F45">
        <v>4</v>
      </c>
      <c r="G45">
        <v>999</v>
      </c>
      <c r="H45">
        <v>0.1</v>
      </c>
      <c r="I45" t="s">
        <v>44</v>
      </c>
      <c r="J45" t="s">
        <v>51</v>
      </c>
      <c r="K45" t="s">
        <v>17</v>
      </c>
      <c r="L45">
        <f>F44*G44*(1-H44)</f>
        <v>1138.0999999999999</v>
      </c>
    </row>
    <row r="46" spans="1:12">
      <c r="A46" t="s">
        <v>125</v>
      </c>
      <c r="B46" s="1">
        <v>46260</v>
      </c>
      <c r="C46" t="s">
        <v>126</v>
      </c>
      <c r="D46" t="s">
        <v>43</v>
      </c>
      <c r="E46" t="s">
        <v>27</v>
      </c>
      <c r="F46">
        <v>5</v>
      </c>
      <c r="G46">
        <v>4999</v>
      </c>
      <c r="H46">
        <v>0.1</v>
      </c>
      <c r="I46" t="s">
        <v>32</v>
      </c>
      <c r="J46" t="s">
        <v>16</v>
      </c>
      <c r="K46" t="s">
        <v>37</v>
      </c>
      <c r="L46">
        <f>F45*G45*(1-H45)</f>
        <v>3596.4</v>
      </c>
    </row>
    <row r="47" spans="1:12">
      <c r="A47" t="s">
        <v>127</v>
      </c>
      <c r="B47" s="1">
        <v>46068</v>
      </c>
      <c r="C47" t="s">
        <v>128</v>
      </c>
      <c r="D47" t="s">
        <v>71</v>
      </c>
      <c r="E47" t="s">
        <v>40</v>
      </c>
      <c r="F47">
        <v>3</v>
      </c>
      <c r="G47">
        <v>599</v>
      </c>
      <c r="H47">
        <v>0.1</v>
      </c>
      <c r="I47" t="s">
        <v>50</v>
      </c>
      <c r="J47" t="s">
        <v>22</v>
      </c>
      <c r="K47" t="s">
        <v>17</v>
      </c>
      <c r="L47">
        <f>F46*G46*(1-H46)</f>
        <v>22495.5</v>
      </c>
    </row>
    <row r="48" spans="1:12">
      <c r="A48" t="s">
        <v>129</v>
      </c>
      <c r="B48" s="1">
        <v>46088</v>
      </c>
      <c r="C48" t="s">
        <v>130</v>
      </c>
      <c r="D48" t="s">
        <v>26</v>
      </c>
      <c r="E48" t="s">
        <v>40</v>
      </c>
      <c r="F48">
        <v>4</v>
      </c>
      <c r="G48">
        <v>499</v>
      </c>
      <c r="H48">
        <v>0</v>
      </c>
      <c r="I48" t="s">
        <v>44</v>
      </c>
      <c r="J48" t="s">
        <v>22</v>
      </c>
      <c r="K48" t="s">
        <v>17</v>
      </c>
      <c r="L48">
        <f>F47*G47*(1-H47)</f>
        <v>1617.3</v>
      </c>
    </row>
    <row r="49" spans="1:12">
      <c r="A49" t="s">
        <v>131</v>
      </c>
      <c r="B49" s="1">
        <v>46098</v>
      </c>
      <c r="C49" t="s">
        <v>132</v>
      </c>
      <c r="D49" t="s">
        <v>31</v>
      </c>
      <c r="E49" t="s">
        <v>40</v>
      </c>
      <c r="F49">
        <v>2</v>
      </c>
      <c r="G49">
        <v>799</v>
      </c>
      <c r="H49">
        <v>0</v>
      </c>
      <c r="I49" t="s">
        <v>32</v>
      </c>
      <c r="J49" t="s">
        <v>22</v>
      </c>
      <c r="K49" t="s">
        <v>23</v>
      </c>
      <c r="L49">
        <f>F48*G48*(1-H48)</f>
        <v>1996</v>
      </c>
    </row>
    <row r="50" spans="1:12">
      <c r="A50" t="s">
        <v>133</v>
      </c>
      <c r="B50" s="1">
        <v>46041</v>
      </c>
      <c r="C50" t="s">
        <v>134</v>
      </c>
      <c r="D50" t="s">
        <v>43</v>
      </c>
      <c r="E50" t="s">
        <v>40</v>
      </c>
      <c r="F50">
        <v>5</v>
      </c>
      <c r="G50">
        <v>999</v>
      </c>
      <c r="H50">
        <v>0</v>
      </c>
      <c r="I50" t="s">
        <v>44</v>
      </c>
      <c r="J50" t="s">
        <v>22</v>
      </c>
      <c r="K50" t="s">
        <v>17</v>
      </c>
      <c r="L50">
        <f>F49*G49*(1-H49)</f>
        <v>1598</v>
      </c>
    </row>
    <row r="51" spans="1:12">
      <c r="A51" t="s">
        <v>135</v>
      </c>
      <c r="B51" s="1">
        <v>46062</v>
      </c>
      <c r="C51" t="s">
        <v>136</v>
      </c>
      <c r="D51" t="s">
        <v>20</v>
      </c>
      <c r="E51" t="s">
        <v>21</v>
      </c>
      <c r="F51">
        <v>5</v>
      </c>
      <c r="G51">
        <v>1499</v>
      </c>
      <c r="H51">
        <v>0.05</v>
      </c>
      <c r="I51" t="s">
        <v>44</v>
      </c>
      <c r="J51" t="s">
        <v>51</v>
      </c>
      <c r="K51" t="s">
        <v>17</v>
      </c>
      <c r="L51">
        <f>F50*G50*(1-H50)</f>
        <v>4995</v>
      </c>
    </row>
    <row r="52" spans="1:12">
      <c r="A52" t="s">
        <v>137</v>
      </c>
      <c r="B52" s="1">
        <v>46047</v>
      </c>
      <c r="C52" t="s">
        <v>138</v>
      </c>
      <c r="D52" t="s">
        <v>62</v>
      </c>
      <c r="E52" t="s">
        <v>14</v>
      </c>
      <c r="F52">
        <v>2</v>
      </c>
      <c r="G52">
        <v>1999</v>
      </c>
      <c r="H52">
        <v>0</v>
      </c>
      <c r="I52" t="s">
        <v>15</v>
      </c>
      <c r="J52" t="s">
        <v>51</v>
      </c>
      <c r="K52" t="s">
        <v>17</v>
      </c>
      <c r="L52">
        <f>F51*G51*(1-H51)</f>
        <v>7120.25</v>
      </c>
    </row>
    <row r="53" spans="1:12">
      <c r="A53" t="s">
        <v>139</v>
      </c>
      <c r="B53" s="1">
        <v>46040</v>
      </c>
      <c r="C53" t="s">
        <v>140</v>
      </c>
      <c r="D53" t="s">
        <v>26</v>
      </c>
      <c r="E53" t="s">
        <v>27</v>
      </c>
      <c r="F53">
        <v>5</v>
      </c>
      <c r="G53">
        <v>499</v>
      </c>
      <c r="H53">
        <v>0.15</v>
      </c>
      <c r="I53" t="s">
        <v>50</v>
      </c>
      <c r="J53" t="s">
        <v>36</v>
      </c>
      <c r="K53" t="s">
        <v>23</v>
      </c>
      <c r="L53">
        <f>F52*G52*(1-H52)</f>
        <v>3998</v>
      </c>
    </row>
    <row r="54" spans="1:12">
      <c r="A54" t="s">
        <v>141</v>
      </c>
      <c r="B54" s="1">
        <v>46287</v>
      </c>
      <c r="C54" t="s">
        <v>142</v>
      </c>
      <c r="D54" t="s">
        <v>71</v>
      </c>
      <c r="E54" t="s">
        <v>21</v>
      </c>
      <c r="F54">
        <v>1</v>
      </c>
      <c r="G54">
        <v>599</v>
      </c>
      <c r="H54">
        <v>0.05</v>
      </c>
      <c r="I54" t="s">
        <v>44</v>
      </c>
      <c r="J54" t="s">
        <v>28</v>
      </c>
      <c r="K54" t="s">
        <v>23</v>
      </c>
      <c r="L54">
        <f>F53*G53*(1-H53)</f>
        <v>2120.75</v>
      </c>
    </row>
    <row r="55" spans="1:12">
      <c r="A55" t="s">
        <v>143</v>
      </c>
      <c r="B55" s="1">
        <v>46277</v>
      </c>
      <c r="C55" t="s">
        <v>144</v>
      </c>
      <c r="D55" t="s">
        <v>13</v>
      </c>
      <c r="E55" t="s">
        <v>35</v>
      </c>
      <c r="F55">
        <v>4</v>
      </c>
      <c r="G55">
        <v>7999</v>
      </c>
      <c r="H55">
        <v>0.1</v>
      </c>
      <c r="I55" t="s">
        <v>44</v>
      </c>
      <c r="J55" t="s">
        <v>51</v>
      </c>
      <c r="K55" t="s">
        <v>17</v>
      </c>
      <c r="L55">
        <f>F54*G54*(1-H54)</f>
        <v>569.04999999999995</v>
      </c>
    </row>
    <row r="56" spans="1:12">
      <c r="A56" t="s">
        <v>145</v>
      </c>
      <c r="B56" s="1">
        <v>46201</v>
      </c>
      <c r="C56" t="s">
        <v>146</v>
      </c>
      <c r="D56" t="s">
        <v>59</v>
      </c>
      <c r="E56" t="s">
        <v>40</v>
      </c>
      <c r="F56">
        <v>2</v>
      </c>
      <c r="G56">
        <v>1499</v>
      </c>
      <c r="H56">
        <v>0.1</v>
      </c>
      <c r="I56" t="s">
        <v>50</v>
      </c>
      <c r="J56" t="s">
        <v>51</v>
      </c>
      <c r="K56" t="s">
        <v>17</v>
      </c>
      <c r="L56">
        <f>F55*G55*(1-H55)</f>
        <v>28796.400000000001</v>
      </c>
    </row>
    <row r="57" spans="1:12">
      <c r="A57" t="s">
        <v>147</v>
      </c>
      <c r="B57" s="1">
        <v>46140</v>
      </c>
      <c r="C57" t="s">
        <v>148</v>
      </c>
      <c r="D57" t="s">
        <v>71</v>
      </c>
      <c r="E57" t="s">
        <v>35</v>
      </c>
      <c r="F57">
        <v>4</v>
      </c>
      <c r="G57">
        <v>4999</v>
      </c>
      <c r="H57">
        <v>0</v>
      </c>
      <c r="I57" t="s">
        <v>50</v>
      </c>
      <c r="J57" t="s">
        <v>51</v>
      </c>
      <c r="K57" t="s">
        <v>37</v>
      </c>
      <c r="L57">
        <f>F56*G56*(1-H56)</f>
        <v>2698.2000000000003</v>
      </c>
    </row>
    <row r="58" spans="1:12">
      <c r="A58" t="s">
        <v>149</v>
      </c>
      <c r="B58" s="1">
        <v>46145</v>
      </c>
      <c r="C58" t="s">
        <v>150</v>
      </c>
      <c r="D58" t="s">
        <v>71</v>
      </c>
      <c r="E58" t="s">
        <v>40</v>
      </c>
      <c r="F58">
        <v>2</v>
      </c>
      <c r="G58">
        <v>1299</v>
      </c>
      <c r="H58">
        <v>0</v>
      </c>
      <c r="I58" t="s">
        <v>44</v>
      </c>
      <c r="J58" t="s">
        <v>28</v>
      </c>
      <c r="K58" t="s">
        <v>17</v>
      </c>
      <c r="L58">
        <f>F57*G57*(1-H57)</f>
        <v>19996</v>
      </c>
    </row>
    <row r="59" spans="1:12">
      <c r="A59" t="s">
        <v>151</v>
      </c>
      <c r="B59" s="1">
        <v>46195</v>
      </c>
      <c r="C59" t="s">
        <v>152</v>
      </c>
      <c r="D59" t="s">
        <v>26</v>
      </c>
      <c r="E59" t="s">
        <v>27</v>
      </c>
      <c r="F59">
        <v>3</v>
      </c>
      <c r="G59">
        <v>7999</v>
      </c>
      <c r="H59">
        <v>0</v>
      </c>
      <c r="I59" t="s">
        <v>32</v>
      </c>
      <c r="J59" t="s">
        <v>28</v>
      </c>
      <c r="K59" t="s">
        <v>17</v>
      </c>
      <c r="L59">
        <f>F58*G58*(1-H58)</f>
        <v>2598</v>
      </c>
    </row>
    <row r="60" spans="1:12">
      <c r="A60" t="s">
        <v>153</v>
      </c>
      <c r="B60" s="1">
        <v>46190</v>
      </c>
      <c r="C60" t="s">
        <v>154</v>
      </c>
      <c r="D60" t="s">
        <v>20</v>
      </c>
      <c r="E60" t="s">
        <v>14</v>
      </c>
      <c r="F60">
        <v>5</v>
      </c>
      <c r="G60">
        <v>499</v>
      </c>
      <c r="H60">
        <v>0.1</v>
      </c>
      <c r="I60" t="s">
        <v>32</v>
      </c>
      <c r="J60" t="s">
        <v>51</v>
      </c>
      <c r="K60" t="s">
        <v>23</v>
      </c>
      <c r="L60">
        <f>F59*G59*(1-H59)</f>
        <v>23997</v>
      </c>
    </row>
    <row r="61" spans="1:12">
      <c r="A61" t="s">
        <v>155</v>
      </c>
      <c r="B61" s="1">
        <v>46256</v>
      </c>
      <c r="C61" t="s">
        <v>156</v>
      </c>
      <c r="D61" t="s">
        <v>26</v>
      </c>
      <c r="E61" t="s">
        <v>21</v>
      </c>
      <c r="F61">
        <v>1</v>
      </c>
      <c r="G61">
        <v>2499</v>
      </c>
      <c r="H61">
        <v>0</v>
      </c>
      <c r="I61" t="s">
        <v>15</v>
      </c>
      <c r="J61" t="s">
        <v>16</v>
      </c>
      <c r="K61" t="s">
        <v>37</v>
      </c>
      <c r="L61">
        <f>F60*G60*(1-H60)</f>
        <v>2245.5</v>
      </c>
    </row>
    <row r="62" spans="1:12">
      <c r="A62" t="s">
        <v>157</v>
      </c>
      <c r="B62" s="1">
        <v>46131</v>
      </c>
      <c r="C62" t="s">
        <v>158</v>
      </c>
      <c r="D62" t="s">
        <v>71</v>
      </c>
      <c r="E62" t="s">
        <v>27</v>
      </c>
      <c r="F62">
        <v>1</v>
      </c>
      <c r="G62">
        <v>999</v>
      </c>
      <c r="H62">
        <v>0</v>
      </c>
      <c r="I62" t="s">
        <v>32</v>
      </c>
      <c r="J62" t="s">
        <v>28</v>
      </c>
      <c r="K62" t="s">
        <v>17</v>
      </c>
      <c r="L62">
        <f>F61*G61*(1-H61)</f>
        <v>2499</v>
      </c>
    </row>
    <row r="63" spans="1:12">
      <c r="A63" t="s">
        <v>159</v>
      </c>
      <c r="B63" s="1">
        <v>46213</v>
      </c>
      <c r="C63" t="s">
        <v>160</v>
      </c>
      <c r="D63" t="s">
        <v>62</v>
      </c>
      <c r="E63" t="s">
        <v>40</v>
      </c>
      <c r="F63">
        <v>1</v>
      </c>
      <c r="G63">
        <v>7999</v>
      </c>
      <c r="H63">
        <v>0</v>
      </c>
      <c r="I63" t="s">
        <v>47</v>
      </c>
      <c r="J63" t="s">
        <v>51</v>
      </c>
      <c r="K63" t="s">
        <v>17</v>
      </c>
      <c r="L63">
        <f>F62*G62*(1-H62)</f>
        <v>999</v>
      </c>
    </row>
    <row r="64" spans="1:12">
      <c r="A64" t="s">
        <v>161</v>
      </c>
      <c r="B64" s="1">
        <v>46033</v>
      </c>
      <c r="C64" t="s">
        <v>162</v>
      </c>
      <c r="D64" t="s">
        <v>31</v>
      </c>
      <c r="E64" t="s">
        <v>21</v>
      </c>
      <c r="F64">
        <v>4</v>
      </c>
      <c r="G64">
        <v>599</v>
      </c>
      <c r="H64">
        <v>0.05</v>
      </c>
      <c r="I64" t="s">
        <v>32</v>
      </c>
      <c r="J64" t="s">
        <v>22</v>
      </c>
      <c r="K64" t="s">
        <v>17</v>
      </c>
      <c r="L64">
        <f>F63*G63*(1-H63)</f>
        <v>7999</v>
      </c>
    </row>
    <row r="65" spans="1:12">
      <c r="A65" t="s">
        <v>163</v>
      </c>
      <c r="B65" s="1">
        <v>46106</v>
      </c>
      <c r="C65" t="s">
        <v>164</v>
      </c>
      <c r="D65" t="s">
        <v>26</v>
      </c>
      <c r="E65" t="s">
        <v>27</v>
      </c>
      <c r="F65">
        <v>5</v>
      </c>
      <c r="G65">
        <v>7999</v>
      </c>
      <c r="H65">
        <v>0</v>
      </c>
      <c r="I65" t="s">
        <v>50</v>
      </c>
      <c r="J65" t="s">
        <v>36</v>
      </c>
      <c r="K65" t="s">
        <v>23</v>
      </c>
      <c r="L65">
        <f>F64*G64*(1-H64)</f>
        <v>2276.1999999999998</v>
      </c>
    </row>
    <row r="66" spans="1:12">
      <c r="A66" t="s">
        <v>165</v>
      </c>
      <c r="B66" s="1">
        <v>46071</v>
      </c>
      <c r="C66" t="s">
        <v>166</v>
      </c>
      <c r="D66" t="s">
        <v>31</v>
      </c>
      <c r="E66" t="s">
        <v>14</v>
      </c>
      <c r="F66">
        <v>5</v>
      </c>
      <c r="G66">
        <v>4999</v>
      </c>
      <c r="H66">
        <v>0.15</v>
      </c>
      <c r="I66" t="s">
        <v>32</v>
      </c>
      <c r="J66" t="s">
        <v>51</v>
      </c>
      <c r="K66" t="s">
        <v>17</v>
      </c>
      <c r="L66">
        <f>F65*G65*(1-H65)</f>
        <v>39995</v>
      </c>
    </row>
    <row r="67" spans="1:12">
      <c r="A67" t="s">
        <v>167</v>
      </c>
      <c r="B67" s="1">
        <v>46164</v>
      </c>
      <c r="C67" t="s">
        <v>168</v>
      </c>
      <c r="D67" t="s">
        <v>62</v>
      </c>
      <c r="E67" t="s">
        <v>21</v>
      </c>
      <c r="F67">
        <v>1</v>
      </c>
      <c r="G67">
        <v>599</v>
      </c>
      <c r="H67">
        <v>0.05</v>
      </c>
      <c r="I67" t="s">
        <v>44</v>
      </c>
      <c r="J67" t="s">
        <v>28</v>
      </c>
      <c r="K67" t="s">
        <v>17</v>
      </c>
      <c r="L67">
        <f>F66*G66*(1-H66)</f>
        <v>21245.75</v>
      </c>
    </row>
    <row r="68" spans="1:12">
      <c r="A68" t="s">
        <v>169</v>
      </c>
      <c r="B68" s="1">
        <v>46181</v>
      </c>
      <c r="C68" t="s">
        <v>170</v>
      </c>
      <c r="D68" t="s">
        <v>59</v>
      </c>
      <c r="E68" t="s">
        <v>14</v>
      </c>
      <c r="F68">
        <v>1</v>
      </c>
      <c r="G68">
        <v>599</v>
      </c>
      <c r="H68">
        <v>0</v>
      </c>
      <c r="I68" t="s">
        <v>44</v>
      </c>
      <c r="J68" t="s">
        <v>36</v>
      </c>
      <c r="K68" t="s">
        <v>17</v>
      </c>
      <c r="L68">
        <f>F67*G67*(1-H67)</f>
        <v>569.04999999999995</v>
      </c>
    </row>
    <row r="69" spans="1:12">
      <c r="A69" t="s">
        <v>171</v>
      </c>
      <c r="B69" s="1">
        <v>46164</v>
      </c>
      <c r="C69" t="s">
        <v>172</v>
      </c>
      <c r="D69" t="s">
        <v>59</v>
      </c>
      <c r="E69" t="s">
        <v>27</v>
      </c>
      <c r="F69">
        <v>5</v>
      </c>
      <c r="G69">
        <v>7999</v>
      </c>
      <c r="H69">
        <v>0</v>
      </c>
      <c r="I69" t="s">
        <v>44</v>
      </c>
      <c r="J69" t="s">
        <v>36</v>
      </c>
      <c r="K69" t="s">
        <v>17</v>
      </c>
      <c r="L69">
        <f>F68*G68*(1-H68)</f>
        <v>599</v>
      </c>
    </row>
    <row r="70" spans="1:12">
      <c r="A70" t="s">
        <v>173</v>
      </c>
      <c r="B70" s="1">
        <v>46179</v>
      </c>
      <c r="C70" t="s">
        <v>174</v>
      </c>
      <c r="D70" t="s">
        <v>13</v>
      </c>
      <c r="E70" t="s">
        <v>21</v>
      </c>
      <c r="F70">
        <v>5</v>
      </c>
      <c r="G70">
        <v>599</v>
      </c>
      <c r="H70">
        <v>0</v>
      </c>
      <c r="I70" t="s">
        <v>44</v>
      </c>
      <c r="J70" t="s">
        <v>28</v>
      </c>
      <c r="K70" t="s">
        <v>23</v>
      </c>
      <c r="L70">
        <f>F69*G69*(1-H69)</f>
        <v>39995</v>
      </c>
    </row>
    <row r="71" spans="1:12">
      <c r="A71" t="s">
        <v>175</v>
      </c>
      <c r="B71" s="1">
        <v>46111</v>
      </c>
      <c r="C71" t="s">
        <v>176</v>
      </c>
      <c r="D71" t="s">
        <v>78</v>
      </c>
      <c r="E71" t="s">
        <v>27</v>
      </c>
      <c r="F71">
        <v>3</v>
      </c>
      <c r="G71">
        <v>1999</v>
      </c>
      <c r="H71">
        <v>0</v>
      </c>
      <c r="I71" t="s">
        <v>44</v>
      </c>
      <c r="J71" t="s">
        <v>16</v>
      </c>
      <c r="K71" t="s">
        <v>23</v>
      </c>
      <c r="L71">
        <f>F70*G70*(1-H70)</f>
        <v>2995</v>
      </c>
    </row>
    <row r="72" spans="1:12">
      <c r="A72" t="s">
        <v>177</v>
      </c>
      <c r="B72" s="1">
        <v>46155</v>
      </c>
      <c r="C72" t="s">
        <v>178</v>
      </c>
      <c r="D72" t="s">
        <v>59</v>
      </c>
      <c r="E72" t="s">
        <v>27</v>
      </c>
      <c r="F72">
        <v>2</v>
      </c>
      <c r="G72">
        <v>7999</v>
      </c>
      <c r="H72">
        <v>0.15</v>
      </c>
      <c r="I72" t="s">
        <v>47</v>
      </c>
      <c r="J72" t="s">
        <v>36</v>
      </c>
      <c r="K72" t="s">
        <v>17</v>
      </c>
      <c r="L72">
        <f>F71*G71*(1-H71)</f>
        <v>5997</v>
      </c>
    </row>
    <row r="73" spans="1:12">
      <c r="A73" t="s">
        <v>179</v>
      </c>
      <c r="B73" s="1">
        <v>46281</v>
      </c>
      <c r="C73" t="s">
        <v>180</v>
      </c>
      <c r="D73" t="s">
        <v>71</v>
      </c>
      <c r="E73" t="s">
        <v>27</v>
      </c>
      <c r="F73">
        <v>2</v>
      </c>
      <c r="G73">
        <v>7999</v>
      </c>
      <c r="H73">
        <v>0</v>
      </c>
      <c r="I73" t="s">
        <v>47</v>
      </c>
      <c r="J73" t="s">
        <v>51</v>
      </c>
      <c r="K73" t="s">
        <v>17</v>
      </c>
      <c r="L73">
        <f>F72*G72*(1-H72)</f>
        <v>13598.3</v>
      </c>
    </row>
    <row r="74" spans="1:12">
      <c r="A74" t="s">
        <v>181</v>
      </c>
      <c r="B74" s="1">
        <v>46136</v>
      </c>
      <c r="C74" t="s">
        <v>182</v>
      </c>
      <c r="D74" t="s">
        <v>26</v>
      </c>
      <c r="E74" t="s">
        <v>14</v>
      </c>
      <c r="F74">
        <v>4</v>
      </c>
      <c r="G74">
        <v>1299</v>
      </c>
      <c r="H74">
        <v>0.05</v>
      </c>
      <c r="I74" t="s">
        <v>15</v>
      </c>
      <c r="J74" t="s">
        <v>28</v>
      </c>
      <c r="K74" t="s">
        <v>17</v>
      </c>
      <c r="L74">
        <f>F73*G73*(1-H73)</f>
        <v>15998</v>
      </c>
    </row>
    <row r="75" spans="1:12">
      <c r="A75" t="s">
        <v>183</v>
      </c>
      <c r="B75" s="1">
        <v>46063</v>
      </c>
      <c r="C75" t="s">
        <v>182</v>
      </c>
      <c r="D75" t="s">
        <v>59</v>
      </c>
      <c r="E75" t="s">
        <v>35</v>
      </c>
      <c r="F75">
        <v>1</v>
      </c>
      <c r="G75">
        <v>999</v>
      </c>
      <c r="H75">
        <v>0.05</v>
      </c>
      <c r="I75" t="s">
        <v>32</v>
      </c>
      <c r="J75" t="s">
        <v>22</v>
      </c>
      <c r="K75" t="s">
        <v>17</v>
      </c>
      <c r="L75">
        <f>F74*G74*(1-H74)</f>
        <v>4936.2</v>
      </c>
    </row>
    <row r="76" spans="1:12">
      <c r="A76" t="s">
        <v>184</v>
      </c>
      <c r="B76" s="1">
        <v>46222</v>
      </c>
      <c r="C76" t="s">
        <v>185</v>
      </c>
      <c r="D76" t="s">
        <v>13</v>
      </c>
      <c r="E76" t="s">
        <v>27</v>
      </c>
      <c r="F76">
        <v>2</v>
      </c>
      <c r="G76">
        <v>999</v>
      </c>
      <c r="H76">
        <v>0.15</v>
      </c>
      <c r="I76" t="s">
        <v>50</v>
      </c>
      <c r="J76" t="s">
        <v>28</v>
      </c>
      <c r="K76" t="s">
        <v>17</v>
      </c>
      <c r="L76">
        <f>F75*G75*(1-H75)</f>
        <v>949.05</v>
      </c>
    </row>
    <row r="77" spans="1:12">
      <c r="A77" t="s">
        <v>186</v>
      </c>
      <c r="B77" s="1">
        <v>46192</v>
      </c>
      <c r="C77" t="s">
        <v>187</v>
      </c>
      <c r="D77" t="s">
        <v>78</v>
      </c>
      <c r="E77" t="s">
        <v>35</v>
      </c>
      <c r="F77">
        <v>1</v>
      </c>
      <c r="G77">
        <v>2499</v>
      </c>
      <c r="H77">
        <v>0.15</v>
      </c>
      <c r="I77" t="s">
        <v>47</v>
      </c>
      <c r="J77" t="s">
        <v>36</v>
      </c>
      <c r="K77" t="s">
        <v>17</v>
      </c>
      <c r="L77">
        <f>F76*G76*(1-H76)</f>
        <v>1698.3</v>
      </c>
    </row>
    <row r="78" spans="1:12">
      <c r="A78" t="s">
        <v>188</v>
      </c>
      <c r="B78" s="1">
        <v>46156</v>
      </c>
      <c r="C78" t="s">
        <v>189</v>
      </c>
      <c r="D78" t="s">
        <v>20</v>
      </c>
      <c r="E78" t="s">
        <v>27</v>
      </c>
      <c r="F78">
        <v>2</v>
      </c>
      <c r="G78">
        <v>4999</v>
      </c>
      <c r="H78">
        <v>0.15</v>
      </c>
      <c r="I78" t="s">
        <v>50</v>
      </c>
      <c r="J78" t="s">
        <v>28</v>
      </c>
      <c r="K78" t="s">
        <v>17</v>
      </c>
      <c r="L78">
        <f>F77*G77*(1-H77)</f>
        <v>2124.15</v>
      </c>
    </row>
    <row r="79" spans="1:12">
      <c r="A79" t="s">
        <v>190</v>
      </c>
      <c r="B79" s="1">
        <v>46123</v>
      </c>
      <c r="C79" t="s">
        <v>191</v>
      </c>
      <c r="D79" t="s">
        <v>43</v>
      </c>
      <c r="E79" t="s">
        <v>21</v>
      </c>
      <c r="F79">
        <v>1</v>
      </c>
      <c r="G79">
        <v>1499</v>
      </c>
      <c r="H79">
        <v>0</v>
      </c>
      <c r="I79" t="s">
        <v>15</v>
      </c>
      <c r="J79" t="s">
        <v>22</v>
      </c>
      <c r="K79" t="s">
        <v>17</v>
      </c>
      <c r="L79">
        <f>F78*G78*(1-H78)</f>
        <v>8498.2999999999993</v>
      </c>
    </row>
    <row r="80" spans="1:12">
      <c r="A80" t="s">
        <v>192</v>
      </c>
      <c r="B80" s="1">
        <v>46050</v>
      </c>
      <c r="C80" t="s">
        <v>193</v>
      </c>
      <c r="D80" t="s">
        <v>59</v>
      </c>
      <c r="E80" t="s">
        <v>40</v>
      </c>
      <c r="F80">
        <v>2</v>
      </c>
      <c r="G80">
        <v>599</v>
      </c>
      <c r="H80">
        <v>0.15</v>
      </c>
      <c r="I80" t="s">
        <v>47</v>
      </c>
      <c r="J80" t="s">
        <v>16</v>
      </c>
      <c r="K80" t="s">
        <v>17</v>
      </c>
      <c r="L80">
        <f>F79*G79*(1-H79)</f>
        <v>1499</v>
      </c>
    </row>
    <row r="81" spans="1:12">
      <c r="A81" t="s">
        <v>194</v>
      </c>
      <c r="B81" s="1">
        <v>46133</v>
      </c>
      <c r="C81" t="s">
        <v>195</v>
      </c>
      <c r="D81" t="s">
        <v>59</v>
      </c>
      <c r="E81" t="s">
        <v>21</v>
      </c>
      <c r="F81">
        <v>1</v>
      </c>
      <c r="G81">
        <v>999</v>
      </c>
      <c r="H81">
        <v>0.1</v>
      </c>
      <c r="I81" t="s">
        <v>15</v>
      </c>
      <c r="J81" t="s">
        <v>51</v>
      </c>
      <c r="K81" t="s">
        <v>23</v>
      </c>
      <c r="L81">
        <f>F80*G80*(1-H80)</f>
        <v>1018.3</v>
      </c>
    </row>
    <row r="82" spans="1:12">
      <c r="A82" t="s">
        <v>196</v>
      </c>
      <c r="B82" s="1">
        <v>46287</v>
      </c>
      <c r="C82" t="s">
        <v>197</v>
      </c>
      <c r="D82" t="s">
        <v>78</v>
      </c>
      <c r="E82" t="s">
        <v>14</v>
      </c>
      <c r="F82">
        <v>3</v>
      </c>
      <c r="G82">
        <v>7999</v>
      </c>
      <c r="H82">
        <v>0</v>
      </c>
      <c r="I82" t="s">
        <v>44</v>
      </c>
      <c r="J82" t="s">
        <v>16</v>
      </c>
      <c r="K82" t="s">
        <v>23</v>
      </c>
      <c r="L82">
        <f>F81*G81*(1-H81)</f>
        <v>899.1</v>
      </c>
    </row>
    <row r="83" spans="1:12">
      <c r="A83" t="s">
        <v>198</v>
      </c>
      <c r="B83" s="1">
        <v>46216</v>
      </c>
      <c r="C83" t="s">
        <v>199</v>
      </c>
      <c r="D83" t="s">
        <v>71</v>
      </c>
      <c r="E83" t="s">
        <v>27</v>
      </c>
      <c r="F83">
        <v>2</v>
      </c>
      <c r="G83">
        <v>4999</v>
      </c>
      <c r="H83">
        <v>0.1</v>
      </c>
      <c r="I83" t="s">
        <v>47</v>
      </c>
      <c r="J83" t="s">
        <v>16</v>
      </c>
      <c r="K83" t="s">
        <v>17</v>
      </c>
      <c r="L83">
        <f>F82*G82*(1-H82)</f>
        <v>23997</v>
      </c>
    </row>
    <row r="84" spans="1:12">
      <c r="A84" t="s">
        <v>200</v>
      </c>
      <c r="B84" s="1">
        <v>46254</v>
      </c>
      <c r="C84" t="s">
        <v>201</v>
      </c>
      <c r="D84" t="s">
        <v>26</v>
      </c>
      <c r="E84" t="s">
        <v>14</v>
      </c>
      <c r="F84">
        <v>1</v>
      </c>
      <c r="G84">
        <v>1299</v>
      </c>
      <c r="H84">
        <v>0.15</v>
      </c>
      <c r="I84" t="s">
        <v>47</v>
      </c>
      <c r="J84" t="s">
        <v>51</v>
      </c>
      <c r="K84" t="s">
        <v>37</v>
      </c>
      <c r="L84">
        <f>F83*G83*(1-H83)</f>
        <v>8998.2000000000007</v>
      </c>
    </row>
    <row r="85" spans="1:12">
      <c r="A85" t="s">
        <v>202</v>
      </c>
      <c r="B85" s="1">
        <v>46179</v>
      </c>
      <c r="C85" t="s">
        <v>203</v>
      </c>
      <c r="D85" t="s">
        <v>78</v>
      </c>
      <c r="E85" t="s">
        <v>14</v>
      </c>
      <c r="F85">
        <v>3</v>
      </c>
      <c r="G85">
        <v>2499</v>
      </c>
      <c r="H85">
        <v>0.15</v>
      </c>
      <c r="I85" t="s">
        <v>15</v>
      </c>
      <c r="J85" t="s">
        <v>28</v>
      </c>
      <c r="K85" t="s">
        <v>17</v>
      </c>
      <c r="L85">
        <f>F84*G84*(1-H84)</f>
        <v>1104.1499999999999</v>
      </c>
    </row>
    <row r="86" spans="1:12">
      <c r="A86" t="s">
        <v>204</v>
      </c>
      <c r="B86" s="1">
        <v>46026</v>
      </c>
      <c r="C86" t="s">
        <v>205</v>
      </c>
      <c r="D86" t="s">
        <v>62</v>
      </c>
      <c r="E86" t="s">
        <v>35</v>
      </c>
      <c r="F86">
        <v>4</v>
      </c>
      <c r="G86">
        <v>999</v>
      </c>
      <c r="H86">
        <v>0</v>
      </c>
      <c r="I86" t="s">
        <v>15</v>
      </c>
      <c r="J86" t="s">
        <v>51</v>
      </c>
      <c r="K86" t="s">
        <v>37</v>
      </c>
      <c r="L86">
        <f>F85*G85*(1-H85)</f>
        <v>6372.45</v>
      </c>
    </row>
    <row r="87" spans="1:12">
      <c r="A87" t="s">
        <v>206</v>
      </c>
      <c r="B87" s="1">
        <v>46220</v>
      </c>
      <c r="C87" t="s">
        <v>207</v>
      </c>
      <c r="D87" t="s">
        <v>31</v>
      </c>
      <c r="E87" t="s">
        <v>40</v>
      </c>
      <c r="F87">
        <v>4</v>
      </c>
      <c r="G87">
        <v>1299</v>
      </c>
      <c r="H87">
        <v>0</v>
      </c>
      <c r="I87" t="s">
        <v>47</v>
      </c>
      <c r="J87" t="s">
        <v>22</v>
      </c>
      <c r="K87" t="s">
        <v>17</v>
      </c>
      <c r="L87">
        <f>F86*G86*(1-H86)</f>
        <v>3996</v>
      </c>
    </row>
    <row r="88" spans="1:12">
      <c r="A88" t="s">
        <v>208</v>
      </c>
      <c r="B88" s="1">
        <v>46250</v>
      </c>
      <c r="C88" t="s">
        <v>209</v>
      </c>
      <c r="D88" t="s">
        <v>26</v>
      </c>
      <c r="E88" t="s">
        <v>40</v>
      </c>
      <c r="F88">
        <v>2</v>
      </c>
      <c r="G88">
        <v>1499</v>
      </c>
      <c r="H88">
        <v>0.1</v>
      </c>
      <c r="I88" t="s">
        <v>50</v>
      </c>
      <c r="J88" t="s">
        <v>16</v>
      </c>
      <c r="K88" t="s">
        <v>17</v>
      </c>
      <c r="L88">
        <f>F87*G87*(1-H87)</f>
        <v>5196</v>
      </c>
    </row>
    <row r="89" spans="1:12">
      <c r="A89" t="s">
        <v>210</v>
      </c>
      <c r="B89" s="1">
        <v>46095</v>
      </c>
      <c r="C89" t="s">
        <v>211</v>
      </c>
      <c r="D89" t="s">
        <v>20</v>
      </c>
      <c r="E89" t="s">
        <v>14</v>
      </c>
      <c r="F89">
        <v>4</v>
      </c>
      <c r="G89">
        <v>2499</v>
      </c>
      <c r="H89">
        <v>0.15</v>
      </c>
      <c r="I89" t="s">
        <v>47</v>
      </c>
      <c r="J89" t="s">
        <v>51</v>
      </c>
      <c r="K89" t="s">
        <v>37</v>
      </c>
      <c r="L89">
        <f>F88*G88*(1-H88)</f>
        <v>2698.2000000000003</v>
      </c>
    </row>
    <row r="90" spans="1:12">
      <c r="A90" t="s">
        <v>212</v>
      </c>
      <c r="B90" s="1">
        <v>46112</v>
      </c>
      <c r="C90" t="s">
        <v>213</v>
      </c>
      <c r="D90" t="s">
        <v>62</v>
      </c>
      <c r="E90" t="s">
        <v>40</v>
      </c>
      <c r="F90">
        <v>4</v>
      </c>
      <c r="G90">
        <v>499</v>
      </c>
      <c r="H90">
        <v>0.05</v>
      </c>
      <c r="I90" t="s">
        <v>32</v>
      </c>
      <c r="J90" t="s">
        <v>51</v>
      </c>
      <c r="K90" t="s">
        <v>17</v>
      </c>
      <c r="L90">
        <f>F89*G89*(1-H89)</f>
        <v>8496.6</v>
      </c>
    </row>
    <row r="91" spans="1:12">
      <c r="A91" t="s">
        <v>214</v>
      </c>
      <c r="B91" s="1">
        <v>46216</v>
      </c>
      <c r="C91" t="s">
        <v>215</v>
      </c>
      <c r="D91" t="s">
        <v>62</v>
      </c>
      <c r="E91" t="s">
        <v>35</v>
      </c>
      <c r="F91">
        <v>2</v>
      </c>
      <c r="G91">
        <v>2499</v>
      </c>
      <c r="H91">
        <v>0.1</v>
      </c>
      <c r="I91" t="s">
        <v>32</v>
      </c>
      <c r="J91" t="s">
        <v>51</v>
      </c>
      <c r="K91" t="s">
        <v>17</v>
      </c>
      <c r="L91">
        <f>F90*G90*(1-H90)</f>
        <v>1896.1999999999998</v>
      </c>
    </row>
    <row r="92" spans="1:12">
      <c r="A92" t="s">
        <v>216</v>
      </c>
      <c r="B92" s="1">
        <v>46227</v>
      </c>
      <c r="C92" t="s">
        <v>217</v>
      </c>
      <c r="D92" t="s">
        <v>26</v>
      </c>
      <c r="E92" t="s">
        <v>27</v>
      </c>
      <c r="F92">
        <v>5</v>
      </c>
      <c r="G92">
        <v>599</v>
      </c>
      <c r="H92">
        <v>0.05</v>
      </c>
      <c r="I92" t="s">
        <v>47</v>
      </c>
      <c r="J92" t="s">
        <v>28</v>
      </c>
      <c r="K92" t="s">
        <v>37</v>
      </c>
      <c r="L92">
        <f>F91*G91*(1-H91)</f>
        <v>4498.2</v>
      </c>
    </row>
    <row r="93" spans="1:12">
      <c r="A93" t="s">
        <v>218</v>
      </c>
      <c r="B93" s="1">
        <v>46140</v>
      </c>
      <c r="C93" t="s">
        <v>219</v>
      </c>
      <c r="D93" t="s">
        <v>26</v>
      </c>
      <c r="E93" t="s">
        <v>27</v>
      </c>
      <c r="F93">
        <v>1</v>
      </c>
      <c r="G93">
        <v>999</v>
      </c>
      <c r="H93">
        <v>0.1</v>
      </c>
      <c r="I93" t="s">
        <v>44</v>
      </c>
      <c r="J93" t="s">
        <v>16</v>
      </c>
      <c r="K93" t="s">
        <v>23</v>
      </c>
      <c r="L93">
        <f>F92*G92*(1-H92)</f>
        <v>2845.25</v>
      </c>
    </row>
    <row r="94" spans="1:12">
      <c r="A94" t="s">
        <v>220</v>
      </c>
      <c r="B94" s="1">
        <v>46122</v>
      </c>
      <c r="C94" t="s">
        <v>221</v>
      </c>
      <c r="D94" t="s">
        <v>62</v>
      </c>
      <c r="E94" t="s">
        <v>21</v>
      </c>
      <c r="F94">
        <v>2</v>
      </c>
      <c r="G94">
        <v>1299</v>
      </c>
      <c r="H94">
        <v>0</v>
      </c>
      <c r="I94" t="s">
        <v>15</v>
      </c>
      <c r="J94" t="s">
        <v>16</v>
      </c>
      <c r="K94" t="s">
        <v>17</v>
      </c>
      <c r="L94">
        <f>F93*G93*(1-H93)</f>
        <v>899.1</v>
      </c>
    </row>
    <row r="95" spans="1:12">
      <c r="A95" t="s">
        <v>222</v>
      </c>
      <c r="B95" s="1">
        <v>46293</v>
      </c>
      <c r="C95" t="s">
        <v>39</v>
      </c>
      <c r="D95" t="s">
        <v>78</v>
      </c>
      <c r="E95" t="s">
        <v>40</v>
      </c>
      <c r="F95">
        <v>4</v>
      </c>
      <c r="G95">
        <v>1299</v>
      </c>
      <c r="H95">
        <v>0.1</v>
      </c>
      <c r="I95" t="s">
        <v>47</v>
      </c>
      <c r="J95" t="s">
        <v>22</v>
      </c>
      <c r="K95" t="s">
        <v>37</v>
      </c>
      <c r="L95">
        <f>F94*G94*(1-H94)</f>
        <v>2598</v>
      </c>
    </row>
    <row r="96" spans="1:12">
      <c r="A96" t="s">
        <v>223</v>
      </c>
      <c r="B96" s="1">
        <v>46047</v>
      </c>
      <c r="C96" t="s">
        <v>224</v>
      </c>
      <c r="D96" t="s">
        <v>59</v>
      </c>
      <c r="E96" t="s">
        <v>14</v>
      </c>
      <c r="F96">
        <v>2</v>
      </c>
      <c r="G96">
        <v>7999</v>
      </c>
      <c r="H96">
        <v>0.05</v>
      </c>
      <c r="I96" t="s">
        <v>32</v>
      </c>
      <c r="J96" t="s">
        <v>22</v>
      </c>
      <c r="K96" t="s">
        <v>17</v>
      </c>
      <c r="L96">
        <f>F95*G95*(1-H95)</f>
        <v>4676.4000000000005</v>
      </c>
    </row>
    <row r="97" spans="1:12">
      <c r="A97" t="s">
        <v>225</v>
      </c>
      <c r="B97" s="1">
        <v>46082</v>
      </c>
      <c r="C97" t="s">
        <v>226</v>
      </c>
      <c r="D97" t="s">
        <v>43</v>
      </c>
      <c r="E97" t="s">
        <v>40</v>
      </c>
      <c r="F97">
        <v>1</v>
      </c>
      <c r="G97">
        <v>2499</v>
      </c>
      <c r="H97">
        <v>0.05</v>
      </c>
      <c r="I97" t="s">
        <v>50</v>
      </c>
      <c r="J97" t="s">
        <v>51</v>
      </c>
      <c r="K97" t="s">
        <v>37</v>
      </c>
      <c r="L97">
        <f>F96*G96*(1-H96)</f>
        <v>15198.099999999999</v>
      </c>
    </row>
    <row r="98" spans="1:12">
      <c r="A98" t="s">
        <v>227</v>
      </c>
      <c r="B98" s="1">
        <v>46168</v>
      </c>
      <c r="C98" t="s">
        <v>228</v>
      </c>
      <c r="D98" t="s">
        <v>43</v>
      </c>
      <c r="E98" t="s">
        <v>35</v>
      </c>
      <c r="F98">
        <v>3</v>
      </c>
      <c r="G98">
        <v>499</v>
      </c>
      <c r="H98">
        <v>0.15</v>
      </c>
      <c r="I98" t="s">
        <v>32</v>
      </c>
      <c r="J98" t="s">
        <v>36</v>
      </c>
      <c r="K98" t="s">
        <v>17</v>
      </c>
      <c r="L98">
        <f>F97*G97*(1-H97)</f>
        <v>2374.0499999999997</v>
      </c>
    </row>
    <row r="99" spans="1:12">
      <c r="A99" t="s">
        <v>229</v>
      </c>
      <c r="B99" s="1">
        <v>46192</v>
      </c>
      <c r="C99" t="s">
        <v>230</v>
      </c>
      <c r="D99" t="s">
        <v>71</v>
      </c>
      <c r="E99" t="s">
        <v>14</v>
      </c>
      <c r="F99">
        <v>4</v>
      </c>
      <c r="G99">
        <v>1499</v>
      </c>
      <c r="H99">
        <v>0</v>
      </c>
      <c r="I99" t="s">
        <v>44</v>
      </c>
      <c r="J99" t="s">
        <v>16</v>
      </c>
      <c r="K99" t="s">
        <v>17</v>
      </c>
      <c r="L99">
        <f>F98*G98*(1-H98)</f>
        <v>1272.45</v>
      </c>
    </row>
    <row r="100" spans="1:12">
      <c r="A100" t="s">
        <v>231</v>
      </c>
      <c r="B100" s="1">
        <v>46085</v>
      </c>
      <c r="C100" t="s">
        <v>158</v>
      </c>
      <c r="D100" t="s">
        <v>13</v>
      </c>
      <c r="E100" t="s">
        <v>21</v>
      </c>
      <c r="F100">
        <v>1</v>
      </c>
      <c r="G100">
        <v>999</v>
      </c>
      <c r="H100">
        <v>0.15</v>
      </c>
      <c r="I100" t="s">
        <v>15</v>
      </c>
      <c r="J100" t="s">
        <v>16</v>
      </c>
      <c r="K100" t="s">
        <v>17</v>
      </c>
      <c r="L100">
        <f>F99*G99*(1-H99)</f>
        <v>5996</v>
      </c>
    </row>
    <row r="101" spans="1:12">
      <c r="A101" t="s">
        <v>232</v>
      </c>
      <c r="B101" s="1">
        <v>46096</v>
      </c>
      <c r="C101" t="s">
        <v>162</v>
      </c>
      <c r="D101" t="s">
        <v>59</v>
      </c>
      <c r="E101" t="s">
        <v>21</v>
      </c>
      <c r="F101">
        <v>2</v>
      </c>
      <c r="G101">
        <v>599</v>
      </c>
      <c r="H101">
        <v>0.05</v>
      </c>
      <c r="I101" t="s">
        <v>50</v>
      </c>
      <c r="J101" t="s">
        <v>22</v>
      </c>
      <c r="K101" t="s">
        <v>17</v>
      </c>
      <c r="L101">
        <f>F100*G100*(1-H100)</f>
        <v>849.15</v>
      </c>
    </row>
    <row r="102" spans="1:12">
      <c r="A102" t="s">
        <v>233</v>
      </c>
      <c r="B102" s="1">
        <v>46040</v>
      </c>
      <c r="C102" t="s">
        <v>144</v>
      </c>
      <c r="D102" t="s">
        <v>71</v>
      </c>
      <c r="E102" t="s">
        <v>35</v>
      </c>
      <c r="F102">
        <v>3</v>
      </c>
      <c r="G102">
        <v>1499</v>
      </c>
      <c r="H102">
        <v>0</v>
      </c>
      <c r="I102" t="s">
        <v>44</v>
      </c>
      <c r="J102" t="s">
        <v>51</v>
      </c>
      <c r="K102" t="s">
        <v>17</v>
      </c>
      <c r="L102">
        <f>F101*G101*(1-H101)</f>
        <v>1138.0999999999999</v>
      </c>
    </row>
    <row r="103" spans="1:12">
      <c r="A103" t="s">
        <v>234</v>
      </c>
      <c r="B103" s="1">
        <v>46031</v>
      </c>
      <c r="C103" t="s">
        <v>235</v>
      </c>
      <c r="D103" t="s">
        <v>56</v>
      </c>
      <c r="E103" t="s">
        <v>40</v>
      </c>
      <c r="F103">
        <v>3</v>
      </c>
      <c r="G103">
        <v>999</v>
      </c>
      <c r="H103">
        <v>0.15</v>
      </c>
      <c r="I103" t="s">
        <v>47</v>
      </c>
      <c r="J103" t="s">
        <v>36</v>
      </c>
      <c r="K103" t="s">
        <v>23</v>
      </c>
      <c r="L103">
        <f>F102*G102*(1-H102)</f>
        <v>4497</v>
      </c>
    </row>
    <row r="104" spans="1:12">
      <c r="A104" t="s">
        <v>236</v>
      </c>
      <c r="B104" s="1">
        <v>46211</v>
      </c>
      <c r="C104" t="s">
        <v>237</v>
      </c>
      <c r="D104" t="s">
        <v>31</v>
      </c>
      <c r="E104" t="s">
        <v>27</v>
      </c>
      <c r="F104">
        <v>1</v>
      </c>
      <c r="G104">
        <v>1499</v>
      </c>
      <c r="H104">
        <v>0.1</v>
      </c>
      <c r="I104" t="s">
        <v>15</v>
      </c>
      <c r="J104" t="s">
        <v>28</v>
      </c>
      <c r="K104" t="s">
        <v>17</v>
      </c>
      <c r="L104">
        <f>F103*G103*(1-H103)</f>
        <v>2547.4499999999998</v>
      </c>
    </row>
    <row r="105" spans="1:12">
      <c r="A105" t="s">
        <v>238</v>
      </c>
      <c r="B105" s="1">
        <v>46078</v>
      </c>
      <c r="C105" t="s">
        <v>239</v>
      </c>
      <c r="D105" t="s">
        <v>78</v>
      </c>
      <c r="E105" t="s">
        <v>27</v>
      </c>
      <c r="F105">
        <v>3</v>
      </c>
      <c r="G105">
        <v>1299</v>
      </c>
      <c r="H105">
        <v>0.1</v>
      </c>
      <c r="I105" t="s">
        <v>15</v>
      </c>
      <c r="J105" t="s">
        <v>22</v>
      </c>
      <c r="K105" t="s">
        <v>23</v>
      </c>
      <c r="L105">
        <f>F104*G104*(1-H104)</f>
        <v>1349.1000000000001</v>
      </c>
    </row>
    <row r="106" spans="1:12">
      <c r="A106" t="s">
        <v>240</v>
      </c>
      <c r="B106" s="1">
        <v>46123</v>
      </c>
      <c r="C106" t="s">
        <v>241</v>
      </c>
      <c r="D106" t="s">
        <v>78</v>
      </c>
      <c r="E106" t="s">
        <v>27</v>
      </c>
      <c r="F106">
        <v>2</v>
      </c>
      <c r="G106">
        <v>1999</v>
      </c>
      <c r="H106">
        <v>0.05</v>
      </c>
      <c r="I106" t="s">
        <v>44</v>
      </c>
      <c r="J106" t="s">
        <v>51</v>
      </c>
      <c r="K106" t="s">
        <v>17</v>
      </c>
      <c r="L106">
        <f>F105*G105*(1-H105)</f>
        <v>3507.3</v>
      </c>
    </row>
    <row r="107" spans="1:12">
      <c r="A107" t="s">
        <v>242</v>
      </c>
      <c r="B107" s="1">
        <v>46129</v>
      </c>
      <c r="C107" t="s">
        <v>243</v>
      </c>
      <c r="D107" t="s">
        <v>43</v>
      </c>
      <c r="E107" t="s">
        <v>14</v>
      </c>
      <c r="F107">
        <v>3</v>
      </c>
      <c r="G107">
        <v>4999</v>
      </c>
      <c r="H107">
        <v>0</v>
      </c>
      <c r="I107" t="s">
        <v>47</v>
      </c>
      <c r="J107" t="s">
        <v>36</v>
      </c>
      <c r="K107" t="s">
        <v>37</v>
      </c>
      <c r="L107">
        <f>F106*G106*(1-H106)</f>
        <v>3798.1</v>
      </c>
    </row>
    <row r="108" spans="1:12">
      <c r="A108" t="s">
        <v>244</v>
      </c>
      <c r="B108" s="1">
        <v>46121</v>
      </c>
      <c r="C108" t="s">
        <v>245</v>
      </c>
      <c r="D108" t="s">
        <v>71</v>
      </c>
      <c r="E108" t="s">
        <v>27</v>
      </c>
      <c r="F108">
        <v>3</v>
      </c>
      <c r="G108">
        <v>1999</v>
      </c>
      <c r="H108">
        <v>0.1</v>
      </c>
      <c r="I108" t="s">
        <v>47</v>
      </c>
      <c r="J108" t="s">
        <v>36</v>
      </c>
      <c r="K108" t="s">
        <v>17</v>
      </c>
      <c r="L108">
        <f>F107*G107*(1-H107)</f>
        <v>14997</v>
      </c>
    </row>
    <row r="109" spans="1:12">
      <c r="A109" t="s">
        <v>246</v>
      </c>
      <c r="B109" s="1">
        <v>46124</v>
      </c>
      <c r="C109" t="s">
        <v>247</v>
      </c>
      <c r="D109" t="s">
        <v>78</v>
      </c>
      <c r="E109" t="s">
        <v>14</v>
      </c>
      <c r="F109">
        <v>4</v>
      </c>
      <c r="G109">
        <v>4999</v>
      </c>
      <c r="H109">
        <v>0</v>
      </c>
      <c r="I109" t="s">
        <v>32</v>
      </c>
      <c r="J109" t="s">
        <v>16</v>
      </c>
      <c r="K109" t="s">
        <v>17</v>
      </c>
      <c r="L109">
        <f>F108*G108*(1-H108)</f>
        <v>5397.3</v>
      </c>
    </row>
    <row r="110" spans="1:12">
      <c r="A110" t="s">
        <v>248</v>
      </c>
      <c r="B110" s="1">
        <v>46108</v>
      </c>
      <c r="C110" t="s">
        <v>243</v>
      </c>
      <c r="D110" t="s">
        <v>56</v>
      </c>
      <c r="E110" t="s">
        <v>40</v>
      </c>
      <c r="F110">
        <v>5</v>
      </c>
      <c r="G110">
        <v>4999</v>
      </c>
      <c r="H110">
        <v>0.05</v>
      </c>
      <c r="I110" t="s">
        <v>32</v>
      </c>
      <c r="J110" t="s">
        <v>22</v>
      </c>
      <c r="K110" t="s">
        <v>17</v>
      </c>
      <c r="L110">
        <f>F109*G109*(1-H109)</f>
        <v>19996</v>
      </c>
    </row>
    <row r="111" spans="1:12">
      <c r="A111" t="s">
        <v>249</v>
      </c>
      <c r="B111" s="1">
        <v>46075</v>
      </c>
      <c r="C111" t="s">
        <v>128</v>
      </c>
      <c r="D111" t="s">
        <v>78</v>
      </c>
      <c r="E111" t="s">
        <v>21</v>
      </c>
      <c r="F111">
        <v>4</v>
      </c>
      <c r="G111">
        <v>7999</v>
      </c>
      <c r="H111">
        <v>0</v>
      </c>
      <c r="I111" t="s">
        <v>32</v>
      </c>
      <c r="J111" t="s">
        <v>51</v>
      </c>
      <c r="K111" t="s">
        <v>17</v>
      </c>
      <c r="L111">
        <f>F110*G110*(1-H110)</f>
        <v>23745.25</v>
      </c>
    </row>
    <row r="112" spans="1:12">
      <c r="A112" t="s">
        <v>250</v>
      </c>
      <c r="B112" s="1">
        <v>46262</v>
      </c>
      <c r="C112" t="s">
        <v>251</v>
      </c>
      <c r="D112" t="s">
        <v>62</v>
      </c>
      <c r="E112" t="s">
        <v>21</v>
      </c>
      <c r="F112">
        <v>4</v>
      </c>
      <c r="G112">
        <v>799</v>
      </c>
      <c r="H112">
        <v>0.15</v>
      </c>
      <c r="I112" t="s">
        <v>32</v>
      </c>
      <c r="J112" t="s">
        <v>36</v>
      </c>
      <c r="K112" t="s">
        <v>37</v>
      </c>
      <c r="L112">
        <f>F111*G111*(1-H111)</f>
        <v>31996</v>
      </c>
    </row>
    <row r="113" spans="1:12">
      <c r="A113" t="s">
        <v>252</v>
      </c>
      <c r="B113" s="1">
        <v>46175</v>
      </c>
      <c r="C113" t="s">
        <v>253</v>
      </c>
      <c r="D113" t="s">
        <v>43</v>
      </c>
      <c r="E113" t="s">
        <v>40</v>
      </c>
      <c r="F113">
        <v>3</v>
      </c>
      <c r="G113">
        <v>1299</v>
      </c>
      <c r="H113">
        <v>0.05</v>
      </c>
      <c r="I113" t="s">
        <v>32</v>
      </c>
      <c r="J113" t="s">
        <v>51</v>
      </c>
      <c r="K113" t="s">
        <v>23</v>
      </c>
      <c r="L113">
        <f>F112*G112*(1-H112)</f>
        <v>2716.6</v>
      </c>
    </row>
    <row r="114" spans="1:12">
      <c r="A114" t="s">
        <v>254</v>
      </c>
      <c r="B114" s="1">
        <v>46108</v>
      </c>
      <c r="C114" t="s">
        <v>255</v>
      </c>
      <c r="D114" t="s">
        <v>20</v>
      </c>
      <c r="E114" t="s">
        <v>21</v>
      </c>
      <c r="F114">
        <v>1</v>
      </c>
      <c r="G114">
        <v>7999</v>
      </c>
      <c r="H114">
        <v>0</v>
      </c>
      <c r="I114" t="s">
        <v>15</v>
      </c>
      <c r="J114" t="s">
        <v>22</v>
      </c>
      <c r="K114" t="s">
        <v>17</v>
      </c>
      <c r="L114">
        <f>F113*G113*(1-H113)</f>
        <v>3702.1499999999996</v>
      </c>
    </row>
    <row r="115" spans="1:12">
      <c r="A115" t="s">
        <v>256</v>
      </c>
      <c r="B115" s="1">
        <v>46250</v>
      </c>
      <c r="C115" t="s">
        <v>257</v>
      </c>
      <c r="D115" t="s">
        <v>59</v>
      </c>
      <c r="E115" t="s">
        <v>40</v>
      </c>
      <c r="F115">
        <v>1</v>
      </c>
      <c r="G115">
        <v>1499</v>
      </c>
      <c r="H115">
        <v>0.1</v>
      </c>
      <c r="I115" t="s">
        <v>50</v>
      </c>
      <c r="J115" t="s">
        <v>36</v>
      </c>
      <c r="K115" t="s">
        <v>37</v>
      </c>
      <c r="L115">
        <f>F114*G114*(1-H114)</f>
        <v>7999</v>
      </c>
    </row>
    <row r="116" spans="1:12">
      <c r="A116" t="s">
        <v>258</v>
      </c>
      <c r="B116" s="1">
        <v>46195</v>
      </c>
      <c r="C116" t="s">
        <v>259</v>
      </c>
      <c r="D116" t="s">
        <v>71</v>
      </c>
      <c r="E116" t="s">
        <v>40</v>
      </c>
      <c r="F116">
        <v>4</v>
      </c>
      <c r="G116">
        <v>1299</v>
      </c>
      <c r="H116">
        <v>0.1</v>
      </c>
      <c r="I116" t="s">
        <v>47</v>
      </c>
      <c r="J116" t="s">
        <v>22</v>
      </c>
      <c r="K116" t="s">
        <v>17</v>
      </c>
      <c r="L116">
        <f>F115*G115*(1-H115)</f>
        <v>1349.1000000000001</v>
      </c>
    </row>
    <row r="117" spans="1:12">
      <c r="A117" t="s">
        <v>260</v>
      </c>
      <c r="B117" s="1">
        <v>46292</v>
      </c>
      <c r="C117" t="s">
        <v>261</v>
      </c>
      <c r="D117" t="s">
        <v>13</v>
      </c>
      <c r="E117" t="s">
        <v>27</v>
      </c>
      <c r="F117">
        <v>2</v>
      </c>
      <c r="G117">
        <v>599</v>
      </c>
      <c r="H117">
        <v>0.1</v>
      </c>
      <c r="I117" t="s">
        <v>50</v>
      </c>
      <c r="J117" t="s">
        <v>16</v>
      </c>
      <c r="K117" t="s">
        <v>17</v>
      </c>
      <c r="L117">
        <f>F116*G116*(1-H116)</f>
        <v>4676.4000000000005</v>
      </c>
    </row>
    <row r="118" spans="1:12">
      <c r="A118" t="s">
        <v>262</v>
      </c>
      <c r="B118" s="1">
        <v>46292</v>
      </c>
      <c r="C118" t="s">
        <v>263</v>
      </c>
      <c r="D118" t="s">
        <v>20</v>
      </c>
      <c r="E118" t="s">
        <v>35</v>
      </c>
      <c r="F118">
        <v>1</v>
      </c>
      <c r="G118">
        <v>4999</v>
      </c>
      <c r="H118">
        <v>0.1</v>
      </c>
      <c r="I118" t="s">
        <v>47</v>
      </c>
      <c r="J118" t="s">
        <v>22</v>
      </c>
      <c r="K118" t="s">
        <v>23</v>
      </c>
      <c r="L118">
        <f>F117*G117*(1-H117)</f>
        <v>1078.2</v>
      </c>
    </row>
    <row r="119" spans="1:12">
      <c r="A119" t="s">
        <v>264</v>
      </c>
      <c r="B119" s="1">
        <v>46041</v>
      </c>
      <c r="C119" t="s">
        <v>265</v>
      </c>
      <c r="D119" t="s">
        <v>43</v>
      </c>
      <c r="E119" t="s">
        <v>14</v>
      </c>
      <c r="F119">
        <v>5</v>
      </c>
      <c r="G119">
        <v>2499</v>
      </c>
      <c r="H119">
        <v>0.05</v>
      </c>
      <c r="I119" t="s">
        <v>32</v>
      </c>
      <c r="J119" t="s">
        <v>16</v>
      </c>
      <c r="K119" t="s">
        <v>23</v>
      </c>
      <c r="L119">
        <f>F118*G118*(1-H118)</f>
        <v>4499.1000000000004</v>
      </c>
    </row>
    <row r="120" spans="1:12">
      <c r="A120" t="s">
        <v>266</v>
      </c>
      <c r="B120" s="1">
        <v>46264</v>
      </c>
      <c r="C120" t="s">
        <v>267</v>
      </c>
      <c r="D120" t="s">
        <v>71</v>
      </c>
      <c r="E120" t="s">
        <v>21</v>
      </c>
      <c r="F120">
        <v>2</v>
      </c>
      <c r="G120">
        <v>799</v>
      </c>
      <c r="H120">
        <v>0</v>
      </c>
      <c r="I120" t="s">
        <v>50</v>
      </c>
      <c r="J120" t="s">
        <v>51</v>
      </c>
      <c r="K120" t="s">
        <v>17</v>
      </c>
      <c r="L120">
        <f>F119*G119*(1-H119)</f>
        <v>11870.25</v>
      </c>
    </row>
    <row r="121" spans="1:12">
      <c r="A121" t="s">
        <v>268</v>
      </c>
      <c r="B121" s="1">
        <v>46205</v>
      </c>
      <c r="C121" t="s">
        <v>269</v>
      </c>
      <c r="D121" t="s">
        <v>13</v>
      </c>
      <c r="E121" t="s">
        <v>40</v>
      </c>
      <c r="F121">
        <v>4</v>
      </c>
      <c r="G121">
        <v>1499</v>
      </c>
      <c r="H121">
        <v>0.05</v>
      </c>
      <c r="I121" t="s">
        <v>32</v>
      </c>
      <c r="J121" t="s">
        <v>22</v>
      </c>
      <c r="K121" t="s">
        <v>37</v>
      </c>
      <c r="L121">
        <f>F120*G120*(1-H120)</f>
        <v>1598</v>
      </c>
    </row>
    <row r="122" spans="1:12">
      <c r="A122" t="s">
        <v>270</v>
      </c>
      <c r="B122" s="1">
        <v>46070</v>
      </c>
      <c r="C122" t="s">
        <v>271</v>
      </c>
      <c r="D122" t="s">
        <v>59</v>
      </c>
      <c r="E122" t="s">
        <v>14</v>
      </c>
      <c r="F122">
        <v>2</v>
      </c>
      <c r="G122">
        <v>599</v>
      </c>
      <c r="H122">
        <v>0</v>
      </c>
      <c r="I122" t="s">
        <v>50</v>
      </c>
      <c r="J122" t="s">
        <v>22</v>
      </c>
      <c r="K122" t="s">
        <v>17</v>
      </c>
      <c r="L122">
        <f>F121*G121*(1-H121)</f>
        <v>5696.2</v>
      </c>
    </row>
    <row r="123" spans="1:12">
      <c r="A123" t="s">
        <v>272</v>
      </c>
      <c r="B123" s="1">
        <v>46225</v>
      </c>
      <c r="C123" t="s">
        <v>273</v>
      </c>
      <c r="D123" t="s">
        <v>78</v>
      </c>
      <c r="E123" t="s">
        <v>40</v>
      </c>
      <c r="F123">
        <v>5</v>
      </c>
      <c r="G123">
        <v>999</v>
      </c>
      <c r="H123">
        <v>0.15</v>
      </c>
      <c r="I123" t="s">
        <v>15</v>
      </c>
      <c r="J123" t="s">
        <v>36</v>
      </c>
      <c r="K123" t="s">
        <v>17</v>
      </c>
      <c r="L123">
        <f>F122*G122*(1-H122)</f>
        <v>1198</v>
      </c>
    </row>
    <row r="124" spans="1:12">
      <c r="A124" t="s">
        <v>274</v>
      </c>
      <c r="B124" s="1">
        <v>46279</v>
      </c>
      <c r="C124" t="s">
        <v>275</v>
      </c>
      <c r="D124" t="s">
        <v>26</v>
      </c>
      <c r="E124" t="s">
        <v>35</v>
      </c>
      <c r="F124">
        <v>3</v>
      </c>
      <c r="G124">
        <v>999</v>
      </c>
      <c r="H124">
        <v>0.1</v>
      </c>
      <c r="I124" t="s">
        <v>50</v>
      </c>
      <c r="J124" t="s">
        <v>22</v>
      </c>
      <c r="K124" t="s">
        <v>17</v>
      </c>
      <c r="L124">
        <f>F123*G123*(1-H123)</f>
        <v>4245.75</v>
      </c>
    </row>
    <row r="125" spans="1:12">
      <c r="A125" t="s">
        <v>276</v>
      </c>
      <c r="B125" s="1">
        <v>46096</v>
      </c>
      <c r="C125" t="s">
        <v>277</v>
      </c>
      <c r="D125" t="s">
        <v>13</v>
      </c>
      <c r="E125" t="s">
        <v>21</v>
      </c>
      <c r="F125">
        <v>4</v>
      </c>
      <c r="G125">
        <v>499</v>
      </c>
      <c r="H125">
        <v>0</v>
      </c>
      <c r="I125" t="s">
        <v>15</v>
      </c>
      <c r="J125" t="s">
        <v>16</v>
      </c>
      <c r="K125" t="s">
        <v>17</v>
      </c>
      <c r="L125">
        <f>F124*G124*(1-H124)</f>
        <v>2697.3</v>
      </c>
    </row>
    <row r="126" spans="1:12">
      <c r="A126" t="s">
        <v>278</v>
      </c>
      <c r="B126" s="1">
        <v>46194</v>
      </c>
      <c r="C126" t="s">
        <v>279</v>
      </c>
      <c r="D126" t="s">
        <v>78</v>
      </c>
      <c r="E126" t="s">
        <v>14</v>
      </c>
      <c r="F126">
        <v>4</v>
      </c>
      <c r="G126">
        <v>1299</v>
      </c>
      <c r="H126">
        <v>0.1</v>
      </c>
      <c r="I126" t="s">
        <v>47</v>
      </c>
      <c r="J126" t="s">
        <v>51</v>
      </c>
      <c r="K126" t="s">
        <v>37</v>
      </c>
      <c r="L126">
        <f>F125*G125*(1-H125)</f>
        <v>1996</v>
      </c>
    </row>
    <row r="127" spans="1:12">
      <c r="A127" t="s">
        <v>280</v>
      </c>
      <c r="B127" s="1">
        <v>46063</v>
      </c>
      <c r="C127" t="s">
        <v>281</v>
      </c>
      <c r="D127" t="s">
        <v>43</v>
      </c>
      <c r="E127" t="s">
        <v>14</v>
      </c>
      <c r="F127">
        <v>5</v>
      </c>
      <c r="G127">
        <v>599</v>
      </c>
      <c r="H127">
        <v>0.1</v>
      </c>
      <c r="I127" t="s">
        <v>15</v>
      </c>
      <c r="J127" t="s">
        <v>16</v>
      </c>
      <c r="K127" t="s">
        <v>17</v>
      </c>
      <c r="L127">
        <f>F126*G126*(1-H126)</f>
        <v>4676.4000000000005</v>
      </c>
    </row>
    <row r="128" spans="1:12">
      <c r="A128" t="s">
        <v>282</v>
      </c>
      <c r="B128" s="1">
        <v>46239</v>
      </c>
      <c r="C128" t="s">
        <v>283</v>
      </c>
      <c r="D128" t="s">
        <v>59</v>
      </c>
      <c r="E128" t="s">
        <v>27</v>
      </c>
      <c r="F128">
        <v>5</v>
      </c>
      <c r="G128">
        <v>7999</v>
      </c>
      <c r="H128">
        <v>0</v>
      </c>
      <c r="I128" t="s">
        <v>47</v>
      </c>
      <c r="J128" t="s">
        <v>36</v>
      </c>
      <c r="K128" t="s">
        <v>23</v>
      </c>
      <c r="L128">
        <f>F127*G127*(1-H127)</f>
        <v>2695.5</v>
      </c>
    </row>
    <row r="129" spans="1:12">
      <c r="A129" t="s">
        <v>284</v>
      </c>
      <c r="B129" s="1">
        <v>46195</v>
      </c>
      <c r="C129" t="s">
        <v>285</v>
      </c>
      <c r="D129" t="s">
        <v>71</v>
      </c>
      <c r="E129" t="s">
        <v>27</v>
      </c>
      <c r="F129">
        <v>3</v>
      </c>
      <c r="G129">
        <v>1499</v>
      </c>
      <c r="H129">
        <v>0</v>
      </c>
      <c r="I129" t="s">
        <v>32</v>
      </c>
      <c r="J129" t="s">
        <v>28</v>
      </c>
      <c r="K129" t="s">
        <v>37</v>
      </c>
      <c r="L129">
        <f>F128*G128*(1-H128)</f>
        <v>39995</v>
      </c>
    </row>
    <row r="130" spans="1:12">
      <c r="A130" t="s">
        <v>286</v>
      </c>
      <c r="B130" s="1">
        <v>46063</v>
      </c>
      <c r="C130" t="s">
        <v>287</v>
      </c>
      <c r="D130" t="s">
        <v>71</v>
      </c>
      <c r="E130" t="s">
        <v>40</v>
      </c>
      <c r="F130">
        <v>4</v>
      </c>
      <c r="G130">
        <v>1499</v>
      </c>
      <c r="H130">
        <v>0.1</v>
      </c>
      <c r="I130" t="s">
        <v>15</v>
      </c>
      <c r="J130" t="s">
        <v>51</v>
      </c>
      <c r="K130" t="s">
        <v>37</v>
      </c>
      <c r="L130">
        <f>F129*G129*(1-H129)</f>
        <v>4497</v>
      </c>
    </row>
    <row r="131" spans="1:12">
      <c r="A131" t="s">
        <v>288</v>
      </c>
      <c r="B131" s="1">
        <v>46200</v>
      </c>
      <c r="C131" t="s">
        <v>289</v>
      </c>
      <c r="D131" t="s">
        <v>13</v>
      </c>
      <c r="E131" t="s">
        <v>21</v>
      </c>
      <c r="F131">
        <v>2</v>
      </c>
      <c r="G131">
        <v>499</v>
      </c>
      <c r="H131">
        <v>0.05</v>
      </c>
      <c r="I131" t="s">
        <v>47</v>
      </c>
      <c r="J131" t="s">
        <v>36</v>
      </c>
      <c r="K131" t="s">
        <v>37</v>
      </c>
      <c r="L131">
        <f>F130*G130*(1-H130)</f>
        <v>5396.4000000000005</v>
      </c>
    </row>
    <row r="132" spans="1:12">
      <c r="A132" t="s">
        <v>290</v>
      </c>
      <c r="B132" s="1">
        <v>46197</v>
      </c>
      <c r="C132" t="s">
        <v>245</v>
      </c>
      <c r="D132" t="s">
        <v>31</v>
      </c>
      <c r="E132" t="s">
        <v>14</v>
      </c>
      <c r="F132">
        <v>5</v>
      </c>
      <c r="G132">
        <v>1499</v>
      </c>
      <c r="H132">
        <v>0.05</v>
      </c>
      <c r="I132" t="s">
        <v>32</v>
      </c>
      <c r="J132" t="s">
        <v>22</v>
      </c>
      <c r="K132" t="s">
        <v>17</v>
      </c>
      <c r="L132">
        <f>F131*G131*(1-H131)</f>
        <v>948.09999999999991</v>
      </c>
    </row>
    <row r="133" spans="1:12">
      <c r="A133" t="s">
        <v>291</v>
      </c>
      <c r="B133" s="1">
        <v>46158</v>
      </c>
      <c r="C133" t="s">
        <v>292</v>
      </c>
      <c r="D133" t="s">
        <v>26</v>
      </c>
      <c r="E133" t="s">
        <v>27</v>
      </c>
      <c r="F133">
        <v>5</v>
      </c>
      <c r="G133">
        <v>1499</v>
      </c>
      <c r="H133">
        <v>0.15</v>
      </c>
      <c r="I133" t="s">
        <v>50</v>
      </c>
      <c r="J133" t="s">
        <v>16</v>
      </c>
      <c r="K133" t="s">
        <v>17</v>
      </c>
      <c r="L133">
        <f>F132*G132*(1-H132)</f>
        <v>7120.25</v>
      </c>
    </row>
    <row r="134" spans="1:12">
      <c r="A134" t="s">
        <v>293</v>
      </c>
      <c r="B134" s="1">
        <v>46150</v>
      </c>
      <c r="C134" t="s">
        <v>294</v>
      </c>
      <c r="D134" t="s">
        <v>20</v>
      </c>
      <c r="E134" t="s">
        <v>35</v>
      </c>
      <c r="F134">
        <v>5</v>
      </c>
      <c r="G134">
        <v>599</v>
      </c>
      <c r="H134">
        <v>0</v>
      </c>
      <c r="I134" t="s">
        <v>32</v>
      </c>
      <c r="J134" t="s">
        <v>36</v>
      </c>
      <c r="K134" t="s">
        <v>23</v>
      </c>
      <c r="L134">
        <f>F133*G133*(1-H133)</f>
        <v>6370.75</v>
      </c>
    </row>
    <row r="135" spans="1:12">
      <c r="A135" t="s">
        <v>295</v>
      </c>
      <c r="B135" s="1">
        <v>46161</v>
      </c>
      <c r="C135" t="s">
        <v>296</v>
      </c>
      <c r="D135" t="s">
        <v>43</v>
      </c>
      <c r="E135" t="s">
        <v>14</v>
      </c>
      <c r="F135">
        <v>1</v>
      </c>
      <c r="G135">
        <v>1499</v>
      </c>
      <c r="H135">
        <v>0</v>
      </c>
      <c r="I135" t="s">
        <v>44</v>
      </c>
      <c r="J135" t="s">
        <v>36</v>
      </c>
      <c r="K135" t="s">
        <v>37</v>
      </c>
      <c r="L135">
        <f>F134*G134*(1-H134)</f>
        <v>2995</v>
      </c>
    </row>
    <row r="136" spans="1:12">
      <c r="A136" t="s">
        <v>297</v>
      </c>
      <c r="B136" s="1">
        <v>46031</v>
      </c>
      <c r="C136" t="s">
        <v>298</v>
      </c>
      <c r="D136" t="s">
        <v>59</v>
      </c>
      <c r="E136" t="s">
        <v>21</v>
      </c>
      <c r="F136">
        <v>3</v>
      </c>
      <c r="G136">
        <v>2499</v>
      </c>
      <c r="H136">
        <v>0.15</v>
      </c>
      <c r="I136" t="s">
        <v>32</v>
      </c>
      <c r="J136" t="s">
        <v>28</v>
      </c>
      <c r="K136" t="s">
        <v>17</v>
      </c>
      <c r="L136">
        <f>F135*G135*(1-H135)</f>
        <v>1499</v>
      </c>
    </row>
    <row r="137" spans="1:12">
      <c r="A137" t="s">
        <v>299</v>
      </c>
      <c r="B137" s="1">
        <v>46037</v>
      </c>
      <c r="C137" t="s">
        <v>300</v>
      </c>
      <c r="D137" t="s">
        <v>20</v>
      </c>
      <c r="E137" t="s">
        <v>21</v>
      </c>
      <c r="F137">
        <v>3</v>
      </c>
      <c r="G137">
        <v>1499</v>
      </c>
      <c r="H137">
        <v>0</v>
      </c>
      <c r="I137" t="s">
        <v>44</v>
      </c>
      <c r="J137" t="s">
        <v>22</v>
      </c>
      <c r="K137" t="s">
        <v>17</v>
      </c>
      <c r="L137">
        <f>F136*G136*(1-H136)</f>
        <v>6372.45</v>
      </c>
    </row>
    <row r="138" spans="1:12">
      <c r="A138" t="s">
        <v>301</v>
      </c>
      <c r="B138" s="1">
        <v>46216</v>
      </c>
      <c r="C138" t="s">
        <v>302</v>
      </c>
      <c r="D138" t="s">
        <v>62</v>
      </c>
      <c r="E138" t="s">
        <v>27</v>
      </c>
      <c r="F138">
        <v>5</v>
      </c>
      <c r="G138">
        <v>599</v>
      </c>
      <c r="H138">
        <v>0.05</v>
      </c>
      <c r="I138" t="s">
        <v>32</v>
      </c>
      <c r="J138" t="s">
        <v>22</v>
      </c>
      <c r="K138" t="s">
        <v>17</v>
      </c>
      <c r="L138">
        <f>F137*G137*(1-H137)</f>
        <v>4497</v>
      </c>
    </row>
    <row r="139" spans="1:12">
      <c r="A139" t="s">
        <v>303</v>
      </c>
      <c r="B139" s="1">
        <v>46076</v>
      </c>
      <c r="C139" t="s">
        <v>304</v>
      </c>
      <c r="D139" t="s">
        <v>59</v>
      </c>
      <c r="E139" t="s">
        <v>21</v>
      </c>
      <c r="F139">
        <v>2</v>
      </c>
      <c r="G139">
        <v>2499</v>
      </c>
      <c r="H139">
        <v>0.05</v>
      </c>
      <c r="I139" t="s">
        <v>47</v>
      </c>
      <c r="J139" t="s">
        <v>22</v>
      </c>
      <c r="K139" t="s">
        <v>17</v>
      </c>
      <c r="L139">
        <f>F138*G138*(1-H138)</f>
        <v>2845.25</v>
      </c>
    </row>
    <row r="140" spans="1:12">
      <c r="A140" t="s">
        <v>305</v>
      </c>
      <c r="B140" s="1">
        <v>46067</v>
      </c>
      <c r="C140" t="s">
        <v>306</v>
      </c>
      <c r="D140" t="s">
        <v>26</v>
      </c>
      <c r="E140" t="s">
        <v>35</v>
      </c>
      <c r="F140">
        <v>1</v>
      </c>
      <c r="G140">
        <v>7999</v>
      </c>
      <c r="H140">
        <v>0.1</v>
      </c>
      <c r="I140" t="s">
        <v>32</v>
      </c>
      <c r="J140" t="s">
        <v>22</v>
      </c>
      <c r="K140" t="s">
        <v>17</v>
      </c>
      <c r="L140">
        <f>F139*G139*(1-H139)</f>
        <v>4748.0999999999995</v>
      </c>
    </row>
    <row r="141" spans="1:12">
      <c r="A141" t="s">
        <v>307</v>
      </c>
      <c r="B141" s="1">
        <v>46118</v>
      </c>
      <c r="C141" t="s">
        <v>308</v>
      </c>
      <c r="D141" t="s">
        <v>56</v>
      </c>
      <c r="E141" t="s">
        <v>14</v>
      </c>
      <c r="F141">
        <v>3</v>
      </c>
      <c r="G141">
        <v>4999</v>
      </c>
      <c r="H141">
        <v>0.1</v>
      </c>
      <c r="I141" t="s">
        <v>47</v>
      </c>
      <c r="J141" t="s">
        <v>22</v>
      </c>
      <c r="K141" t="s">
        <v>17</v>
      </c>
      <c r="L141">
        <f>F140*G140*(1-H140)</f>
        <v>7199.1</v>
      </c>
    </row>
    <row r="142" spans="1:12">
      <c r="A142" t="s">
        <v>309</v>
      </c>
      <c r="B142" s="1">
        <v>46216</v>
      </c>
      <c r="C142" t="s">
        <v>310</v>
      </c>
      <c r="D142" t="s">
        <v>26</v>
      </c>
      <c r="E142" t="s">
        <v>40</v>
      </c>
      <c r="F142">
        <v>5</v>
      </c>
      <c r="G142">
        <v>499</v>
      </c>
      <c r="H142">
        <v>0.1</v>
      </c>
      <c r="I142" t="s">
        <v>47</v>
      </c>
      <c r="J142" t="s">
        <v>36</v>
      </c>
      <c r="K142" t="s">
        <v>17</v>
      </c>
      <c r="L142">
        <f>F141*G141*(1-H141)</f>
        <v>13497.300000000001</v>
      </c>
    </row>
    <row r="143" spans="1:12">
      <c r="A143" t="s">
        <v>311</v>
      </c>
      <c r="B143" s="1">
        <v>46178</v>
      </c>
      <c r="C143" t="s">
        <v>312</v>
      </c>
      <c r="D143" t="s">
        <v>31</v>
      </c>
      <c r="E143" t="s">
        <v>21</v>
      </c>
      <c r="F143">
        <v>5</v>
      </c>
      <c r="G143">
        <v>1499</v>
      </c>
      <c r="H143">
        <v>0.1</v>
      </c>
      <c r="I143" t="s">
        <v>15</v>
      </c>
      <c r="J143" t="s">
        <v>51</v>
      </c>
      <c r="K143" t="s">
        <v>37</v>
      </c>
      <c r="L143">
        <f>F142*G142*(1-H142)</f>
        <v>2245.5</v>
      </c>
    </row>
    <row r="144" spans="1:12">
      <c r="A144" t="s">
        <v>313</v>
      </c>
      <c r="B144" s="1">
        <v>46026</v>
      </c>
      <c r="C144" t="s">
        <v>314</v>
      </c>
      <c r="D144" t="s">
        <v>43</v>
      </c>
      <c r="E144" t="s">
        <v>40</v>
      </c>
      <c r="F144">
        <v>5</v>
      </c>
      <c r="G144">
        <v>7999</v>
      </c>
      <c r="H144">
        <v>0</v>
      </c>
      <c r="I144" t="s">
        <v>50</v>
      </c>
      <c r="J144" t="s">
        <v>36</v>
      </c>
      <c r="K144" t="s">
        <v>37</v>
      </c>
      <c r="L144">
        <f>F143*G143*(1-H143)</f>
        <v>6745.5</v>
      </c>
    </row>
    <row r="145" spans="1:12">
      <c r="A145" t="s">
        <v>315</v>
      </c>
      <c r="B145" s="1">
        <v>46029</v>
      </c>
      <c r="C145" t="s">
        <v>316</v>
      </c>
      <c r="D145" t="s">
        <v>62</v>
      </c>
      <c r="E145" t="s">
        <v>21</v>
      </c>
      <c r="F145">
        <v>1</v>
      </c>
      <c r="G145">
        <v>499</v>
      </c>
      <c r="H145">
        <v>0</v>
      </c>
      <c r="I145" t="s">
        <v>50</v>
      </c>
      <c r="J145" t="s">
        <v>51</v>
      </c>
      <c r="K145" t="s">
        <v>17</v>
      </c>
      <c r="L145">
        <f>F144*G144*(1-H144)</f>
        <v>39995</v>
      </c>
    </row>
    <row r="146" spans="1:12">
      <c r="A146" t="s">
        <v>317</v>
      </c>
      <c r="B146" s="1">
        <v>46181</v>
      </c>
      <c r="C146" t="s">
        <v>318</v>
      </c>
      <c r="D146" t="s">
        <v>20</v>
      </c>
      <c r="E146" t="s">
        <v>14</v>
      </c>
      <c r="F146">
        <v>5</v>
      </c>
      <c r="G146">
        <v>999</v>
      </c>
      <c r="H146">
        <v>0</v>
      </c>
      <c r="I146" t="s">
        <v>47</v>
      </c>
      <c r="J146" t="s">
        <v>22</v>
      </c>
      <c r="K146" t="s">
        <v>17</v>
      </c>
      <c r="L146">
        <f>F145*G145*(1-H145)</f>
        <v>499</v>
      </c>
    </row>
    <row r="147" spans="1:12">
      <c r="A147" t="s">
        <v>319</v>
      </c>
      <c r="B147" s="1">
        <v>46125</v>
      </c>
      <c r="C147" t="s">
        <v>320</v>
      </c>
      <c r="D147" t="s">
        <v>20</v>
      </c>
      <c r="E147" t="s">
        <v>21</v>
      </c>
      <c r="F147">
        <v>1</v>
      </c>
      <c r="G147">
        <v>1499</v>
      </c>
      <c r="H147">
        <v>0.1</v>
      </c>
      <c r="I147" t="s">
        <v>50</v>
      </c>
      <c r="J147" t="s">
        <v>36</v>
      </c>
      <c r="K147" t="s">
        <v>37</v>
      </c>
      <c r="L147">
        <f>F146*G146*(1-H146)</f>
        <v>4995</v>
      </c>
    </row>
    <row r="148" spans="1:12">
      <c r="A148" t="s">
        <v>321</v>
      </c>
      <c r="B148" s="1">
        <v>46127</v>
      </c>
      <c r="C148" t="s">
        <v>322</v>
      </c>
      <c r="D148" t="s">
        <v>62</v>
      </c>
      <c r="E148" t="s">
        <v>27</v>
      </c>
      <c r="F148">
        <v>5</v>
      </c>
      <c r="G148">
        <v>599</v>
      </c>
      <c r="H148">
        <v>0.1</v>
      </c>
      <c r="I148" t="s">
        <v>32</v>
      </c>
      <c r="J148" t="s">
        <v>22</v>
      </c>
      <c r="K148" t="s">
        <v>17</v>
      </c>
      <c r="L148">
        <f>F147*G147*(1-H147)</f>
        <v>1349.1000000000001</v>
      </c>
    </row>
    <row r="149" spans="1:12">
      <c r="A149" t="s">
        <v>323</v>
      </c>
      <c r="B149" s="1">
        <v>46134</v>
      </c>
      <c r="C149" t="s">
        <v>66</v>
      </c>
      <c r="D149" t="s">
        <v>20</v>
      </c>
      <c r="E149" t="s">
        <v>35</v>
      </c>
      <c r="F149">
        <v>5</v>
      </c>
      <c r="G149">
        <v>599</v>
      </c>
      <c r="H149">
        <v>0.15</v>
      </c>
      <c r="I149" t="s">
        <v>44</v>
      </c>
      <c r="J149" t="s">
        <v>28</v>
      </c>
      <c r="K149" t="s">
        <v>17</v>
      </c>
      <c r="L149">
        <f>F148*G148*(1-H148)</f>
        <v>2695.5</v>
      </c>
    </row>
    <row r="150" spans="1:12">
      <c r="A150" t="s">
        <v>324</v>
      </c>
      <c r="B150" s="1">
        <v>46063</v>
      </c>
      <c r="C150" t="s">
        <v>325</v>
      </c>
      <c r="D150" t="s">
        <v>31</v>
      </c>
      <c r="E150" t="s">
        <v>27</v>
      </c>
      <c r="F150">
        <v>4</v>
      </c>
      <c r="G150">
        <v>799</v>
      </c>
      <c r="H150">
        <v>0</v>
      </c>
      <c r="I150" t="s">
        <v>47</v>
      </c>
      <c r="J150" t="s">
        <v>28</v>
      </c>
      <c r="K150" t="s">
        <v>17</v>
      </c>
      <c r="L150">
        <f>F149*G149*(1-H149)</f>
        <v>2545.75</v>
      </c>
    </row>
    <row r="151" spans="1:12">
      <c r="A151" t="s">
        <v>326</v>
      </c>
      <c r="B151" s="1">
        <v>46225</v>
      </c>
      <c r="C151" t="s">
        <v>327</v>
      </c>
      <c r="D151" t="s">
        <v>31</v>
      </c>
      <c r="E151" t="s">
        <v>27</v>
      </c>
      <c r="F151">
        <v>3</v>
      </c>
      <c r="G151">
        <v>1499</v>
      </c>
      <c r="H151">
        <v>0</v>
      </c>
      <c r="I151" t="s">
        <v>15</v>
      </c>
      <c r="J151" t="s">
        <v>22</v>
      </c>
      <c r="K151" t="s">
        <v>23</v>
      </c>
      <c r="L151">
        <f>F150*G150*(1-H150)</f>
        <v>3196</v>
      </c>
    </row>
    <row r="152" spans="1:12">
      <c r="A152" t="s">
        <v>328</v>
      </c>
      <c r="B152" s="1">
        <v>46249</v>
      </c>
      <c r="C152" t="s">
        <v>329</v>
      </c>
      <c r="D152" t="s">
        <v>26</v>
      </c>
      <c r="E152" t="s">
        <v>27</v>
      </c>
      <c r="F152">
        <v>2</v>
      </c>
      <c r="G152">
        <v>599</v>
      </c>
      <c r="H152">
        <v>0.05</v>
      </c>
      <c r="I152" t="s">
        <v>44</v>
      </c>
      <c r="J152" t="s">
        <v>36</v>
      </c>
      <c r="K152" t="s">
        <v>17</v>
      </c>
      <c r="L152">
        <f>F151*G151*(1-H151)</f>
        <v>4497</v>
      </c>
    </row>
    <row r="153" spans="1:12">
      <c r="A153" t="s">
        <v>330</v>
      </c>
      <c r="B153" s="1">
        <v>46208</v>
      </c>
      <c r="C153" t="s">
        <v>331</v>
      </c>
      <c r="D153" t="s">
        <v>13</v>
      </c>
      <c r="E153" t="s">
        <v>14</v>
      </c>
      <c r="F153">
        <v>3</v>
      </c>
      <c r="G153">
        <v>1299</v>
      </c>
      <c r="H153">
        <v>0</v>
      </c>
      <c r="I153" t="s">
        <v>44</v>
      </c>
      <c r="J153" t="s">
        <v>16</v>
      </c>
      <c r="K153" t="s">
        <v>17</v>
      </c>
      <c r="L153">
        <f>F152*G152*(1-H152)</f>
        <v>1138.0999999999999</v>
      </c>
    </row>
    <row r="154" spans="1:12">
      <c r="A154" t="s">
        <v>332</v>
      </c>
      <c r="B154" s="1">
        <v>46103</v>
      </c>
      <c r="C154" t="s">
        <v>333</v>
      </c>
      <c r="D154" t="s">
        <v>59</v>
      </c>
      <c r="E154" t="s">
        <v>27</v>
      </c>
      <c r="F154">
        <v>1</v>
      </c>
      <c r="G154">
        <v>7999</v>
      </c>
      <c r="H154">
        <v>0.15</v>
      </c>
      <c r="I154" t="s">
        <v>15</v>
      </c>
      <c r="J154" t="s">
        <v>22</v>
      </c>
      <c r="K154" t="s">
        <v>37</v>
      </c>
      <c r="L154">
        <f>F153*G153*(1-H153)</f>
        <v>3897</v>
      </c>
    </row>
    <row r="155" spans="1:12">
      <c r="A155" t="s">
        <v>334</v>
      </c>
      <c r="B155" s="1">
        <v>46031</v>
      </c>
      <c r="C155" t="s">
        <v>292</v>
      </c>
      <c r="D155" t="s">
        <v>20</v>
      </c>
      <c r="E155" t="s">
        <v>35</v>
      </c>
      <c r="F155">
        <v>1</v>
      </c>
      <c r="G155">
        <v>599</v>
      </c>
      <c r="H155">
        <v>0.15</v>
      </c>
      <c r="I155" t="s">
        <v>15</v>
      </c>
      <c r="J155" t="s">
        <v>28</v>
      </c>
      <c r="K155" t="s">
        <v>23</v>
      </c>
      <c r="L155">
        <f>F154*G154*(1-H154)</f>
        <v>6799.15</v>
      </c>
    </row>
    <row r="156" spans="1:12">
      <c r="A156" t="s">
        <v>335</v>
      </c>
      <c r="B156" s="1">
        <v>46230</v>
      </c>
      <c r="C156" t="s">
        <v>336</v>
      </c>
      <c r="D156" t="s">
        <v>31</v>
      </c>
      <c r="E156" t="s">
        <v>14</v>
      </c>
      <c r="F156">
        <v>4</v>
      </c>
      <c r="G156">
        <v>599</v>
      </c>
      <c r="H156">
        <v>0.1</v>
      </c>
      <c r="I156" t="s">
        <v>32</v>
      </c>
      <c r="J156" t="s">
        <v>36</v>
      </c>
      <c r="K156" t="s">
        <v>37</v>
      </c>
      <c r="L156">
        <f>F155*G155*(1-H155)</f>
        <v>509.15</v>
      </c>
    </row>
    <row r="157" spans="1:12">
      <c r="A157" t="s">
        <v>337</v>
      </c>
      <c r="B157" s="1">
        <v>46167</v>
      </c>
      <c r="C157" t="s">
        <v>338</v>
      </c>
      <c r="D157" t="s">
        <v>56</v>
      </c>
      <c r="E157" t="s">
        <v>21</v>
      </c>
      <c r="F157">
        <v>4</v>
      </c>
      <c r="G157">
        <v>1499</v>
      </c>
      <c r="H157">
        <v>0</v>
      </c>
      <c r="I157" t="s">
        <v>44</v>
      </c>
      <c r="J157" t="s">
        <v>16</v>
      </c>
      <c r="K157" t="s">
        <v>17</v>
      </c>
      <c r="L157">
        <f>F156*G156*(1-H156)</f>
        <v>2156.4</v>
      </c>
    </row>
    <row r="158" spans="1:12">
      <c r="A158" t="s">
        <v>339</v>
      </c>
      <c r="B158" s="1">
        <v>46119</v>
      </c>
      <c r="C158" t="s">
        <v>68</v>
      </c>
      <c r="D158" t="s">
        <v>62</v>
      </c>
      <c r="E158" t="s">
        <v>14</v>
      </c>
      <c r="F158">
        <v>3</v>
      </c>
      <c r="G158">
        <v>7999</v>
      </c>
      <c r="H158">
        <v>0.15</v>
      </c>
      <c r="I158" t="s">
        <v>50</v>
      </c>
      <c r="J158" t="s">
        <v>16</v>
      </c>
      <c r="K158" t="s">
        <v>17</v>
      </c>
      <c r="L158">
        <f>F157*G157*(1-H157)</f>
        <v>5996</v>
      </c>
    </row>
    <row r="159" spans="1:12">
      <c r="A159" t="s">
        <v>340</v>
      </c>
      <c r="B159" s="1">
        <v>46083</v>
      </c>
      <c r="C159" t="s">
        <v>341</v>
      </c>
      <c r="D159" t="s">
        <v>59</v>
      </c>
      <c r="E159" t="s">
        <v>14</v>
      </c>
      <c r="F159">
        <v>4</v>
      </c>
      <c r="G159">
        <v>1299</v>
      </c>
      <c r="H159">
        <v>0.1</v>
      </c>
      <c r="I159" t="s">
        <v>44</v>
      </c>
      <c r="J159" t="s">
        <v>16</v>
      </c>
      <c r="K159" t="s">
        <v>17</v>
      </c>
      <c r="L159">
        <f>F158*G158*(1-H158)</f>
        <v>20397.45</v>
      </c>
    </row>
    <row r="160" spans="1:12">
      <c r="A160" t="s">
        <v>342</v>
      </c>
      <c r="B160" s="1">
        <v>46275</v>
      </c>
      <c r="C160" t="s">
        <v>343</v>
      </c>
      <c r="D160" t="s">
        <v>20</v>
      </c>
      <c r="E160" t="s">
        <v>27</v>
      </c>
      <c r="F160">
        <v>1</v>
      </c>
      <c r="G160">
        <v>1499</v>
      </c>
      <c r="H160">
        <v>0</v>
      </c>
      <c r="I160" t="s">
        <v>15</v>
      </c>
      <c r="J160" t="s">
        <v>36</v>
      </c>
      <c r="K160" t="s">
        <v>17</v>
      </c>
      <c r="L160">
        <f>F159*G159*(1-H159)</f>
        <v>4676.4000000000005</v>
      </c>
    </row>
    <row r="161" spans="1:12">
      <c r="A161" t="s">
        <v>344</v>
      </c>
      <c r="B161" s="1">
        <v>46037</v>
      </c>
      <c r="C161" t="s">
        <v>345</v>
      </c>
      <c r="D161" t="s">
        <v>20</v>
      </c>
      <c r="E161" t="s">
        <v>14</v>
      </c>
      <c r="F161">
        <v>4</v>
      </c>
      <c r="G161">
        <v>799</v>
      </c>
      <c r="H161">
        <v>0.1</v>
      </c>
      <c r="I161" t="s">
        <v>47</v>
      </c>
      <c r="J161" t="s">
        <v>22</v>
      </c>
      <c r="K161" t="s">
        <v>17</v>
      </c>
      <c r="L161">
        <f>F160*G160*(1-H160)</f>
        <v>1499</v>
      </c>
    </row>
    <row r="162" spans="1:12">
      <c r="A162" t="s">
        <v>346</v>
      </c>
      <c r="B162" s="1">
        <v>46099</v>
      </c>
      <c r="C162" t="s">
        <v>347</v>
      </c>
      <c r="D162" t="s">
        <v>62</v>
      </c>
      <c r="E162" t="s">
        <v>40</v>
      </c>
      <c r="F162">
        <v>3</v>
      </c>
      <c r="G162">
        <v>999</v>
      </c>
      <c r="H162">
        <v>0</v>
      </c>
      <c r="I162" t="s">
        <v>15</v>
      </c>
      <c r="J162" t="s">
        <v>22</v>
      </c>
      <c r="K162" t="s">
        <v>17</v>
      </c>
      <c r="L162">
        <f>F161*G161*(1-H161)</f>
        <v>2876.4</v>
      </c>
    </row>
    <row r="163" spans="1:12">
      <c r="A163" t="s">
        <v>348</v>
      </c>
      <c r="B163" s="1">
        <v>46283</v>
      </c>
      <c r="C163" t="s">
        <v>349</v>
      </c>
      <c r="D163" t="s">
        <v>59</v>
      </c>
      <c r="E163" t="s">
        <v>21</v>
      </c>
      <c r="F163">
        <v>5</v>
      </c>
      <c r="G163">
        <v>1299</v>
      </c>
      <c r="H163">
        <v>0.1</v>
      </c>
      <c r="I163" t="s">
        <v>44</v>
      </c>
      <c r="J163" t="s">
        <v>28</v>
      </c>
      <c r="K163" t="s">
        <v>23</v>
      </c>
      <c r="L163">
        <f>F162*G162*(1-H162)</f>
        <v>2997</v>
      </c>
    </row>
    <row r="164" spans="1:12">
      <c r="A164" t="s">
        <v>350</v>
      </c>
      <c r="B164" s="1">
        <v>46195</v>
      </c>
      <c r="C164" t="s">
        <v>351</v>
      </c>
      <c r="D164" t="s">
        <v>71</v>
      </c>
      <c r="E164" t="s">
        <v>35</v>
      </c>
      <c r="F164">
        <v>1</v>
      </c>
      <c r="G164">
        <v>1999</v>
      </c>
      <c r="H164">
        <v>0</v>
      </c>
      <c r="I164" t="s">
        <v>32</v>
      </c>
      <c r="J164" t="s">
        <v>36</v>
      </c>
      <c r="K164" t="s">
        <v>17</v>
      </c>
      <c r="L164">
        <f>F163*G163*(1-H163)</f>
        <v>5845.5</v>
      </c>
    </row>
    <row r="165" spans="1:12">
      <c r="A165" t="s">
        <v>352</v>
      </c>
      <c r="B165" s="1">
        <v>46207</v>
      </c>
      <c r="C165" t="s">
        <v>353</v>
      </c>
      <c r="D165" t="s">
        <v>31</v>
      </c>
      <c r="E165" t="s">
        <v>27</v>
      </c>
      <c r="F165">
        <v>1</v>
      </c>
      <c r="G165">
        <v>599</v>
      </c>
      <c r="H165">
        <v>0</v>
      </c>
      <c r="I165" t="s">
        <v>50</v>
      </c>
      <c r="J165" t="s">
        <v>28</v>
      </c>
      <c r="K165" t="s">
        <v>37</v>
      </c>
      <c r="L165">
        <f>F164*G164*(1-H164)</f>
        <v>1999</v>
      </c>
    </row>
    <row r="166" spans="1:12">
      <c r="A166" t="s">
        <v>354</v>
      </c>
      <c r="B166" s="1">
        <v>46163</v>
      </c>
      <c r="C166" t="s">
        <v>355</v>
      </c>
      <c r="D166" t="s">
        <v>20</v>
      </c>
      <c r="E166" t="s">
        <v>35</v>
      </c>
      <c r="F166">
        <v>1</v>
      </c>
      <c r="G166">
        <v>2499</v>
      </c>
      <c r="H166">
        <v>0</v>
      </c>
      <c r="I166" t="s">
        <v>47</v>
      </c>
      <c r="J166" t="s">
        <v>28</v>
      </c>
      <c r="K166" t="s">
        <v>37</v>
      </c>
      <c r="L166">
        <f>F165*G165*(1-H165)</f>
        <v>599</v>
      </c>
    </row>
    <row r="167" spans="1:12">
      <c r="A167" t="s">
        <v>356</v>
      </c>
      <c r="B167" s="1">
        <v>46243</v>
      </c>
      <c r="C167" t="s">
        <v>357</v>
      </c>
      <c r="D167" t="s">
        <v>78</v>
      </c>
      <c r="E167" t="s">
        <v>35</v>
      </c>
      <c r="F167">
        <v>5</v>
      </c>
      <c r="G167">
        <v>1299</v>
      </c>
      <c r="H167">
        <v>0.1</v>
      </c>
      <c r="I167" t="s">
        <v>47</v>
      </c>
      <c r="J167" t="s">
        <v>51</v>
      </c>
      <c r="K167" t="s">
        <v>23</v>
      </c>
      <c r="L167">
        <f>F166*G166*(1-H166)</f>
        <v>2499</v>
      </c>
    </row>
    <row r="168" spans="1:12">
      <c r="A168" t="s">
        <v>358</v>
      </c>
      <c r="B168" s="1">
        <v>46197</v>
      </c>
      <c r="C168" t="s">
        <v>359</v>
      </c>
      <c r="D168" t="s">
        <v>26</v>
      </c>
      <c r="E168" t="s">
        <v>27</v>
      </c>
      <c r="F168">
        <v>5</v>
      </c>
      <c r="G168">
        <v>599</v>
      </c>
      <c r="H168">
        <v>0.05</v>
      </c>
      <c r="I168" t="s">
        <v>50</v>
      </c>
      <c r="J168" t="s">
        <v>36</v>
      </c>
      <c r="K168" t="s">
        <v>37</v>
      </c>
      <c r="L168">
        <f>F167*G167*(1-H167)</f>
        <v>5845.5</v>
      </c>
    </row>
    <row r="169" spans="1:12">
      <c r="A169" t="s">
        <v>360</v>
      </c>
      <c r="B169" s="1">
        <v>46106</v>
      </c>
      <c r="C169" t="s">
        <v>361</v>
      </c>
      <c r="D169" t="s">
        <v>56</v>
      </c>
      <c r="E169" t="s">
        <v>14</v>
      </c>
      <c r="F169">
        <v>5</v>
      </c>
      <c r="G169">
        <v>4999</v>
      </c>
      <c r="H169">
        <v>0.05</v>
      </c>
      <c r="I169" t="s">
        <v>50</v>
      </c>
      <c r="J169" t="s">
        <v>28</v>
      </c>
      <c r="K169" t="s">
        <v>37</v>
      </c>
      <c r="L169">
        <f>F168*G168*(1-H168)</f>
        <v>2845.25</v>
      </c>
    </row>
    <row r="170" spans="1:12">
      <c r="A170" t="s">
        <v>362</v>
      </c>
      <c r="B170" s="1">
        <v>46031</v>
      </c>
      <c r="C170" t="s">
        <v>205</v>
      </c>
      <c r="D170" t="s">
        <v>78</v>
      </c>
      <c r="E170" t="s">
        <v>27</v>
      </c>
      <c r="F170">
        <v>1</v>
      </c>
      <c r="G170">
        <v>499</v>
      </c>
      <c r="H170">
        <v>0.05</v>
      </c>
      <c r="I170" t="s">
        <v>50</v>
      </c>
      <c r="J170" t="s">
        <v>16</v>
      </c>
      <c r="K170" t="s">
        <v>17</v>
      </c>
      <c r="L170">
        <f>F169*G169*(1-H169)</f>
        <v>23745.25</v>
      </c>
    </row>
    <row r="171" spans="1:12">
      <c r="A171" t="s">
        <v>363</v>
      </c>
      <c r="B171" s="1">
        <v>46212</v>
      </c>
      <c r="C171" t="s">
        <v>364</v>
      </c>
      <c r="D171" t="s">
        <v>56</v>
      </c>
      <c r="E171" t="s">
        <v>27</v>
      </c>
      <c r="F171">
        <v>2</v>
      </c>
      <c r="G171">
        <v>1499</v>
      </c>
      <c r="H171">
        <v>0.15</v>
      </c>
      <c r="I171" t="s">
        <v>50</v>
      </c>
      <c r="J171" t="s">
        <v>36</v>
      </c>
      <c r="K171" t="s">
        <v>37</v>
      </c>
      <c r="L171">
        <f>F170*G170*(1-H170)</f>
        <v>474.04999999999995</v>
      </c>
    </row>
    <row r="172" spans="1:12">
      <c r="A172" t="s">
        <v>365</v>
      </c>
      <c r="B172" s="1">
        <v>46114</v>
      </c>
      <c r="C172" t="s">
        <v>366</v>
      </c>
      <c r="D172" t="s">
        <v>26</v>
      </c>
      <c r="E172" t="s">
        <v>21</v>
      </c>
      <c r="F172">
        <v>5</v>
      </c>
      <c r="G172">
        <v>4999</v>
      </c>
      <c r="H172">
        <v>0.15</v>
      </c>
      <c r="I172" t="s">
        <v>15</v>
      </c>
      <c r="J172" t="s">
        <v>28</v>
      </c>
      <c r="K172" t="s">
        <v>17</v>
      </c>
      <c r="L172">
        <f>F171*G171*(1-H171)</f>
        <v>2548.2999999999997</v>
      </c>
    </row>
    <row r="173" spans="1:12">
      <c r="A173" t="s">
        <v>367</v>
      </c>
      <c r="B173" s="1">
        <v>46156</v>
      </c>
      <c r="C173" t="s">
        <v>349</v>
      </c>
      <c r="D173" t="s">
        <v>62</v>
      </c>
      <c r="E173" t="s">
        <v>35</v>
      </c>
      <c r="F173">
        <v>2</v>
      </c>
      <c r="G173">
        <v>1999</v>
      </c>
      <c r="H173">
        <v>0</v>
      </c>
      <c r="I173" t="s">
        <v>50</v>
      </c>
      <c r="J173" t="s">
        <v>22</v>
      </c>
      <c r="K173" t="s">
        <v>17</v>
      </c>
      <c r="L173">
        <f>F172*G172*(1-H172)</f>
        <v>21245.75</v>
      </c>
    </row>
    <row r="174" spans="1:12">
      <c r="A174" t="s">
        <v>368</v>
      </c>
      <c r="B174" s="1">
        <v>46224</v>
      </c>
      <c r="C174" t="s">
        <v>369</v>
      </c>
      <c r="D174" t="s">
        <v>71</v>
      </c>
      <c r="E174" t="s">
        <v>14</v>
      </c>
      <c r="F174">
        <v>5</v>
      </c>
      <c r="G174">
        <v>4999</v>
      </c>
      <c r="H174">
        <v>0.1</v>
      </c>
      <c r="I174" t="s">
        <v>47</v>
      </c>
      <c r="J174" t="s">
        <v>36</v>
      </c>
      <c r="K174" t="s">
        <v>17</v>
      </c>
      <c r="L174">
        <f>F173*G173*(1-H173)</f>
        <v>3998</v>
      </c>
    </row>
    <row r="175" spans="1:12">
      <c r="A175" t="s">
        <v>370</v>
      </c>
      <c r="B175" s="1">
        <v>46142</v>
      </c>
      <c r="C175" t="s">
        <v>82</v>
      </c>
      <c r="D175" t="s">
        <v>71</v>
      </c>
      <c r="E175" t="s">
        <v>21</v>
      </c>
      <c r="F175">
        <v>2</v>
      </c>
      <c r="G175">
        <v>2499</v>
      </c>
      <c r="H175">
        <v>0</v>
      </c>
      <c r="I175" t="s">
        <v>15</v>
      </c>
      <c r="J175" t="s">
        <v>51</v>
      </c>
      <c r="K175" t="s">
        <v>23</v>
      </c>
      <c r="L175">
        <f>F174*G174*(1-H174)</f>
        <v>22495.5</v>
      </c>
    </row>
    <row r="176" spans="1:12">
      <c r="A176" t="s">
        <v>371</v>
      </c>
      <c r="B176" s="1">
        <v>46236</v>
      </c>
      <c r="C176" t="s">
        <v>372</v>
      </c>
      <c r="D176" t="s">
        <v>59</v>
      </c>
      <c r="E176" t="s">
        <v>27</v>
      </c>
      <c r="F176">
        <v>4</v>
      </c>
      <c r="G176">
        <v>599</v>
      </c>
      <c r="H176">
        <v>0.1</v>
      </c>
      <c r="I176" t="s">
        <v>15</v>
      </c>
      <c r="J176" t="s">
        <v>22</v>
      </c>
      <c r="K176" t="s">
        <v>17</v>
      </c>
      <c r="L176">
        <f>F175*G175*(1-H175)</f>
        <v>4998</v>
      </c>
    </row>
    <row r="177" spans="1:12">
      <c r="A177" t="s">
        <v>373</v>
      </c>
      <c r="B177" s="1">
        <v>46149</v>
      </c>
      <c r="C177" t="s">
        <v>374</v>
      </c>
      <c r="D177" t="s">
        <v>20</v>
      </c>
      <c r="E177" t="s">
        <v>14</v>
      </c>
      <c r="F177">
        <v>4</v>
      </c>
      <c r="G177">
        <v>799</v>
      </c>
      <c r="H177">
        <v>0.15</v>
      </c>
      <c r="I177" t="s">
        <v>15</v>
      </c>
      <c r="J177" t="s">
        <v>28</v>
      </c>
      <c r="K177" t="s">
        <v>17</v>
      </c>
      <c r="L177">
        <f>F176*G176*(1-H176)</f>
        <v>2156.4</v>
      </c>
    </row>
    <row r="178" spans="1:12">
      <c r="A178" t="s">
        <v>375</v>
      </c>
      <c r="B178" s="1">
        <v>46108</v>
      </c>
      <c r="C178" t="s">
        <v>376</v>
      </c>
      <c r="D178" t="s">
        <v>71</v>
      </c>
      <c r="E178" t="s">
        <v>21</v>
      </c>
      <c r="F178">
        <v>5</v>
      </c>
      <c r="G178">
        <v>2499</v>
      </c>
      <c r="H178">
        <v>0</v>
      </c>
      <c r="I178" t="s">
        <v>15</v>
      </c>
      <c r="J178" t="s">
        <v>16</v>
      </c>
      <c r="K178" t="s">
        <v>23</v>
      </c>
      <c r="L178">
        <f>F177*G177*(1-H177)</f>
        <v>2716.6</v>
      </c>
    </row>
    <row r="179" spans="1:12">
      <c r="A179" t="s">
        <v>377</v>
      </c>
      <c r="B179" s="1">
        <v>46227</v>
      </c>
      <c r="C179" t="s">
        <v>378</v>
      </c>
      <c r="D179" t="s">
        <v>13</v>
      </c>
      <c r="E179" t="s">
        <v>27</v>
      </c>
      <c r="F179">
        <v>2</v>
      </c>
      <c r="G179">
        <v>799</v>
      </c>
      <c r="H179">
        <v>0.05</v>
      </c>
      <c r="I179" t="s">
        <v>44</v>
      </c>
      <c r="J179" t="s">
        <v>22</v>
      </c>
      <c r="K179" t="s">
        <v>17</v>
      </c>
      <c r="L179">
        <f>F178*G178*(1-H178)</f>
        <v>12495</v>
      </c>
    </row>
    <row r="180" spans="1:12">
      <c r="A180" t="s">
        <v>379</v>
      </c>
      <c r="B180" s="1">
        <v>46043</v>
      </c>
      <c r="C180" t="s">
        <v>380</v>
      </c>
      <c r="D180" t="s">
        <v>78</v>
      </c>
      <c r="E180" t="s">
        <v>27</v>
      </c>
      <c r="F180">
        <v>5</v>
      </c>
      <c r="G180">
        <v>1299</v>
      </c>
      <c r="H180">
        <v>0.1</v>
      </c>
      <c r="I180" t="s">
        <v>15</v>
      </c>
      <c r="J180" t="s">
        <v>36</v>
      </c>
      <c r="K180" t="s">
        <v>17</v>
      </c>
      <c r="L180">
        <f>F179*G179*(1-H179)</f>
        <v>1518.1</v>
      </c>
    </row>
    <row r="181" spans="1:12">
      <c r="A181" t="s">
        <v>381</v>
      </c>
      <c r="B181" s="1">
        <v>46026</v>
      </c>
      <c r="C181" t="s">
        <v>382</v>
      </c>
      <c r="D181" t="s">
        <v>20</v>
      </c>
      <c r="E181" t="s">
        <v>14</v>
      </c>
      <c r="F181">
        <v>1</v>
      </c>
      <c r="G181">
        <v>1299</v>
      </c>
      <c r="H181">
        <v>0</v>
      </c>
      <c r="I181" t="s">
        <v>50</v>
      </c>
      <c r="J181" t="s">
        <v>22</v>
      </c>
      <c r="K181" t="s">
        <v>17</v>
      </c>
      <c r="L181">
        <f>F180*G180*(1-H180)</f>
        <v>5845.5</v>
      </c>
    </row>
    <row r="182" spans="1:12">
      <c r="A182" t="s">
        <v>383</v>
      </c>
      <c r="B182" s="1">
        <v>46126</v>
      </c>
      <c r="C182" t="s">
        <v>384</v>
      </c>
      <c r="D182" t="s">
        <v>78</v>
      </c>
      <c r="E182" t="s">
        <v>27</v>
      </c>
      <c r="F182">
        <v>1</v>
      </c>
      <c r="G182">
        <v>1299</v>
      </c>
      <c r="H182">
        <v>0.05</v>
      </c>
      <c r="I182" t="s">
        <v>44</v>
      </c>
      <c r="J182" t="s">
        <v>51</v>
      </c>
      <c r="K182" t="s">
        <v>17</v>
      </c>
      <c r="L182">
        <f>F181*G181*(1-H181)</f>
        <v>1299</v>
      </c>
    </row>
    <row r="183" spans="1:12">
      <c r="A183" t="s">
        <v>385</v>
      </c>
      <c r="B183" s="1">
        <v>46139</v>
      </c>
      <c r="C183" t="s">
        <v>386</v>
      </c>
      <c r="D183" t="s">
        <v>59</v>
      </c>
      <c r="E183" t="s">
        <v>14</v>
      </c>
      <c r="F183">
        <v>3</v>
      </c>
      <c r="G183">
        <v>1299</v>
      </c>
      <c r="H183">
        <v>0</v>
      </c>
      <c r="I183" t="s">
        <v>50</v>
      </c>
      <c r="J183" t="s">
        <v>28</v>
      </c>
      <c r="K183" t="s">
        <v>17</v>
      </c>
      <c r="L183">
        <f>F182*G182*(1-H182)</f>
        <v>1234.05</v>
      </c>
    </row>
    <row r="184" spans="1:12">
      <c r="A184" t="s">
        <v>387</v>
      </c>
      <c r="B184" s="1">
        <v>46294</v>
      </c>
      <c r="C184" t="s">
        <v>121</v>
      </c>
      <c r="D184" t="s">
        <v>62</v>
      </c>
      <c r="E184" t="s">
        <v>40</v>
      </c>
      <c r="F184">
        <v>4</v>
      </c>
      <c r="G184">
        <v>999</v>
      </c>
      <c r="H184">
        <v>0.1</v>
      </c>
      <c r="I184" t="s">
        <v>15</v>
      </c>
      <c r="J184" t="s">
        <v>36</v>
      </c>
      <c r="K184" t="s">
        <v>17</v>
      </c>
      <c r="L184">
        <f>F183*G183*(1-H183)</f>
        <v>3897</v>
      </c>
    </row>
    <row r="185" spans="1:12">
      <c r="A185" t="s">
        <v>388</v>
      </c>
      <c r="B185" s="1">
        <v>46028</v>
      </c>
      <c r="C185" t="s">
        <v>389</v>
      </c>
      <c r="D185" t="s">
        <v>56</v>
      </c>
      <c r="E185" t="s">
        <v>14</v>
      </c>
      <c r="F185">
        <v>1</v>
      </c>
      <c r="G185">
        <v>1499</v>
      </c>
      <c r="H185">
        <v>0.1</v>
      </c>
      <c r="I185" t="s">
        <v>15</v>
      </c>
      <c r="J185" t="s">
        <v>36</v>
      </c>
      <c r="K185" t="s">
        <v>17</v>
      </c>
      <c r="L185">
        <f>F184*G184*(1-H184)</f>
        <v>3596.4</v>
      </c>
    </row>
    <row r="186" spans="1:12">
      <c r="A186" t="s">
        <v>390</v>
      </c>
      <c r="B186" s="1">
        <v>46109</v>
      </c>
      <c r="C186" t="s">
        <v>279</v>
      </c>
      <c r="D186" t="s">
        <v>59</v>
      </c>
      <c r="E186" t="s">
        <v>21</v>
      </c>
      <c r="F186">
        <v>3</v>
      </c>
      <c r="G186">
        <v>499</v>
      </c>
      <c r="H186">
        <v>0</v>
      </c>
      <c r="I186" t="s">
        <v>15</v>
      </c>
      <c r="J186" t="s">
        <v>51</v>
      </c>
      <c r="K186" t="s">
        <v>17</v>
      </c>
      <c r="L186">
        <f>F185*G185*(1-H185)</f>
        <v>1349.1000000000001</v>
      </c>
    </row>
    <row r="187" spans="1:12">
      <c r="A187" t="s">
        <v>391</v>
      </c>
      <c r="B187" s="1">
        <v>46268</v>
      </c>
      <c r="C187" t="s">
        <v>392</v>
      </c>
      <c r="D187" t="s">
        <v>78</v>
      </c>
      <c r="E187" t="s">
        <v>14</v>
      </c>
      <c r="F187">
        <v>3</v>
      </c>
      <c r="G187">
        <v>7999</v>
      </c>
      <c r="H187">
        <v>0.15</v>
      </c>
      <c r="I187" t="s">
        <v>44</v>
      </c>
      <c r="J187" t="s">
        <v>16</v>
      </c>
      <c r="K187" t="s">
        <v>17</v>
      </c>
      <c r="L187">
        <f>F186*G186*(1-H186)</f>
        <v>1497</v>
      </c>
    </row>
    <row r="188" spans="1:12">
      <c r="A188" t="s">
        <v>393</v>
      </c>
      <c r="B188" s="1">
        <v>46118</v>
      </c>
      <c r="C188" t="s">
        <v>394</v>
      </c>
      <c r="D188" t="s">
        <v>26</v>
      </c>
      <c r="E188" t="s">
        <v>14</v>
      </c>
      <c r="F188">
        <v>1</v>
      </c>
      <c r="G188">
        <v>4999</v>
      </c>
      <c r="H188">
        <v>0</v>
      </c>
      <c r="I188" t="s">
        <v>15</v>
      </c>
      <c r="J188" t="s">
        <v>16</v>
      </c>
      <c r="K188" t="s">
        <v>17</v>
      </c>
      <c r="L188">
        <f>F187*G187*(1-H187)</f>
        <v>20397.45</v>
      </c>
    </row>
    <row r="189" spans="1:12">
      <c r="A189" t="s">
        <v>395</v>
      </c>
      <c r="B189" s="1">
        <v>46176</v>
      </c>
      <c r="C189" t="s">
        <v>396</v>
      </c>
      <c r="D189" t="s">
        <v>56</v>
      </c>
      <c r="E189" t="s">
        <v>40</v>
      </c>
      <c r="F189">
        <v>3</v>
      </c>
      <c r="G189">
        <v>7999</v>
      </c>
      <c r="H189">
        <v>0.15</v>
      </c>
      <c r="I189" t="s">
        <v>47</v>
      </c>
      <c r="J189" t="s">
        <v>28</v>
      </c>
      <c r="K189" t="s">
        <v>17</v>
      </c>
      <c r="L189">
        <f>F188*G188*(1-H188)</f>
        <v>4999</v>
      </c>
    </row>
    <row r="190" spans="1:12">
      <c r="A190" t="s">
        <v>397</v>
      </c>
      <c r="B190" s="1">
        <v>46183</v>
      </c>
      <c r="C190" t="s">
        <v>364</v>
      </c>
      <c r="D190" t="s">
        <v>20</v>
      </c>
      <c r="E190" t="s">
        <v>14</v>
      </c>
      <c r="F190">
        <v>4</v>
      </c>
      <c r="G190">
        <v>2499</v>
      </c>
      <c r="H190">
        <v>0.1</v>
      </c>
      <c r="I190" t="s">
        <v>50</v>
      </c>
      <c r="J190" t="s">
        <v>28</v>
      </c>
      <c r="K190" t="s">
        <v>23</v>
      </c>
      <c r="L190">
        <f>F189*G189*(1-H189)</f>
        <v>20397.45</v>
      </c>
    </row>
    <row r="191" spans="1:12">
      <c r="A191" t="s">
        <v>398</v>
      </c>
      <c r="B191" s="1">
        <v>46135</v>
      </c>
      <c r="C191" t="s">
        <v>399</v>
      </c>
      <c r="D191" t="s">
        <v>31</v>
      </c>
      <c r="E191" t="s">
        <v>40</v>
      </c>
      <c r="F191">
        <v>5</v>
      </c>
      <c r="G191">
        <v>499</v>
      </c>
      <c r="H191">
        <v>0</v>
      </c>
      <c r="I191" t="s">
        <v>44</v>
      </c>
      <c r="J191" t="s">
        <v>28</v>
      </c>
      <c r="K191" t="s">
        <v>37</v>
      </c>
      <c r="L191">
        <f>F190*G190*(1-H190)</f>
        <v>8996.4</v>
      </c>
    </row>
    <row r="192" spans="1:12">
      <c r="A192" t="s">
        <v>400</v>
      </c>
      <c r="B192" s="1">
        <v>46122</v>
      </c>
      <c r="C192" t="s">
        <v>401</v>
      </c>
      <c r="D192" t="s">
        <v>56</v>
      </c>
      <c r="E192" t="s">
        <v>35</v>
      </c>
      <c r="F192">
        <v>5</v>
      </c>
      <c r="G192">
        <v>4999</v>
      </c>
      <c r="H192">
        <v>0</v>
      </c>
      <c r="I192" t="s">
        <v>50</v>
      </c>
      <c r="J192" t="s">
        <v>28</v>
      </c>
      <c r="K192" t="s">
        <v>17</v>
      </c>
      <c r="L192">
        <f>F191*G191*(1-H191)</f>
        <v>2495</v>
      </c>
    </row>
    <row r="193" spans="1:12">
      <c r="A193" t="s">
        <v>402</v>
      </c>
      <c r="B193" s="1">
        <v>46119</v>
      </c>
      <c r="C193" t="s">
        <v>403</v>
      </c>
      <c r="D193" t="s">
        <v>20</v>
      </c>
      <c r="E193" t="s">
        <v>35</v>
      </c>
      <c r="F193">
        <v>3</v>
      </c>
      <c r="G193">
        <v>499</v>
      </c>
      <c r="H193">
        <v>0</v>
      </c>
      <c r="I193" t="s">
        <v>15</v>
      </c>
      <c r="J193" t="s">
        <v>22</v>
      </c>
      <c r="K193" t="s">
        <v>37</v>
      </c>
      <c r="L193">
        <f>F192*G192*(1-H192)</f>
        <v>24995</v>
      </c>
    </row>
    <row r="194" spans="1:12">
      <c r="A194" t="s">
        <v>404</v>
      </c>
      <c r="B194" s="1">
        <v>46043</v>
      </c>
      <c r="C194" t="s">
        <v>55</v>
      </c>
      <c r="D194" t="s">
        <v>71</v>
      </c>
      <c r="E194" t="s">
        <v>35</v>
      </c>
      <c r="F194">
        <v>1</v>
      </c>
      <c r="G194">
        <v>1499</v>
      </c>
      <c r="H194">
        <v>0</v>
      </c>
      <c r="I194" t="s">
        <v>50</v>
      </c>
      <c r="J194" t="s">
        <v>51</v>
      </c>
      <c r="K194" t="s">
        <v>23</v>
      </c>
      <c r="L194">
        <f>F193*G193*(1-H193)</f>
        <v>1497</v>
      </c>
    </row>
    <row r="195" spans="1:12">
      <c r="A195" t="s">
        <v>405</v>
      </c>
      <c r="B195" s="1">
        <v>46084</v>
      </c>
      <c r="C195" t="s">
        <v>406</v>
      </c>
      <c r="D195" t="s">
        <v>13</v>
      </c>
      <c r="E195" t="s">
        <v>35</v>
      </c>
      <c r="F195">
        <v>1</v>
      </c>
      <c r="G195">
        <v>4999</v>
      </c>
      <c r="H195">
        <v>0.1</v>
      </c>
      <c r="I195" t="s">
        <v>44</v>
      </c>
      <c r="J195" t="s">
        <v>51</v>
      </c>
      <c r="K195" t="s">
        <v>23</v>
      </c>
      <c r="L195">
        <f>F194*G194*(1-H194)</f>
        <v>1499</v>
      </c>
    </row>
    <row r="196" spans="1:12">
      <c r="A196" t="s">
        <v>407</v>
      </c>
      <c r="B196" s="1">
        <v>46026</v>
      </c>
      <c r="C196" t="s">
        <v>408</v>
      </c>
      <c r="D196" t="s">
        <v>43</v>
      </c>
      <c r="E196" t="s">
        <v>27</v>
      </c>
      <c r="F196">
        <v>5</v>
      </c>
      <c r="G196">
        <v>4999</v>
      </c>
      <c r="H196">
        <v>0.05</v>
      </c>
      <c r="I196" t="s">
        <v>50</v>
      </c>
      <c r="J196" t="s">
        <v>28</v>
      </c>
      <c r="K196" t="s">
        <v>23</v>
      </c>
      <c r="L196">
        <f>F195*G195*(1-H195)</f>
        <v>4499.1000000000004</v>
      </c>
    </row>
    <row r="197" spans="1:12">
      <c r="A197" t="s">
        <v>409</v>
      </c>
      <c r="B197" s="1">
        <v>46036</v>
      </c>
      <c r="C197" t="s">
        <v>410</v>
      </c>
      <c r="D197" t="s">
        <v>62</v>
      </c>
      <c r="E197" t="s">
        <v>27</v>
      </c>
      <c r="F197">
        <v>3</v>
      </c>
      <c r="G197">
        <v>1499</v>
      </c>
      <c r="H197">
        <v>0.05</v>
      </c>
      <c r="I197" t="s">
        <v>50</v>
      </c>
      <c r="J197" t="s">
        <v>51</v>
      </c>
      <c r="K197" t="s">
        <v>23</v>
      </c>
      <c r="L197">
        <f>F196*G196*(1-H196)</f>
        <v>23745.25</v>
      </c>
    </row>
    <row r="198" spans="1:12">
      <c r="A198" t="s">
        <v>411</v>
      </c>
      <c r="B198" s="1">
        <v>46269</v>
      </c>
      <c r="C198" t="s">
        <v>412</v>
      </c>
      <c r="D198" t="s">
        <v>56</v>
      </c>
      <c r="E198" t="s">
        <v>27</v>
      </c>
      <c r="F198">
        <v>3</v>
      </c>
      <c r="G198">
        <v>1499</v>
      </c>
      <c r="H198">
        <v>0.05</v>
      </c>
      <c r="I198" t="s">
        <v>47</v>
      </c>
      <c r="J198" t="s">
        <v>51</v>
      </c>
      <c r="K198" t="s">
        <v>17</v>
      </c>
      <c r="L198">
        <f>F197*G197*(1-H197)</f>
        <v>4272.1499999999996</v>
      </c>
    </row>
    <row r="199" spans="1:12">
      <c r="A199" t="s">
        <v>413</v>
      </c>
      <c r="B199" s="1">
        <v>46212</v>
      </c>
      <c r="C199" t="s">
        <v>361</v>
      </c>
      <c r="D199" t="s">
        <v>20</v>
      </c>
      <c r="E199" t="s">
        <v>35</v>
      </c>
      <c r="F199">
        <v>1</v>
      </c>
      <c r="G199">
        <v>999</v>
      </c>
      <c r="H199">
        <v>0.15</v>
      </c>
      <c r="I199" t="s">
        <v>15</v>
      </c>
      <c r="J199" t="s">
        <v>51</v>
      </c>
      <c r="K199" t="s">
        <v>23</v>
      </c>
      <c r="L199">
        <f>F198*G198*(1-H198)</f>
        <v>4272.1499999999996</v>
      </c>
    </row>
    <row r="200" spans="1:12">
      <c r="A200" t="s">
        <v>414</v>
      </c>
      <c r="B200" s="1">
        <v>46133</v>
      </c>
      <c r="C200" t="s">
        <v>415</v>
      </c>
      <c r="D200" t="s">
        <v>56</v>
      </c>
      <c r="E200" t="s">
        <v>35</v>
      </c>
      <c r="F200">
        <v>5</v>
      </c>
      <c r="G200">
        <v>4999</v>
      </c>
      <c r="H200">
        <v>0.05</v>
      </c>
      <c r="I200" t="s">
        <v>44</v>
      </c>
      <c r="J200" t="s">
        <v>51</v>
      </c>
      <c r="K200" t="s">
        <v>17</v>
      </c>
      <c r="L200">
        <f>F199*G199*(1-H199)</f>
        <v>849.15</v>
      </c>
    </row>
    <row r="201" spans="1:12">
      <c r="A201" t="s">
        <v>416</v>
      </c>
      <c r="B201" s="1">
        <v>46217</v>
      </c>
      <c r="C201" t="s">
        <v>417</v>
      </c>
      <c r="D201" t="s">
        <v>59</v>
      </c>
      <c r="E201" t="s">
        <v>27</v>
      </c>
      <c r="F201">
        <v>2</v>
      </c>
      <c r="G201">
        <v>1299</v>
      </c>
      <c r="H201">
        <v>0.05</v>
      </c>
      <c r="I201" t="s">
        <v>44</v>
      </c>
      <c r="J201" t="s">
        <v>28</v>
      </c>
      <c r="K201" t="s">
        <v>17</v>
      </c>
      <c r="L201">
        <f>F200*G200*(1-H200)</f>
        <v>23745.25</v>
      </c>
    </row>
    <row r="202" spans="1:12">
      <c r="A202" t="s">
        <v>418</v>
      </c>
      <c r="B202" s="1">
        <v>46263</v>
      </c>
      <c r="C202" t="s">
        <v>419</v>
      </c>
      <c r="D202" t="s">
        <v>78</v>
      </c>
      <c r="E202" t="s">
        <v>35</v>
      </c>
      <c r="F202">
        <v>5</v>
      </c>
      <c r="G202">
        <v>599</v>
      </c>
      <c r="H202">
        <v>0.15</v>
      </c>
      <c r="I202" t="s">
        <v>47</v>
      </c>
      <c r="J202" t="s">
        <v>36</v>
      </c>
      <c r="K202" t="s">
        <v>17</v>
      </c>
      <c r="L202">
        <f>F201*G201*(1-H201)</f>
        <v>2468.1</v>
      </c>
    </row>
    <row r="203" spans="1:12">
      <c r="A203" t="s">
        <v>420</v>
      </c>
      <c r="B203" s="1">
        <v>46135</v>
      </c>
      <c r="C203" t="s">
        <v>421</v>
      </c>
      <c r="D203" t="s">
        <v>71</v>
      </c>
      <c r="E203" t="s">
        <v>40</v>
      </c>
      <c r="F203">
        <v>2</v>
      </c>
      <c r="G203">
        <v>1299</v>
      </c>
      <c r="H203">
        <v>0</v>
      </c>
      <c r="I203" t="s">
        <v>44</v>
      </c>
      <c r="J203" t="s">
        <v>51</v>
      </c>
      <c r="K203" t="s">
        <v>37</v>
      </c>
      <c r="L203">
        <f>F202*G202*(1-H202)</f>
        <v>2545.75</v>
      </c>
    </row>
    <row r="204" spans="1:12">
      <c r="A204" t="s">
        <v>422</v>
      </c>
      <c r="B204" s="1">
        <v>46037</v>
      </c>
      <c r="C204" t="s">
        <v>423</v>
      </c>
      <c r="D204" t="s">
        <v>71</v>
      </c>
      <c r="E204" t="s">
        <v>21</v>
      </c>
      <c r="F204">
        <v>1</v>
      </c>
      <c r="G204">
        <v>1299</v>
      </c>
      <c r="H204">
        <v>0</v>
      </c>
      <c r="I204" t="s">
        <v>47</v>
      </c>
      <c r="J204" t="s">
        <v>22</v>
      </c>
      <c r="K204" t="s">
        <v>17</v>
      </c>
      <c r="L204">
        <f>F203*G203*(1-H203)</f>
        <v>2598</v>
      </c>
    </row>
    <row r="205" spans="1:12">
      <c r="A205" t="s">
        <v>424</v>
      </c>
      <c r="B205" s="1">
        <v>46222</v>
      </c>
      <c r="C205" t="s">
        <v>158</v>
      </c>
      <c r="D205" t="s">
        <v>71</v>
      </c>
      <c r="E205" t="s">
        <v>14</v>
      </c>
      <c r="F205">
        <v>1</v>
      </c>
      <c r="G205">
        <v>499</v>
      </c>
      <c r="H205">
        <v>0.05</v>
      </c>
      <c r="I205" t="s">
        <v>50</v>
      </c>
      <c r="J205" t="s">
        <v>16</v>
      </c>
      <c r="K205" t="s">
        <v>23</v>
      </c>
      <c r="L205">
        <f>F204*G204*(1-H204)</f>
        <v>1299</v>
      </c>
    </row>
    <row r="206" spans="1:12">
      <c r="A206" t="s">
        <v>425</v>
      </c>
      <c r="B206" s="1">
        <v>46057</v>
      </c>
      <c r="C206" t="s">
        <v>426</v>
      </c>
      <c r="D206" t="s">
        <v>13</v>
      </c>
      <c r="E206" t="s">
        <v>35</v>
      </c>
      <c r="F206">
        <v>3</v>
      </c>
      <c r="G206">
        <v>2499</v>
      </c>
      <c r="H206">
        <v>0.05</v>
      </c>
      <c r="I206" t="s">
        <v>44</v>
      </c>
      <c r="J206" t="s">
        <v>28</v>
      </c>
      <c r="K206" t="s">
        <v>17</v>
      </c>
      <c r="L206">
        <f>F205*G205*(1-H205)</f>
        <v>474.04999999999995</v>
      </c>
    </row>
    <row r="207" spans="1:12">
      <c r="A207" t="s">
        <v>427</v>
      </c>
      <c r="B207" s="1">
        <v>46258</v>
      </c>
      <c r="C207" t="s">
        <v>428</v>
      </c>
      <c r="D207" t="s">
        <v>56</v>
      </c>
      <c r="E207" t="s">
        <v>40</v>
      </c>
      <c r="F207">
        <v>5</v>
      </c>
      <c r="G207">
        <v>1499</v>
      </c>
      <c r="H207">
        <v>0</v>
      </c>
      <c r="I207" t="s">
        <v>50</v>
      </c>
      <c r="J207" t="s">
        <v>28</v>
      </c>
      <c r="K207" t="s">
        <v>37</v>
      </c>
      <c r="L207">
        <f>F206*G206*(1-H206)</f>
        <v>7122.15</v>
      </c>
    </row>
    <row r="208" spans="1:12">
      <c r="A208" t="s">
        <v>429</v>
      </c>
      <c r="B208" s="1">
        <v>46120</v>
      </c>
      <c r="C208" t="s">
        <v>430</v>
      </c>
      <c r="D208" t="s">
        <v>71</v>
      </c>
      <c r="E208" t="s">
        <v>21</v>
      </c>
      <c r="F208">
        <v>2</v>
      </c>
      <c r="G208">
        <v>999</v>
      </c>
      <c r="H208">
        <v>0.15</v>
      </c>
      <c r="I208" t="s">
        <v>15</v>
      </c>
      <c r="J208" t="s">
        <v>51</v>
      </c>
      <c r="K208" t="s">
        <v>17</v>
      </c>
      <c r="L208">
        <f>F207*G207*(1-H207)</f>
        <v>7495</v>
      </c>
    </row>
    <row r="209" spans="1:12">
      <c r="A209" t="s">
        <v>431</v>
      </c>
      <c r="B209" s="1">
        <v>46110</v>
      </c>
      <c r="C209" t="s">
        <v>432</v>
      </c>
      <c r="D209" t="s">
        <v>56</v>
      </c>
      <c r="E209" t="s">
        <v>14</v>
      </c>
      <c r="F209">
        <v>2</v>
      </c>
      <c r="G209">
        <v>599</v>
      </c>
      <c r="H209">
        <v>0.05</v>
      </c>
      <c r="I209" t="s">
        <v>44</v>
      </c>
      <c r="J209" t="s">
        <v>36</v>
      </c>
      <c r="K209" t="s">
        <v>23</v>
      </c>
      <c r="L209">
        <f>F208*G208*(1-H208)</f>
        <v>1698.3</v>
      </c>
    </row>
    <row r="210" spans="1:12">
      <c r="A210" t="s">
        <v>433</v>
      </c>
      <c r="B210" s="1">
        <v>46155</v>
      </c>
      <c r="C210" t="s">
        <v>434</v>
      </c>
      <c r="D210" t="s">
        <v>78</v>
      </c>
      <c r="E210" t="s">
        <v>35</v>
      </c>
      <c r="F210">
        <v>4</v>
      </c>
      <c r="G210">
        <v>1499</v>
      </c>
      <c r="H210">
        <v>0</v>
      </c>
      <c r="I210" t="s">
        <v>47</v>
      </c>
      <c r="J210" t="s">
        <v>22</v>
      </c>
      <c r="K210" t="s">
        <v>23</v>
      </c>
      <c r="L210">
        <f>F209*G209*(1-H209)</f>
        <v>1138.0999999999999</v>
      </c>
    </row>
    <row r="211" spans="1:12">
      <c r="A211" t="s">
        <v>435</v>
      </c>
      <c r="B211" s="1">
        <v>46041</v>
      </c>
      <c r="C211" t="s">
        <v>178</v>
      </c>
      <c r="D211" t="s">
        <v>26</v>
      </c>
      <c r="E211" t="s">
        <v>27</v>
      </c>
      <c r="F211">
        <v>4</v>
      </c>
      <c r="G211">
        <v>1299</v>
      </c>
      <c r="H211">
        <v>0</v>
      </c>
      <c r="I211" t="s">
        <v>15</v>
      </c>
      <c r="J211" t="s">
        <v>36</v>
      </c>
      <c r="K211" t="s">
        <v>23</v>
      </c>
      <c r="L211">
        <f>F210*G210*(1-H210)</f>
        <v>5996</v>
      </c>
    </row>
    <row r="212" spans="1:12">
      <c r="A212" t="s">
        <v>436</v>
      </c>
      <c r="B212" s="1">
        <v>46166</v>
      </c>
      <c r="C212" t="s">
        <v>437</v>
      </c>
      <c r="D212" t="s">
        <v>20</v>
      </c>
      <c r="E212" t="s">
        <v>14</v>
      </c>
      <c r="F212">
        <v>5</v>
      </c>
      <c r="G212">
        <v>599</v>
      </c>
      <c r="H212">
        <v>0.15</v>
      </c>
      <c r="I212" t="s">
        <v>47</v>
      </c>
      <c r="J212" t="s">
        <v>36</v>
      </c>
      <c r="K212" t="s">
        <v>17</v>
      </c>
      <c r="L212">
        <f>F211*G211*(1-H211)</f>
        <v>5196</v>
      </c>
    </row>
    <row r="213" spans="1:12">
      <c r="A213" t="s">
        <v>438</v>
      </c>
      <c r="B213" s="1">
        <v>46169</v>
      </c>
      <c r="C213" t="s">
        <v>439</v>
      </c>
      <c r="D213" t="s">
        <v>43</v>
      </c>
      <c r="E213" t="s">
        <v>40</v>
      </c>
      <c r="F213">
        <v>1</v>
      </c>
      <c r="G213">
        <v>7999</v>
      </c>
      <c r="H213">
        <v>0</v>
      </c>
      <c r="I213" t="s">
        <v>32</v>
      </c>
      <c r="J213" t="s">
        <v>22</v>
      </c>
      <c r="K213" t="s">
        <v>17</v>
      </c>
      <c r="L213">
        <f>F212*G212*(1-H212)</f>
        <v>2545.75</v>
      </c>
    </row>
    <row r="214" spans="1:12">
      <c r="A214" t="s">
        <v>440</v>
      </c>
      <c r="B214" s="1">
        <v>46126</v>
      </c>
      <c r="C214" t="s">
        <v>138</v>
      </c>
      <c r="D214" t="s">
        <v>71</v>
      </c>
      <c r="E214" t="s">
        <v>35</v>
      </c>
      <c r="F214">
        <v>2</v>
      </c>
      <c r="G214">
        <v>1999</v>
      </c>
      <c r="H214">
        <v>0.15</v>
      </c>
      <c r="I214" t="s">
        <v>47</v>
      </c>
      <c r="J214" t="s">
        <v>36</v>
      </c>
      <c r="K214" t="s">
        <v>17</v>
      </c>
      <c r="L214">
        <f>F213*G213*(1-H213)</f>
        <v>7999</v>
      </c>
    </row>
    <row r="215" spans="1:12">
      <c r="A215" t="s">
        <v>441</v>
      </c>
      <c r="B215" s="1">
        <v>46199</v>
      </c>
      <c r="C215" t="s">
        <v>442</v>
      </c>
      <c r="D215" t="s">
        <v>56</v>
      </c>
      <c r="E215" t="s">
        <v>21</v>
      </c>
      <c r="F215">
        <v>5</v>
      </c>
      <c r="G215">
        <v>499</v>
      </c>
      <c r="H215">
        <v>0</v>
      </c>
      <c r="I215" t="s">
        <v>47</v>
      </c>
      <c r="J215" t="s">
        <v>36</v>
      </c>
      <c r="K215" t="s">
        <v>17</v>
      </c>
      <c r="L215">
        <f>F214*G214*(1-H214)</f>
        <v>3398.2999999999997</v>
      </c>
    </row>
    <row r="216" spans="1:12">
      <c r="A216" t="s">
        <v>443</v>
      </c>
      <c r="B216" s="1">
        <v>46120</v>
      </c>
      <c r="C216" t="s">
        <v>444</v>
      </c>
      <c r="D216" t="s">
        <v>13</v>
      </c>
      <c r="E216" t="s">
        <v>35</v>
      </c>
      <c r="F216">
        <v>1</v>
      </c>
      <c r="G216">
        <v>799</v>
      </c>
      <c r="H216">
        <v>0.05</v>
      </c>
      <c r="I216" t="s">
        <v>47</v>
      </c>
      <c r="J216" t="s">
        <v>16</v>
      </c>
      <c r="K216" t="s">
        <v>17</v>
      </c>
      <c r="L216">
        <f>F215*G215*(1-H215)</f>
        <v>2495</v>
      </c>
    </row>
    <row r="217" spans="1:12">
      <c r="A217" t="s">
        <v>445</v>
      </c>
      <c r="B217" s="1">
        <v>46109</v>
      </c>
      <c r="C217" t="s">
        <v>446</v>
      </c>
      <c r="D217" t="s">
        <v>62</v>
      </c>
      <c r="E217" t="s">
        <v>27</v>
      </c>
      <c r="F217">
        <v>4</v>
      </c>
      <c r="G217">
        <v>2499</v>
      </c>
      <c r="H217">
        <v>0.05</v>
      </c>
      <c r="I217" t="s">
        <v>32</v>
      </c>
      <c r="J217" t="s">
        <v>36</v>
      </c>
      <c r="K217" t="s">
        <v>23</v>
      </c>
      <c r="L217">
        <f>F216*G216*(1-H216)</f>
        <v>759.05</v>
      </c>
    </row>
    <row r="218" spans="1:12">
      <c r="A218" t="s">
        <v>447</v>
      </c>
      <c r="B218" s="1">
        <v>46168</v>
      </c>
      <c r="C218" t="s">
        <v>448</v>
      </c>
      <c r="D218" t="s">
        <v>26</v>
      </c>
      <c r="E218" t="s">
        <v>14</v>
      </c>
      <c r="F218">
        <v>5</v>
      </c>
      <c r="G218">
        <v>999</v>
      </c>
      <c r="H218">
        <v>0.05</v>
      </c>
      <c r="I218" t="s">
        <v>44</v>
      </c>
      <c r="J218" t="s">
        <v>36</v>
      </c>
      <c r="K218" t="s">
        <v>17</v>
      </c>
      <c r="L218">
        <f>F217*G217*(1-H217)</f>
        <v>9496.1999999999989</v>
      </c>
    </row>
    <row r="219" spans="1:12">
      <c r="A219" t="s">
        <v>449</v>
      </c>
      <c r="B219" s="1">
        <v>46294</v>
      </c>
      <c r="C219" t="s">
        <v>450</v>
      </c>
      <c r="D219" t="s">
        <v>62</v>
      </c>
      <c r="E219" t="s">
        <v>40</v>
      </c>
      <c r="F219">
        <v>1</v>
      </c>
      <c r="G219">
        <v>1299</v>
      </c>
      <c r="H219">
        <v>0.1</v>
      </c>
      <c r="I219" t="s">
        <v>44</v>
      </c>
      <c r="J219" t="s">
        <v>22</v>
      </c>
      <c r="K219" t="s">
        <v>17</v>
      </c>
      <c r="L219">
        <f>F218*G218*(1-H218)</f>
        <v>4745.25</v>
      </c>
    </row>
    <row r="220" spans="1:12">
      <c r="A220" t="s">
        <v>451</v>
      </c>
      <c r="B220" s="1">
        <v>46233</v>
      </c>
      <c r="C220" t="s">
        <v>452</v>
      </c>
      <c r="D220" t="s">
        <v>20</v>
      </c>
      <c r="E220" t="s">
        <v>21</v>
      </c>
      <c r="F220">
        <v>4</v>
      </c>
      <c r="G220">
        <v>1299</v>
      </c>
      <c r="H220">
        <v>0</v>
      </c>
      <c r="I220" t="s">
        <v>15</v>
      </c>
      <c r="J220" t="s">
        <v>51</v>
      </c>
      <c r="K220" t="s">
        <v>17</v>
      </c>
      <c r="L220">
        <f>F219*G219*(1-H219)</f>
        <v>1169.1000000000001</v>
      </c>
    </row>
    <row r="221" spans="1:12">
      <c r="A221" t="s">
        <v>453</v>
      </c>
      <c r="B221" s="1">
        <v>46269</v>
      </c>
      <c r="C221" t="s">
        <v>454</v>
      </c>
      <c r="D221" t="s">
        <v>56</v>
      </c>
      <c r="E221" t="s">
        <v>27</v>
      </c>
      <c r="F221">
        <v>5</v>
      </c>
      <c r="G221">
        <v>599</v>
      </c>
      <c r="H221">
        <v>0.15</v>
      </c>
      <c r="I221" t="s">
        <v>50</v>
      </c>
      <c r="J221" t="s">
        <v>28</v>
      </c>
      <c r="K221" t="s">
        <v>17</v>
      </c>
      <c r="L221">
        <f>F220*G220*(1-H220)</f>
        <v>5196</v>
      </c>
    </row>
    <row r="222" spans="1:12">
      <c r="A222" t="s">
        <v>455</v>
      </c>
      <c r="B222" s="1">
        <v>46042</v>
      </c>
      <c r="C222" t="s">
        <v>456</v>
      </c>
      <c r="D222" t="s">
        <v>43</v>
      </c>
      <c r="E222" t="s">
        <v>40</v>
      </c>
      <c r="F222">
        <v>1</v>
      </c>
      <c r="G222">
        <v>1499</v>
      </c>
      <c r="H222">
        <v>0</v>
      </c>
      <c r="I222" t="s">
        <v>44</v>
      </c>
      <c r="J222" t="s">
        <v>36</v>
      </c>
      <c r="K222" t="s">
        <v>17</v>
      </c>
      <c r="L222">
        <f>F221*G221*(1-H221)</f>
        <v>2545.75</v>
      </c>
    </row>
    <row r="223" spans="1:12">
      <c r="A223" t="s">
        <v>457</v>
      </c>
      <c r="B223" s="1">
        <v>46128</v>
      </c>
      <c r="C223" t="s">
        <v>458</v>
      </c>
      <c r="D223" t="s">
        <v>59</v>
      </c>
      <c r="E223" t="s">
        <v>27</v>
      </c>
      <c r="F223">
        <v>3</v>
      </c>
      <c r="G223">
        <v>1499</v>
      </c>
      <c r="H223">
        <v>0.05</v>
      </c>
      <c r="I223" t="s">
        <v>47</v>
      </c>
      <c r="J223" t="s">
        <v>36</v>
      </c>
      <c r="K223" t="s">
        <v>17</v>
      </c>
      <c r="L223">
        <f>F222*G222*(1-H222)</f>
        <v>1499</v>
      </c>
    </row>
    <row r="224" spans="1:12">
      <c r="A224" t="s">
        <v>459</v>
      </c>
      <c r="B224" s="1">
        <v>46117</v>
      </c>
      <c r="C224" t="s">
        <v>460</v>
      </c>
      <c r="D224" t="s">
        <v>26</v>
      </c>
      <c r="E224" t="s">
        <v>21</v>
      </c>
      <c r="F224">
        <v>3</v>
      </c>
      <c r="G224">
        <v>4999</v>
      </c>
      <c r="H224">
        <v>0</v>
      </c>
      <c r="I224" t="s">
        <v>44</v>
      </c>
      <c r="J224" t="s">
        <v>16</v>
      </c>
      <c r="K224" t="s">
        <v>17</v>
      </c>
      <c r="L224">
        <f>F223*G223*(1-H223)</f>
        <v>4272.1499999999996</v>
      </c>
    </row>
    <row r="225" spans="1:12">
      <c r="A225" t="s">
        <v>461</v>
      </c>
      <c r="B225" s="1">
        <v>46237</v>
      </c>
      <c r="C225" t="s">
        <v>462</v>
      </c>
      <c r="D225" t="s">
        <v>20</v>
      </c>
      <c r="E225" t="s">
        <v>21</v>
      </c>
      <c r="F225">
        <v>5</v>
      </c>
      <c r="G225">
        <v>1499</v>
      </c>
      <c r="H225">
        <v>0.15</v>
      </c>
      <c r="I225" t="s">
        <v>44</v>
      </c>
      <c r="J225" t="s">
        <v>28</v>
      </c>
      <c r="K225" t="s">
        <v>17</v>
      </c>
      <c r="L225">
        <f>F224*G224*(1-H224)</f>
        <v>14997</v>
      </c>
    </row>
    <row r="226" spans="1:12">
      <c r="A226" t="s">
        <v>463</v>
      </c>
      <c r="B226" s="1">
        <v>46158</v>
      </c>
      <c r="C226" t="s">
        <v>464</v>
      </c>
      <c r="D226" t="s">
        <v>20</v>
      </c>
      <c r="E226" t="s">
        <v>27</v>
      </c>
      <c r="F226">
        <v>1</v>
      </c>
      <c r="G226">
        <v>1499</v>
      </c>
      <c r="H226">
        <v>0.15</v>
      </c>
      <c r="I226" t="s">
        <v>47</v>
      </c>
      <c r="J226" t="s">
        <v>22</v>
      </c>
      <c r="K226" t="s">
        <v>37</v>
      </c>
      <c r="L226">
        <f>F225*G225*(1-H225)</f>
        <v>6370.75</v>
      </c>
    </row>
    <row r="227" spans="1:12">
      <c r="A227" t="s">
        <v>465</v>
      </c>
      <c r="B227" s="1">
        <v>46066</v>
      </c>
      <c r="C227" t="s">
        <v>466</v>
      </c>
      <c r="D227" t="s">
        <v>59</v>
      </c>
      <c r="E227" t="s">
        <v>35</v>
      </c>
      <c r="F227">
        <v>1</v>
      </c>
      <c r="G227">
        <v>599</v>
      </c>
      <c r="H227">
        <v>0.1</v>
      </c>
      <c r="I227" t="s">
        <v>50</v>
      </c>
      <c r="J227" t="s">
        <v>22</v>
      </c>
      <c r="K227" t="s">
        <v>17</v>
      </c>
      <c r="L227">
        <f>F226*G226*(1-H226)</f>
        <v>1274.1499999999999</v>
      </c>
    </row>
    <row r="228" spans="1:12">
      <c r="A228" t="s">
        <v>467</v>
      </c>
      <c r="B228" s="1">
        <v>46290</v>
      </c>
      <c r="C228" t="s">
        <v>468</v>
      </c>
      <c r="D228" t="s">
        <v>43</v>
      </c>
      <c r="E228" t="s">
        <v>35</v>
      </c>
      <c r="F228">
        <v>5</v>
      </c>
      <c r="G228">
        <v>799</v>
      </c>
      <c r="H228">
        <v>0</v>
      </c>
      <c r="I228" t="s">
        <v>50</v>
      </c>
      <c r="J228" t="s">
        <v>28</v>
      </c>
      <c r="K228" t="s">
        <v>23</v>
      </c>
      <c r="L228">
        <f>F227*G227*(1-H227)</f>
        <v>539.1</v>
      </c>
    </row>
    <row r="229" spans="1:12">
      <c r="A229" t="s">
        <v>469</v>
      </c>
      <c r="B229" s="1">
        <v>46140</v>
      </c>
      <c r="C229" t="s">
        <v>470</v>
      </c>
      <c r="D229" t="s">
        <v>71</v>
      </c>
      <c r="E229" t="s">
        <v>35</v>
      </c>
      <c r="F229">
        <v>4</v>
      </c>
      <c r="G229">
        <v>1999</v>
      </c>
      <c r="H229">
        <v>0.05</v>
      </c>
      <c r="I229" t="s">
        <v>32</v>
      </c>
      <c r="J229" t="s">
        <v>36</v>
      </c>
      <c r="K229" t="s">
        <v>17</v>
      </c>
      <c r="L229">
        <f>F228*G228*(1-H228)</f>
        <v>3995</v>
      </c>
    </row>
    <row r="230" spans="1:12">
      <c r="A230" t="s">
        <v>471</v>
      </c>
      <c r="B230" s="1">
        <v>46081</v>
      </c>
      <c r="C230" t="s">
        <v>472</v>
      </c>
      <c r="D230" t="s">
        <v>59</v>
      </c>
      <c r="E230" t="s">
        <v>40</v>
      </c>
      <c r="F230">
        <v>3</v>
      </c>
      <c r="G230">
        <v>1299</v>
      </c>
      <c r="H230">
        <v>0</v>
      </c>
      <c r="I230" t="s">
        <v>50</v>
      </c>
      <c r="J230" t="s">
        <v>51</v>
      </c>
      <c r="K230" t="s">
        <v>37</v>
      </c>
      <c r="L230">
        <f>F229*G229*(1-H229)</f>
        <v>7596.2</v>
      </c>
    </row>
    <row r="231" spans="1:12">
      <c r="A231" t="s">
        <v>473</v>
      </c>
      <c r="B231" s="1">
        <v>46272</v>
      </c>
      <c r="C231" t="s">
        <v>224</v>
      </c>
      <c r="D231" t="s">
        <v>20</v>
      </c>
      <c r="E231" t="s">
        <v>35</v>
      </c>
      <c r="F231">
        <v>2</v>
      </c>
      <c r="G231">
        <v>499</v>
      </c>
      <c r="H231">
        <v>0.05</v>
      </c>
      <c r="I231" t="s">
        <v>15</v>
      </c>
      <c r="J231" t="s">
        <v>28</v>
      </c>
      <c r="K231" t="s">
        <v>23</v>
      </c>
      <c r="L231">
        <f>F230*G230*(1-H230)</f>
        <v>3897</v>
      </c>
    </row>
    <row r="232" spans="1:12">
      <c r="A232" t="s">
        <v>474</v>
      </c>
      <c r="B232" s="1">
        <v>46185</v>
      </c>
      <c r="C232" t="s">
        <v>475</v>
      </c>
      <c r="D232" t="s">
        <v>56</v>
      </c>
      <c r="E232" t="s">
        <v>40</v>
      </c>
      <c r="F232">
        <v>4</v>
      </c>
      <c r="G232">
        <v>1999</v>
      </c>
      <c r="H232">
        <v>0.05</v>
      </c>
      <c r="I232" t="s">
        <v>47</v>
      </c>
      <c r="J232" t="s">
        <v>51</v>
      </c>
      <c r="K232" t="s">
        <v>17</v>
      </c>
      <c r="L232">
        <f>F231*G231*(1-H231)</f>
        <v>948.09999999999991</v>
      </c>
    </row>
    <row r="233" spans="1:12">
      <c r="A233" t="s">
        <v>476</v>
      </c>
      <c r="B233" s="1">
        <v>46189</v>
      </c>
      <c r="C233" t="s">
        <v>477</v>
      </c>
      <c r="D233" t="s">
        <v>56</v>
      </c>
      <c r="E233" t="s">
        <v>27</v>
      </c>
      <c r="F233">
        <v>2</v>
      </c>
      <c r="G233">
        <v>1499</v>
      </c>
      <c r="H233">
        <v>0</v>
      </c>
      <c r="I233" t="s">
        <v>15</v>
      </c>
      <c r="J233" t="s">
        <v>36</v>
      </c>
      <c r="K233" t="s">
        <v>17</v>
      </c>
      <c r="L233">
        <f>F232*G232*(1-H232)</f>
        <v>7596.2</v>
      </c>
    </row>
    <row r="234" spans="1:12">
      <c r="A234" t="s">
        <v>478</v>
      </c>
      <c r="B234" s="1">
        <v>46168</v>
      </c>
      <c r="C234" t="s">
        <v>308</v>
      </c>
      <c r="D234" t="s">
        <v>31</v>
      </c>
      <c r="E234" t="s">
        <v>21</v>
      </c>
      <c r="F234">
        <v>5</v>
      </c>
      <c r="G234">
        <v>4999</v>
      </c>
      <c r="H234">
        <v>0.1</v>
      </c>
      <c r="I234" t="s">
        <v>32</v>
      </c>
      <c r="J234" t="s">
        <v>22</v>
      </c>
      <c r="K234" t="s">
        <v>23</v>
      </c>
      <c r="L234">
        <f>F233*G233*(1-H233)</f>
        <v>2998</v>
      </c>
    </row>
    <row r="235" spans="1:12">
      <c r="A235" t="s">
        <v>479</v>
      </c>
      <c r="B235" s="1">
        <v>46244</v>
      </c>
      <c r="C235" t="s">
        <v>224</v>
      </c>
      <c r="D235" t="s">
        <v>20</v>
      </c>
      <c r="E235" t="s">
        <v>40</v>
      </c>
      <c r="F235">
        <v>2</v>
      </c>
      <c r="G235">
        <v>2499</v>
      </c>
      <c r="H235">
        <v>0.15</v>
      </c>
      <c r="I235" t="s">
        <v>32</v>
      </c>
      <c r="J235" t="s">
        <v>16</v>
      </c>
      <c r="K235" t="s">
        <v>23</v>
      </c>
      <c r="L235">
        <f>F234*G234*(1-H234)</f>
        <v>22495.5</v>
      </c>
    </row>
    <row r="236" spans="1:12">
      <c r="A236" t="s">
        <v>480</v>
      </c>
      <c r="B236" s="1">
        <v>46061</v>
      </c>
      <c r="C236" t="s">
        <v>481</v>
      </c>
      <c r="D236" t="s">
        <v>26</v>
      </c>
      <c r="E236" t="s">
        <v>27</v>
      </c>
      <c r="F236">
        <v>2</v>
      </c>
      <c r="G236">
        <v>1999</v>
      </c>
      <c r="H236">
        <v>0.15</v>
      </c>
      <c r="I236" t="s">
        <v>47</v>
      </c>
      <c r="J236" t="s">
        <v>51</v>
      </c>
      <c r="K236" t="s">
        <v>17</v>
      </c>
      <c r="L236">
        <f>F235*G235*(1-H235)</f>
        <v>4248.3</v>
      </c>
    </row>
    <row r="237" spans="1:12">
      <c r="A237" t="s">
        <v>482</v>
      </c>
      <c r="B237" s="1">
        <v>46253</v>
      </c>
      <c r="C237" t="s">
        <v>483</v>
      </c>
      <c r="D237" t="s">
        <v>78</v>
      </c>
      <c r="E237" t="s">
        <v>14</v>
      </c>
      <c r="F237">
        <v>2</v>
      </c>
      <c r="G237">
        <v>999</v>
      </c>
      <c r="H237">
        <v>0.15</v>
      </c>
      <c r="I237" t="s">
        <v>15</v>
      </c>
      <c r="J237" t="s">
        <v>16</v>
      </c>
      <c r="K237" t="s">
        <v>23</v>
      </c>
      <c r="L237">
        <f>F236*G236*(1-H236)</f>
        <v>3398.2999999999997</v>
      </c>
    </row>
    <row r="238" spans="1:12">
      <c r="A238" t="s">
        <v>484</v>
      </c>
      <c r="B238" s="1">
        <v>46169</v>
      </c>
      <c r="C238" t="s">
        <v>485</v>
      </c>
      <c r="D238" t="s">
        <v>59</v>
      </c>
      <c r="E238" t="s">
        <v>35</v>
      </c>
      <c r="F238">
        <v>3</v>
      </c>
      <c r="G238">
        <v>7999</v>
      </c>
      <c r="H238">
        <v>0</v>
      </c>
      <c r="I238" t="s">
        <v>47</v>
      </c>
      <c r="J238" t="s">
        <v>36</v>
      </c>
      <c r="K238" t="s">
        <v>17</v>
      </c>
      <c r="L238">
        <f>F237*G237*(1-H237)</f>
        <v>1698.3</v>
      </c>
    </row>
    <row r="239" spans="1:12">
      <c r="A239" t="s">
        <v>486</v>
      </c>
      <c r="B239" s="1">
        <v>46033</v>
      </c>
      <c r="C239" t="s">
        <v>86</v>
      </c>
      <c r="D239" t="s">
        <v>59</v>
      </c>
      <c r="E239" t="s">
        <v>14</v>
      </c>
      <c r="F239">
        <v>4</v>
      </c>
      <c r="G239">
        <v>1299</v>
      </c>
      <c r="H239">
        <v>0.05</v>
      </c>
      <c r="I239" t="s">
        <v>15</v>
      </c>
      <c r="J239" t="s">
        <v>36</v>
      </c>
      <c r="K239" t="s">
        <v>17</v>
      </c>
      <c r="L239">
        <f>F238*G238*(1-H238)</f>
        <v>23997</v>
      </c>
    </row>
    <row r="240" spans="1:12">
      <c r="A240" t="s">
        <v>487</v>
      </c>
      <c r="B240" s="1">
        <v>46063</v>
      </c>
      <c r="C240" t="s">
        <v>228</v>
      </c>
      <c r="D240" t="s">
        <v>59</v>
      </c>
      <c r="E240" t="s">
        <v>14</v>
      </c>
      <c r="F240">
        <v>4</v>
      </c>
      <c r="G240">
        <v>1999</v>
      </c>
      <c r="H240">
        <v>0.1</v>
      </c>
      <c r="I240" t="s">
        <v>44</v>
      </c>
      <c r="J240" t="s">
        <v>51</v>
      </c>
      <c r="K240" t="s">
        <v>17</v>
      </c>
      <c r="L240">
        <f>F239*G239*(1-H239)</f>
        <v>4936.2</v>
      </c>
    </row>
    <row r="241" spans="1:12">
      <c r="A241" t="s">
        <v>488</v>
      </c>
      <c r="B241" s="1">
        <v>46165</v>
      </c>
      <c r="C241" t="s">
        <v>489</v>
      </c>
      <c r="D241" t="s">
        <v>43</v>
      </c>
      <c r="E241" t="s">
        <v>27</v>
      </c>
      <c r="F241">
        <v>3</v>
      </c>
      <c r="G241">
        <v>4999</v>
      </c>
      <c r="H241">
        <v>0.05</v>
      </c>
      <c r="I241" t="s">
        <v>32</v>
      </c>
      <c r="J241" t="s">
        <v>36</v>
      </c>
      <c r="K241" t="s">
        <v>17</v>
      </c>
      <c r="L241">
        <f>F240*G240*(1-H240)</f>
        <v>7196.4000000000005</v>
      </c>
    </row>
    <row r="242" spans="1:12">
      <c r="A242" t="s">
        <v>490</v>
      </c>
      <c r="B242" s="1">
        <v>46169</v>
      </c>
      <c r="C242" t="s">
        <v>154</v>
      </c>
      <c r="D242" t="s">
        <v>78</v>
      </c>
      <c r="E242" t="s">
        <v>27</v>
      </c>
      <c r="F242">
        <v>5</v>
      </c>
      <c r="G242">
        <v>2499</v>
      </c>
      <c r="H242">
        <v>0</v>
      </c>
      <c r="I242" t="s">
        <v>50</v>
      </c>
      <c r="J242" t="s">
        <v>36</v>
      </c>
      <c r="K242" t="s">
        <v>17</v>
      </c>
      <c r="L242">
        <f>F241*G241*(1-H241)</f>
        <v>14247.15</v>
      </c>
    </row>
    <row r="243" spans="1:12">
      <c r="A243" t="s">
        <v>491</v>
      </c>
      <c r="B243" s="1">
        <v>46186</v>
      </c>
      <c r="C243" t="s">
        <v>492</v>
      </c>
      <c r="D243" t="s">
        <v>59</v>
      </c>
      <c r="E243" t="s">
        <v>27</v>
      </c>
      <c r="F243">
        <v>3</v>
      </c>
      <c r="G243">
        <v>7999</v>
      </c>
      <c r="H243">
        <v>0.1</v>
      </c>
      <c r="I243" t="s">
        <v>47</v>
      </c>
      <c r="J243" t="s">
        <v>16</v>
      </c>
      <c r="K243" t="s">
        <v>37</v>
      </c>
      <c r="L243">
        <f>F242*G242*(1-H242)</f>
        <v>12495</v>
      </c>
    </row>
    <row r="244" spans="1:12">
      <c r="A244" t="s">
        <v>493</v>
      </c>
      <c r="B244" s="1">
        <v>46134</v>
      </c>
      <c r="C244" t="s">
        <v>494</v>
      </c>
      <c r="D244" t="s">
        <v>71</v>
      </c>
      <c r="E244" t="s">
        <v>27</v>
      </c>
      <c r="F244">
        <v>3</v>
      </c>
      <c r="G244">
        <v>799</v>
      </c>
      <c r="H244">
        <v>0</v>
      </c>
      <c r="I244" t="s">
        <v>47</v>
      </c>
      <c r="J244" t="s">
        <v>22</v>
      </c>
      <c r="K244" t="s">
        <v>17</v>
      </c>
      <c r="L244">
        <f>F243*G243*(1-H243)</f>
        <v>21597.3</v>
      </c>
    </row>
    <row r="245" spans="1:12">
      <c r="A245" t="s">
        <v>495</v>
      </c>
      <c r="B245" s="1">
        <v>46082</v>
      </c>
      <c r="C245" t="s">
        <v>496</v>
      </c>
      <c r="D245" t="s">
        <v>56</v>
      </c>
      <c r="E245" t="s">
        <v>14</v>
      </c>
      <c r="F245">
        <v>4</v>
      </c>
      <c r="G245">
        <v>799</v>
      </c>
      <c r="H245">
        <v>0.05</v>
      </c>
      <c r="I245" t="s">
        <v>44</v>
      </c>
      <c r="J245" t="s">
        <v>51</v>
      </c>
      <c r="K245" t="s">
        <v>37</v>
      </c>
      <c r="L245">
        <f>F244*G244*(1-H244)</f>
        <v>2397</v>
      </c>
    </row>
    <row r="246" spans="1:12">
      <c r="A246" t="s">
        <v>497</v>
      </c>
      <c r="B246" s="1">
        <v>46240</v>
      </c>
      <c r="C246" t="s">
        <v>498</v>
      </c>
      <c r="D246" t="s">
        <v>71</v>
      </c>
      <c r="E246" t="s">
        <v>27</v>
      </c>
      <c r="F246">
        <v>3</v>
      </c>
      <c r="G246">
        <v>799</v>
      </c>
      <c r="H246">
        <v>0.15</v>
      </c>
      <c r="I246" t="s">
        <v>47</v>
      </c>
      <c r="J246" t="s">
        <v>28</v>
      </c>
      <c r="K246" t="s">
        <v>17</v>
      </c>
      <c r="L246">
        <f>F245*G245*(1-H245)</f>
        <v>3036.2</v>
      </c>
    </row>
    <row r="247" spans="1:12">
      <c r="A247" t="s">
        <v>499</v>
      </c>
      <c r="B247" s="1">
        <v>46050</v>
      </c>
      <c r="C247" t="s">
        <v>500</v>
      </c>
      <c r="D247" t="s">
        <v>78</v>
      </c>
      <c r="E247" t="s">
        <v>35</v>
      </c>
      <c r="F247">
        <v>2</v>
      </c>
      <c r="G247">
        <v>1999</v>
      </c>
      <c r="H247">
        <v>0.05</v>
      </c>
      <c r="I247" t="s">
        <v>44</v>
      </c>
      <c r="J247" t="s">
        <v>16</v>
      </c>
      <c r="K247" t="s">
        <v>17</v>
      </c>
      <c r="L247">
        <f>F246*G246*(1-H246)</f>
        <v>2037.45</v>
      </c>
    </row>
    <row r="248" spans="1:12">
      <c r="A248" t="s">
        <v>501</v>
      </c>
      <c r="B248" s="1">
        <v>46139</v>
      </c>
      <c r="C248" t="s">
        <v>502</v>
      </c>
      <c r="D248" t="s">
        <v>43</v>
      </c>
      <c r="E248" t="s">
        <v>27</v>
      </c>
      <c r="F248">
        <v>5</v>
      </c>
      <c r="G248">
        <v>799</v>
      </c>
      <c r="H248">
        <v>0.05</v>
      </c>
      <c r="I248" t="s">
        <v>50</v>
      </c>
      <c r="J248" t="s">
        <v>22</v>
      </c>
      <c r="K248" t="s">
        <v>37</v>
      </c>
      <c r="L248">
        <f>F247*G247*(1-H247)</f>
        <v>3798.1</v>
      </c>
    </row>
    <row r="249" spans="1:12">
      <c r="A249" t="s">
        <v>503</v>
      </c>
      <c r="B249" s="1">
        <v>46118</v>
      </c>
      <c r="C249" t="s">
        <v>504</v>
      </c>
      <c r="D249" t="s">
        <v>26</v>
      </c>
      <c r="E249" t="s">
        <v>27</v>
      </c>
      <c r="F249">
        <v>2</v>
      </c>
      <c r="G249">
        <v>2499</v>
      </c>
      <c r="H249">
        <v>0.15</v>
      </c>
      <c r="I249" t="s">
        <v>47</v>
      </c>
      <c r="J249" t="s">
        <v>28</v>
      </c>
      <c r="K249" t="s">
        <v>23</v>
      </c>
      <c r="L249">
        <f>F248*G248*(1-H248)</f>
        <v>3795.25</v>
      </c>
    </row>
    <row r="250" spans="1:12">
      <c r="A250" t="s">
        <v>505</v>
      </c>
      <c r="B250" s="1">
        <v>46105</v>
      </c>
      <c r="C250" t="s">
        <v>506</v>
      </c>
      <c r="D250" t="s">
        <v>26</v>
      </c>
      <c r="E250" t="s">
        <v>21</v>
      </c>
      <c r="F250">
        <v>1</v>
      </c>
      <c r="G250">
        <v>1999</v>
      </c>
      <c r="H250">
        <v>0.05</v>
      </c>
      <c r="I250" t="s">
        <v>15</v>
      </c>
      <c r="J250" t="s">
        <v>36</v>
      </c>
      <c r="K250" t="s">
        <v>17</v>
      </c>
      <c r="L250">
        <f>F249*G249*(1-H249)</f>
        <v>4248.3</v>
      </c>
    </row>
    <row r="251" spans="1:12">
      <c r="A251" t="s">
        <v>507</v>
      </c>
      <c r="B251" s="1">
        <v>46121</v>
      </c>
      <c r="C251" t="s">
        <v>86</v>
      </c>
      <c r="D251" t="s">
        <v>62</v>
      </c>
      <c r="E251" t="s">
        <v>35</v>
      </c>
      <c r="F251">
        <v>4</v>
      </c>
      <c r="G251">
        <v>599</v>
      </c>
      <c r="H251">
        <v>0</v>
      </c>
      <c r="I251" t="s">
        <v>32</v>
      </c>
      <c r="J251" t="s">
        <v>22</v>
      </c>
      <c r="K251" t="s">
        <v>37</v>
      </c>
      <c r="L251">
        <f>F250*G250*(1-H250)</f>
        <v>1899.05</v>
      </c>
    </row>
    <row r="252" spans="1:12">
      <c r="A252" t="s">
        <v>508</v>
      </c>
      <c r="B252" s="1">
        <v>46247</v>
      </c>
      <c r="C252" t="s">
        <v>509</v>
      </c>
      <c r="D252" t="s">
        <v>20</v>
      </c>
      <c r="E252" t="s">
        <v>40</v>
      </c>
      <c r="F252">
        <v>4</v>
      </c>
      <c r="G252">
        <v>4999</v>
      </c>
      <c r="H252">
        <v>0</v>
      </c>
      <c r="I252" t="s">
        <v>50</v>
      </c>
      <c r="J252" t="s">
        <v>22</v>
      </c>
      <c r="K252" t="s">
        <v>17</v>
      </c>
      <c r="L252">
        <f>F251*G251*(1-H251)</f>
        <v>2396</v>
      </c>
    </row>
    <row r="253" spans="1:12">
      <c r="A253" t="s">
        <v>510</v>
      </c>
      <c r="B253" s="1">
        <v>46277</v>
      </c>
      <c r="C253" t="s">
        <v>136</v>
      </c>
      <c r="D253" t="s">
        <v>78</v>
      </c>
      <c r="E253" t="s">
        <v>21</v>
      </c>
      <c r="F253">
        <v>3</v>
      </c>
      <c r="G253">
        <v>799</v>
      </c>
      <c r="H253">
        <v>0.05</v>
      </c>
      <c r="I253" t="s">
        <v>50</v>
      </c>
      <c r="J253" t="s">
        <v>51</v>
      </c>
      <c r="K253" t="s">
        <v>17</v>
      </c>
      <c r="L253">
        <f>F252*G252*(1-H252)</f>
        <v>19996</v>
      </c>
    </row>
    <row r="254" spans="1:12">
      <c r="A254" t="s">
        <v>511</v>
      </c>
      <c r="B254" s="1">
        <v>46135</v>
      </c>
      <c r="C254" t="s">
        <v>347</v>
      </c>
      <c r="D254" t="s">
        <v>26</v>
      </c>
      <c r="E254" t="s">
        <v>40</v>
      </c>
      <c r="F254">
        <v>2</v>
      </c>
      <c r="G254">
        <v>2499</v>
      </c>
      <c r="H254">
        <v>0</v>
      </c>
      <c r="I254" t="s">
        <v>32</v>
      </c>
      <c r="J254" t="s">
        <v>51</v>
      </c>
      <c r="K254" t="s">
        <v>23</v>
      </c>
      <c r="L254">
        <f>F253*G253*(1-H253)</f>
        <v>2277.15</v>
      </c>
    </row>
    <row r="255" spans="1:12">
      <c r="A255" t="s">
        <v>512</v>
      </c>
      <c r="B255" s="1">
        <v>46200</v>
      </c>
      <c r="C255" t="s">
        <v>513</v>
      </c>
      <c r="D255" t="s">
        <v>78</v>
      </c>
      <c r="E255" t="s">
        <v>14</v>
      </c>
      <c r="F255">
        <v>2</v>
      </c>
      <c r="G255">
        <v>2499</v>
      </c>
      <c r="H255">
        <v>0.1</v>
      </c>
      <c r="I255" t="s">
        <v>32</v>
      </c>
      <c r="J255" t="s">
        <v>51</v>
      </c>
      <c r="K255" t="s">
        <v>17</v>
      </c>
      <c r="L255">
        <f>F254*G254*(1-H254)</f>
        <v>4998</v>
      </c>
    </row>
    <row r="256" spans="1:12">
      <c r="A256" t="s">
        <v>514</v>
      </c>
      <c r="B256" s="1">
        <v>46222</v>
      </c>
      <c r="C256" t="s">
        <v>515</v>
      </c>
      <c r="D256" t="s">
        <v>56</v>
      </c>
      <c r="E256" t="s">
        <v>35</v>
      </c>
      <c r="F256">
        <v>4</v>
      </c>
      <c r="G256">
        <v>4999</v>
      </c>
      <c r="H256">
        <v>0.15</v>
      </c>
      <c r="I256" t="s">
        <v>15</v>
      </c>
      <c r="J256" t="s">
        <v>36</v>
      </c>
      <c r="K256" t="s">
        <v>17</v>
      </c>
      <c r="L256">
        <f>F255*G255*(1-H255)</f>
        <v>4498.2</v>
      </c>
    </row>
    <row r="257" spans="1:12">
      <c r="A257" t="s">
        <v>516</v>
      </c>
      <c r="B257" s="1">
        <v>46231</v>
      </c>
      <c r="C257" t="s">
        <v>517</v>
      </c>
      <c r="D257" t="s">
        <v>13</v>
      </c>
      <c r="E257" t="s">
        <v>27</v>
      </c>
      <c r="F257">
        <v>2</v>
      </c>
      <c r="G257">
        <v>1999</v>
      </c>
      <c r="H257">
        <v>0</v>
      </c>
      <c r="I257" t="s">
        <v>50</v>
      </c>
      <c r="J257" t="s">
        <v>22</v>
      </c>
      <c r="K257" t="s">
        <v>17</v>
      </c>
      <c r="L257">
        <f>F256*G256*(1-H256)</f>
        <v>16996.599999999999</v>
      </c>
    </row>
    <row r="258" spans="1:12">
      <c r="A258" t="s">
        <v>518</v>
      </c>
      <c r="B258" s="1">
        <v>46290</v>
      </c>
      <c r="C258" t="s">
        <v>519</v>
      </c>
      <c r="D258" t="s">
        <v>43</v>
      </c>
      <c r="E258" t="s">
        <v>21</v>
      </c>
      <c r="F258">
        <v>1</v>
      </c>
      <c r="G258">
        <v>999</v>
      </c>
      <c r="H258">
        <v>0.05</v>
      </c>
      <c r="I258" t="s">
        <v>44</v>
      </c>
      <c r="J258" t="s">
        <v>16</v>
      </c>
      <c r="K258" t="s">
        <v>17</v>
      </c>
      <c r="L258">
        <f>F257*G257*(1-H257)</f>
        <v>3998</v>
      </c>
    </row>
    <row r="259" spans="1:12">
      <c r="A259" t="s">
        <v>520</v>
      </c>
      <c r="B259" s="1">
        <v>46242</v>
      </c>
      <c r="C259" t="s">
        <v>521</v>
      </c>
      <c r="D259" t="s">
        <v>71</v>
      </c>
      <c r="E259" t="s">
        <v>21</v>
      </c>
      <c r="F259">
        <v>4</v>
      </c>
      <c r="G259">
        <v>499</v>
      </c>
      <c r="H259">
        <v>0</v>
      </c>
      <c r="I259" t="s">
        <v>44</v>
      </c>
      <c r="J259" t="s">
        <v>51</v>
      </c>
      <c r="K259" t="s">
        <v>17</v>
      </c>
      <c r="L259">
        <f>F258*G258*(1-H258)</f>
        <v>949.05</v>
      </c>
    </row>
    <row r="260" spans="1:12">
      <c r="A260" t="s">
        <v>522</v>
      </c>
      <c r="B260" s="1">
        <v>46051</v>
      </c>
      <c r="C260" t="s">
        <v>12</v>
      </c>
      <c r="D260" t="s">
        <v>56</v>
      </c>
      <c r="E260" t="s">
        <v>40</v>
      </c>
      <c r="F260">
        <v>5</v>
      </c>
      <c r="G260">
        <v>499</v>
      </c>
      <c r="H260">
        <v>0.1</v>
      </c>
      <c r="I260" t="s">
        <v>47</v>
      </c>
      <c r="J260" t="s">
        <v>36</v>
      </c>
      <c r="K260" t="s">
        <v>17</v>
      </c>
      <c r="L260">
        <f>F259*G259*(1-H259)</f>
        <v>1996</v>
      </c>
    </row>
    <row r="261" spans="1:12">
      <c r="A261" t="s">
        <v>523</v>
      </c>
      <c r="B261" s="1">
        <v>46170</v>
      </c>
      <c r="C261" t="s">
        <v>524</v>
      </c>
      <c r="D261" t="s">
        <v>59</v>
      </c>
      <c r="E261" t="s">
        <v>21</v>
      </c>
      <c r="F261">
        <v>4</v>
      </c>
      <c r="G261">
        <v>7999</v>
      </c>
      <c r="H261">
        <v>0</v>
      </c>
      <c r="I261" t="s">
        <v>15</v>
      </c>
      <c r="J261" t="s">
        <v>28</v>
      </c>
      <c r="K261" t="s">
        <v>17</v>
      </c>
      <c r="L261">
        <f>F260*G260*(1-H260)</f>
        <v>2245.5</v>
      </c>
    </row>
    <row r="262" spans="1:12">
      <c r="A262" t="s">
        <v>525</v>
      </c>
      <c r="B262" s="1">
        <v>46218</v>
      </c>
      <c r="C262" t="s">
        <v>526</v>
      </c>
      <c r="D262" t="s">
        <v>26</v>
      </c>
      <c r="E262" t="s">
        <v>35</v>
      </c>
      <c r="F262">
        <v>1</v>
      </c>
      <c r="G262">
        <v>2499</v>
      </c>
      <c r="H262">
        <v>0.05</v>
      </c>
      <c r="I262" t="s">
        <v>47</v>
      </c>
      <c r="J262" t="s">
        <v>16</v>
      </c>
      <c r="K262" t="s">
        <v>17</v>
      </c>
      <c r="L262">
        <f>F261*G261*(1-H261)</f>
        <v>31996</v>
      </c>
    </row>
    <row r="263" spans="1:12">
      <c r="A263" t="s">
        <v>527</v>
      </c>
      <c r="B263" s="1">
        <v>46136</v>
      </c>
      <c r="C263" t="s">
        <v>528</v>
      </c>
      <c r="D263" t="s">
        <v>71</v>
      </c>
      <c r="E263" t="s">
        <v>14</v>
      </c>
      <c r="F263">
        <v>4</v>
      </c>
      <c r="G263">
        <v>1999</v>
      </c>
      <c r="H263">
        <v>0.1</v>
      </c>
      <c r="I263" t="s">
        <v>44</v>
      </c>
      <c r="J263" t="s">
        <v>36</v>
      </c>
      <c r="K263" t="s">
        <v>37</v>
      </c>
      <c r="L263">
        <f>F262*G262*(1-H262)</f>
        <v>2374.0499999999997</v>
      </c>
    </row>
    <row r="264" spans="1:12">
      <c r="A264" t="s">
        <v>529</v>
      </c>
      <c r="B264" s="1">
        <v>46030</v>
      </c>
      <c r="C264" t="s">
        <v>530</v>
      </c>
      <c r="D264" t="s">
        <v>62</v>
      </c>
      <c r="E264" t="s">
        <v>21</v>
      </c>
      <c r="F264">
        <v>5</v>
      </c>
      <c r="G264">
        <v>999</v>
      </c>
      <c r="H264">
        <v>0.1</v>
      </c>
      <c r="I264" t="s">
        <v>47</v>
      </c>
      <c r="J264" t="s">
        <v>51</v>
      </c>
      <c r="K264" t="s">
        <v>17</v>
      </c>
      <c r="L264">
        <f>F263*G263*(1-H263)</f>
        <v>7196.4000000000005</v>
      </c>
    </row>
    <row r="265" spans="1:12">
      <c r="A265" t="s">
        <v>531</v>
      </c>
      <c r="B265" s="1">
        <v>46069</v>
      </c>
      <c r="C265" t="s">
        <v>532</v>
      </c>
      <c r="D265" t="s">
        <v>71</v>
      </c>
      <c r="E265" t="s">
        <v>14</v>
      </c>
      <c r="F265">
        <v>4</v>
      </c>
      <c r="G265">
        <v>7999</v>
      </c>
      <c r="H265">
        <v>0.05</v>
      </c>
      <c r="I265" t="s">
        <v>15</v>
      </c>
      <c r="J265" t="s">
        <v>51</v>
      </c>
      <c r="K265" t="s">
        <v>17</v>
      </c>
      <c r="L265">
        <f>F264*G264*(1-H264)</f>
        <v>4495.5</v>
      </c>
    </row>
    <row r="266" spans="1:12">
      <c r="A266" t="s">
        <v>533</v>
      </c>
      <c r="B266" s="1">
        <v>46103</v>
      </c>
      <c r="C266" t="s">
        <v>534</v>
      </c>
      <c r="D266" t="s">
        <v>62</v>
      </c>
      <c r="E266" t="s">
        <v>21</v>
      </c>
      <c r="F266">
        <v>2</v>
      </c>
      <c r="G266">
        <v>2499</v>
      </c>
      <c r="H266">
        <v>0</v>
      </c>
      <c r="I266" t="s">
        <v>44</v>
      </c>
      <c r="J266" t="s">
        <v>22</v>
      </c>
      <c r="K266" t="s">
        <v>37</v>
      </c>
      <c r="L266">
        <f>F265*G265*(1-H265)</f>
        <v>30396.199999999997</v>
      </c>
    </row>
    <row r="267" spans="1:12">
      <c r="A267" t="s">
        <v>535</v>
      </c>
      <c r="B267" s="1">
        <v>46279</v>
      </c>
      <c r="C267" t="s">
        <v>536</v>
      </c>
      <c r="D267" t="s">
        <v>56</v>
      </c>
      <c r="E267" t="s">
        <v>27</v>
      </c>
      <c r="F267">
        <v>5</v>
      </c>
      <c r="G267">
        <v>799</v>
      </c>
      <c r="H267">
        <v>0.05</v>
      </c>
      <c r="I267" t="s">
        <v>32</v>
      </c>
      <c r="J267" t="s">
        <v>22</v>
      </c>
      <c r="K267" t="s">
        <v>17</v>
      </c>
      <c r="L267">
        <f>F266*G266*(1-H266)</f>
        <v>4998</v>
      </c>
    </row>
    <row r="268" spans="1:12">
      <c r="A268" t="s">
        <v>537</v>
      </c>
      <c r="B268" s="1">
        <v>46140</v>
      </c>
      <c r="C268" t="s">
        <v>98</v>
      </c>
      <c r="D268" t="s">
        <v>71</v>
      </c>
      <c r="E268" t="s">
        <v>27</v>
      </c>
      <c r="F268">
        <v>3</v>
      </c>
      <c r="G268">
        <v>799</v>
      </c>
      <c r="H268">
        <v>0.1</v>
      </c>
      <c r="I268" t="s">
        <v>32</v>
      </c>
      <c r="J268" t="s">
        <v>36</v>
      </c>
      <c r="K268" t="s">
        <v>23</v>
      </c>
      <c r="L268">
        <f>F267*G267*(1-H267)</f>
        <v>3795.25</v>
      </c>
    </row>
    <row r="269" spans="1:12">
      <c r="A269" t="s">
        <v>538</v>
      </c>
      <c r="B269" s="1">
        <v>46181</v>
      </c>
      <c r="C269" t="s">
        <v>539</v>
      </c>
      <c r="D269" t="s">
        <v>43</v>
      </c>
      <c r="E269" t="s">
        <v>21</v>
      </c>
      <c r="F269">
        <v>2</v>
      </c>
      <c r="G269">
        <v>7999</v>
      </c>
      <c r="H269">
        <v>0.05</v>
      </c>
      <c r="I269" t="s">
        <v>15</v>
      </c>
      <c r="J269" t="s">
        <v>28</v>
      </c>
      <c r="K269" t="s">
        <v>37</v>
      </c>
      <c r="L269">
        <f>F268*G268*(1-H268)</f>
        <v>2157.3000000000002</v>
      </c>
    </row>
    <row r="270" spans="1:12">
      <c r="A270" t="s">
        <v>540</v>
      </c>
      <c r="B270" s="1">
        <v>46037</v>
      </c>
      <c r="C270" t="s">
        <v>541</v>
      </c>
      <c r="D270" t="s">
        <v>20</v>
      </c>
      <c r="E270" t="s">
        <v>35</v>
      </c>
      <c r="F270">
        <v>4</v>
      </c>
      <c r="G270">
        <v>1499</v>
      </c>
      <c r="H270">
        <v>0.15</v>
      </c>
      <c r="I270" t="s">
        <v>50</v>
      </c>
      <c r="J270" t="s">
        <v>16</v>
      </c>
      <c r="K270" t="s">
        <v>17</v>
      </c>
      <c r="L270">
        <f>F269*G269*(1-H269)</f>
        <v>15198.099999999999</v>
      </c>
    </row>
    <row r="271" spans="1:12">
      <c r="A271" t="s">
        <v>542</v>
      </c>
      <c r="B271" s="1">
        <v>46100</v>
      </c>
      <c r="C271" t="s">
        <v>543</v>
      </c>
      <c r="D271" t="s">
        <v>62</v>
      </c>
      <c r="E271" t="s">
        <v>27</v>
      </c>
      <c r="F271">
        <v>4</v>
      </c>
      <c r="G271">
        <v>7999</v>
      </c>
      <c r="H271">
        <v>0</v>
      </c>
      <c r="I271" t="s">
        <v>15</v>
      </c>
      <c r="J271" t="s">
        <v>36</v>
      </c>
      <c r="K271" t="s">
        <v>17</v>
      </c>
      <c r="L271">
        <f>F270*G270*(1-H270)</f>
        <v>5096.5999999999995</v>
      </c>
    </row>
    <row r="272" spans="1:12">
      <c r="A272" t="s">
        <v>544</v>
      </c>
      <c r="B272" s="1">
        <v>46023</v>
      </c>
      <c r="C272" t="s">
        <v>545</v>
      </c>
      <c r="D272" t="s">
        <v>62</v>
      </c>
      <c r="E272" t="s">
        <v>14</v>
      </c>
      <c r="F272">
        <v>3</v>
      </c>
      <c r="G272">
        <v>999</v>
      </c>
      <c r="H272">
        <v>0.1</v>
      </c>
      <c r="I272" t="s">
        <v>32</v>
      </c>
      <c r="J272" t="s">
        <v>51</v>
      </c>
      <c r="K272" t="s">
        <v>37</v>
      </c>
      <c r="L272">
        <f>F271*G271*(1-H271)</f>
        <v>31996</v>
      </c>
    </row>
    <row r="273" spans="1:12">
      <c r="A273" t="s">
        <v>546</v>
      </c>
      <c r="B273" s="1">
        <v>46258</v>
      </c>
      <c r="C273" t="s">
        <v>532</v>
      </c>
      <c r="D273" t="s">
        <v>13</v>
      </c>
      <c r="E273" t="s">
        <v>40</v>
      </c>
      <c r="F273">
        <v>1</v>
      </c>
      <c r="G273">
        <v>799</v>
      </c>
      <c r="H273">
        <v>0.1</v>
      </c>
      <c r="I273" t="s">
        <v>44</v>
      </c>
      <c r="J273" t="s">
        <v>28</v>
      </c>
      <c r="K273" t="s">
        <v>23</v>
      </c>
      <c r="L273">
        <f>F272*G272*(1-H272)</f>
        <v>2697.3</v>
      </c>
    </row>
    <row r="274" spans="1:12">
      <c r="A274" t="s">
        <v>547</v>
      </c>
      <c r="B274" s="1">
        <v>46112</v>
      </c>
      <c r="C274" t="s">
        <v>548</v>
      </c>
      <c r="D274" t="s">
        <v>78</v>
      </c>
      <c r="E274" t="s">
        <v>40</v>
      </c>
      <c r="F274">
        <v>5</v>
      </c>
      <c r="G274">
        <v>1499</v>
      </c>
      <c r="H274">
        <v>0.15</v>
      </c>
      <c r="I274" t="s">
        <v>47</v>
      </c>
      <c r="J274" t="s">
        <v>36</v>
      </c>
      <c r="K274" t="s">
        <v>17</v>
      </c>
      <c r="L274">
        <f>F273*G273*(1-H273)</f>
        <v>719.1</v>
      </c>
    </row>
    <row r="275" spans="1:12">
      <c r="A275" t="s">
        <v>549</v>
      </c>
      <c r="B275" s="1">
        <v>46187</v>
      </c>
      <c r="C275" t="s">
        <v>550</v>
      </c>
      <c r="D275" t="s">
        <v>71</v>
      </c>
      <c r="E275" t="s">
        <v>40</v>
      </c>
      <c r="F275">
        <v>3</v>
      </c>
      <c r="G275">
        <v>799</v>
      </c>
      <c r="H275">
        <v>0.1</v>
      </c>
      <c r="I275" t="s">
        <v>32</v>
      </c>
      <c r="J275" t="s">
        <v>28</v>
      </c>
      <c r="K275" t="s">
        <v>37</v>
      </c>
      <c r="L275">
        <f>F274*G274*(1-H274)</f>
        <v>6370.75</v>
      </c>
    </row>
    <row r="276" spans="1:12">
      <c r="A276" t="s">
        <v>551</v>
      </c>
      <c r="B276" s="1">
        <v>46104</v>
      </c>
      <c r="C276" t="s">
        <v>552</v>
      </c>
      <c r="D276" t="s">
        <v>13</v>
      </c>
      <c r="E276" t="s">
        <v>40</v>
      </c>
      <c r="F276">
        <v>3</v>
      </c>
      <c r="G276">
        <v>799</v>
      </c>
      <c r="H276">
        <v>0.1</v>
      </c>
      <c r="I276" t="s">
        <v>47</v>
      </c>
      <c r="J276" t="s">
        <v>28</v>
      </c>
      <c r="K276" t="s">
        <v>17</v>
      </c>
      <c r="L276">
        <f>F275*G275*(1-H275)</f>
        <v>2157.3000000000002</v>
      </c>
    </row>
    <row r="277" spans="1:12">
      <c r="A277" t="s">
        <v>553</v>
      </c>
      <c r="B277" s="1">
        <v>46078</v>
      </c>
      <c r="C277" t="s">
        <v>113</v>
      </c>
      <c r="D277" t="s">
        <v>13</v>
      </c>
      <c r="E277" t="s">
        <v>35</v>
      </c>
      <c r="F277">
        <v>1</v>
      </c>
      <c r="G277">
        <v>499</v>
      </c>
      <c r="H277">
        <v>0.1</v>
      </c>
      <c r="I277" t="s">
        <v>32</v>
      </c>
      <c r="J277" t="s">
        <v>28</v>
      </c>
      <c r="K277" t="s">
        <v>37</v>
      </c>
      <c r="L277">
        <f>F276*G276*(1-H276)</f>
        <v>2157.3000000000002</v>
      </c>
    </row>
    <row r="278" spans="1:12">
      <c r="A278" t="s">
        <v>554</v>
      </c>
      <c r="B278" s="1">
        <v>46227</v>
      </c>
      <c r="C278" t="s">
        <v>555</v>
      </c>
      <c r="D278" t="s">
        <v>13</v>
      </c>
      <c r="E278" t="s">
        <v>35</v>
      </c>
      <c r="F278">
        <v>4</v>
      </c>
      <c r="G278">
        <v>1499</v>
      </c>
      <c r="H278">
        <v>0.1</v>
      </c>
      <c r="I278" t="s">
        <v>44</v>
      </c>
      <c r="J278" t="s">
        <v>28</v>
      </c>
      <c r="K278" t="s">
        <v>17</v>
      </c>
      <c r="L278">
        <f>F277*G277*(1-H277)</f>
        <v>449.1</v>
      </c>
    </row>
    <row r="279" spans="1:12">
      <c r="A279" t="s">
        <v>556</v>
      </c>
      <c r="B279" s="1">
        <v>46159</v>
      </c>
      <c r="C279" t="s">
        <v>372</v>
      </c>
      <c r="D279" t="s">
        <v>62</v>
      </c>
      <c r="E279" t="s">
        <v>21</v>
      </c>
      <c r="F279">
        <v>2</v>
      </c>
      <c r="G279">
        <v>7999</v>
      </c>
      <c r="H279">
        <v>0.05</v>
      </c>
      <c r="I279" t="s">
        <v>44</v>
      </c>
      <c r="J279" t="s">
        <v>22</v>
      </c>
      <c r="K279" t="s">
        <v>37</v>
      </c>
      <c r="L279">
        <f>F278*G278*(1-H278)</f>
        <v>5396.4000000000005</v>
      </c>
    </row>
    <row r="280" spans="1:12">
      <c r="A280" t="s">
        <v>557</v>
      </c>
      <c r="B280" s="1">
        <v>46098</v>
      </c>
      <c r="C280" t="s">
        <v>322</v>
      </c>
      <c r="D280" t="s">
        <v>13</v>
      </c>
      <c r="E280" t="s">
        <v>40</v>
      </c>
      <c r="F280">
        <v>4</v>
      </c>
      <c r="G280">
        <v>1499</v>
      </c>
      <c r="H280">
        <v>0.15</v>
      </c>
      <c r="I280" t="s">
        <v>47</v>
      </c>
      <c r="J280" t="s">
        <v>51</v>
      </c>
      <c r="K280" t="s">
        <v>17</v>
      </c>
      <c r="L280">
        <f>F279*G279*(1-H279)</f>
        <v>15198.099999999999</v>
      </c>
    </row>
    <row r="281" spans="1:12">
      <c r="A281" t="s">
        <v>558</v>
      </c>
      <c r="B281" s="1">
        <v>46160</v>
      </c>
      <c r="C281" t="s">
        <v>536</v>
      </c>
      <c r="D281" t="s">
        <v>59</v>
      </c>
      <c r="E281" t="s">
        <v>14</v>
      </c>
      <c r="F281">
        <v>5</v>
      </c>
      <c r="G281">
        <v>599</v>
      </c>
      <c r="H281">
        <v>0.15</v>
      </c>
      <c r="I281" t="s">
        <v>44</v>
      </c>
      <c r="J281" t="s">
        <v>36</v>
      </c>
      <c r="K281" t="s">
        <v>23</v>
      </c>
      <c r="L281">
        <f>F280*G280*(1-H280)</f>
        <v>5096.5999999999995</v>
      </c>
    </row>
    <row r="282" spans="1:12">
      <c r="A282" t="s">
        <v>559</v>
      </c>
      <c r="B282" s="1">
        <v>46038</v>
      </c>
      <c r="C282" t="s">
        <v>560</v>
      </c>
      <c r="D282" t="s">
        <v>78</v>
      </c>
      <c r="E282" t="s">
        <v>21</v>
      </c>
      <c r="F282">
        <v>3</v>
      </c>
      <c r="G282">
        <v>1499</v>
      </c>
      <c r="H282">
        <v>0.05</v>
      </c>
      <c r="I282" t="s">
        <v>47</v>
      </c>
      <c r="J282" t="s">
        <v>28</v>
      </c>
      <c r="K282" t="s">
        <v>17</v>
      </c>
      <c r="L282">
        <f>F281*G281*(1-H281)</f>
        <v>2545.75</v>
      </c>
    </row>
    <row r="283" spans="1:12">
      <c r="A283" t="s">
        <v>561</v>
      </c>
      <c r="B283" s="1">
        <v>46149</v>
      </c>
      <c r="C283" t="s">
        <v>406</v>
      </c>
      <c r="D283" t="s">
        <v>26</v>
      </c>
      <c r="E283" t="s">
        <v>35</v>
      </c>
      <c r="F283">
        <v>2</v>
      </c>
      <c r="G283">
        <v>4999</v>
      </c>
      <c r="H283">
        <v>0.1</v>
      </c>
      <c r="I283" t="s">
        <v>15</v>
      </c>
      <c r="J283" t="s">
        <v>28</v>
      </c>
      <c r="K283" t="s">
        <v>17</v>
      </c>
      <c r="L283">
        <f>F282*G282*(1-H282)</f>
        <v>4272.1499999999996</v>
      </c>
    </row>
    <row r="284" spans="1:12">
      <c r="A284" t="s">
        <v>562</v>
      </c>
      <c r="B284" s="1">
        <v>46265</v>
      </c>
      <c r="C284" t="s">
        <v>110</v>
      </c>
      <c r="D284" t="s">
        <v>13</v>
      </c>
      <c r="E284" t="s">
        <v>27</v>
      </c>
      <c r="F284">
        <v>1</v>
      </c>
      <c r="G284">
        <v>2499</v>
      </c>
      <c r="H284">
        <v>0.1</v>
      </c>
      <c r="I284" t="s">
        <v>15</v>
      </c>
      <c r="J284" t="s">
        <v>22</v>
      </c>
      <c r="K284" t="s">
        <v>17</v>
      </c>
      <c r="L284">
        <f>F283*G283*(1-H283)</f>
        <v>8998.2000000000007</v>
      </c>
    </row>
    <row r="285" spans="1:12">
      <c r="A285" t="s">
        <v>563</v>
      </c>
      <c r="B285" s="1">
        <v>46066</v>
      </c>
      <c r="C285" t="s">
        <v>564</v>
      </c>
      <c r="D285" t="s">
        <v>31</v>
      </c>
      <c r="E285" t="s">
        <v>40</v>
      </c>
      <c r="F285">
        <v>3</v>
      </c>
      <c r="G285">
        <v>499</v>
      </c>
      <c r="H285">
        <v>0</v>
      </c>
      <c r="I285" t="s">
        <v>15</v>
      </c>
      <c r="J285" t="s">
        <v>51</v>
      </c>
      <c r="K285" t="s">
        <v>23</v>
      </c>
      <c r="L285">
        <f>F284*G284*(1-H284)</f>
        <v>2249.1</v>
      </c>
    </row>
    <row r="286" spans="1:12">
      <c r="A286" t="s">
        <v>565</v>
      </c>
      <c r="B286" s="1">
        <v>46223</v>
      </c>
      <c r="C286" t="s">
        <v>77</v>
      </c>
      <c r="D286" t="s">
        <v>26</v>
      </c>
      <c r="E286" t="s">
        <v>35</v>
      </c>
      <c r="F286">
        <v>1</v>
      </c>
      <c r="G286">
        <v>799</v>
      </c>
      <c r="H286">
        <v>0.05</v>
      </c>
      <c r="I286" t="s">
        <v>15</v>
      </c>
      <c r="J286" t="s">
        <v>51</v>
      </c>
      <c r="K286" t="s">
        <v>17</v>
      </c>
      <c r="L286">
        <f>F285*G285*(1-H285)</f>
        <v>1497</v>
      </c>
    </row>
    <row r="287" spans="1:12">
      <c r="A287" t="s">
        <v>566</v>
      </c>
      <c r="B287" s="1">
        <v>46137</v>
      </c>
      <c r="C287" t="s">
        <v>567</v>
      </c>
      <c r="D287" t="s">
        <v>43</v>
      </c>
      <c r="E287" t="s">
        <v>27</v>
      </c>
      <c r="F287">
        <v>2</v>
      </c>
      <c r="G287">
        <v>4999</v>
      </c>
      <c r="H287">
        <v>0</v>
      </c>
      <c r="I287" t="s">
        <v>47</v>
      </c>
      <c r="J287" t="s">
        <v>22</v>
      </c>
      <c r="K287" t="s">
        <v>23</v>
      </c>
      <c r="L287">
        <f>F286*G286*(1-H286)</f>
        <v>759.05</v>
      </c>
    </row>
    <row r="288" spans="1:12">
      <c r="A288" t="s">
        <v>568</v>
      </c>
      <c r="B288" s="1">
        <v>46127</v>
      </c>
      <c r="C288" t="s">
        <v>384</v>
      </c>
      <c r="D288" t="s">
        <v>78</v>
      </c>
      <c r="E288" t="s">
        <v>40</v>
      </c>
      <c r="F288">
        <v>1</v>
      </c>
      <c r="G288">
        <v>499</v>
      </c>
      <c r="H288">
        <v>0.1</v>
      </c>
      <c r="I288" t="s">
        <v>44</v>
      </c>
      <c r="J288" t="s">
        <v>36</v>
      </c>
      <c r="K288" t="s">
        <v>17</v>
      </c>
      <c r="L288">
        <f>F287*G287*(1-H287)</f>
        <v>9998</v>
      </c>
    </row>
    <row r="289" spans="1:14">
      <c r="A289" t="s">
        <v>569</v>
      </c>
      <c r="B289" s="1">
        <v>46098</v>
      </c>
      <c r="C289" t="s">
        <v>570</v>
      </c>
      <c r="D289" t="s">
        <v>20</v>
      </c>
      <c r="E289" t="s">
        <v>35</v>
      </c>
      <c r="F289">
        <v>4</v>
      </c>
      <c r="G289">
        <v>1499</v>
      </c>
      <c r="H289">
        <v>0.05</v>
      </c>
      <c r="I289" t="s">
        <v>44</v>
      </c>
      <c r="J289" t="s">
        <v>16</v>
      </c>
      <c r="K289" t="s">
        <v>17</v>
      </c>
      <c r="L289">
        <f>F288*G288*(1-H288)</f>
        <v>449.1</v>
      </c>
    </row>
    <row r="290" spans="1:14">
      <c r="A290" t="s">
        <v>571</v>
      </c>
      <c r="B290" s="1">
        <v>46260</v>
      </c>
      <c r="C290" t="s">
        <v>468</v>
      </c>
      <c r="D290" t="s">
        <v>56</v>
      </c>
      <c r="E290" t="s">
        <v>40</v>
      </c>
      <c r="F290">
        <v>3</v>
      </c>
      <c r="G290">
        <v>1299</v>
      </c>
      <c r="H290">
        <v>0.05</v>
      </c>
      <c r="I290" t="s">
        <v>47</v>
      </c>
      <c r="J290" t="s">
        <v>16</v>
      </c>
      <c r="K290" t="s">
        <v>17</v>
      </c>
      <c r="L290">
        <f>F289*G289*(1-H289)</f>
        <v>5696.2</v>
      </c>
    </row>
    <row r="291" spans="1:14">
      <c r="A291" t="s">
        <v>572</v>
      </c>
      <c r="B291" s="1">
        <v>46168</v>
      </c>
      <c r="C291" t="s">
        <v>573</v>
      </c>
      <c r="D291" t="s">
        <v>20</v>
      </c>
      <c r="E291" t="s">
        <v>14</v>
      </c>
      <c r="F291">
        <v>1</v>
      </c>
      <c r="G291">
        <v>999</v>
      </c>
      <c r="H291">
        <v>0.1</v>
      </c>
      <c r="I291" t="s">
        <v>15</v>
      </c>
      <c r="J291" t="s">
        <v>51</v>
      </c>
      <c r="K291" t="s">
        <v>37</v>
      </c>
      <c r="L291">
        <f>F290*G290*(1-H290)</f>
        <v>3702.1499999999996</v>
      </c>
    </row>
    <row r="292" spans="1:14">
      <c r="A292" t="s">
        <v>574</v>
      </c>
      <c r="B292" s="1">
        <v>46243</v>
      </c>
      <c r="C292" t="s">
        <v>575</v>
      </c>
      <c r="D292" t="s">
        <v>59</v>
      </c>
      <c r="E292" t="s">
        <v>40</v>
      </c>
      <c r="F292">
        <v>4</v>
      </c>
      <c r="G292">
        <v>1999</v>
      </c>
      <c r="H292">
        <v>0.05</v>
      </c>
      <c r="I292" t="s">
        <v>50</v>
      </c>
      <c r="J292" t="s">
        <v>28</v>
      </c>
      <c r="K292" t="s">
        <v>17</v>
      </c>
      <c r="L292">
        <f>F291*G291*(1-H291)</f>
        <v>899.1</v>
      </c>
    </row>
    <row r="293" spans="1:14">
      <c r="A293" t="s">
        <v>576</v>
      </c>
      <c r="B293" s="1">
        <v>46271</v>
      </c>
      <c r="C293" t="s">
        <v>577</v>
      </c>
      <c r="D293" t="s">
        <v>26</v>
      </c>
      <c r="E293" t="s">
        <v>14</v>
      </c>
      <c r="F293">
        <v>5</v>
      </c>
      <c r="G293">
        <v>2499</v>
      </c>
      <c r="H293">
        <v>0</v>
      </c>
      <c r="I293" t="s">
        <v>32</v>
      </c>
      <c r="J293" t="s">
        <v>51</v>
      </c>
      <c r="K293" t="s">
        <v>17</v>
      </c>
      <c r="L293">
        <f>F292*G292*(1-H292)</f>
        <v>7596.2</v>
      </c>
    </row>
    <row r="294" spans="1:14">
      <c r="A294" t="s">
        <v>578</v>
      </c>
      <c r="B294" s="1">
        <v>46236</v>
      </c>
      <c r="C294" t="s">
        <v>209</v>
      </c>
      <c r="D294" t="s">
        <v>62</v>
      </c>
      <c r="E294" t="s">
        <v>14</v>
      </c>
      <c r="F294">
        <v>5</v>
      </c>
      <c r="G294">
        <v>599</v>
      </c>
      <c r="H294">
        <v>0.15</v>
      </c>
      <c r="I294" t="s">
        <v>47</v>
      </c>
      <c r="J294" t="s">
        <v>36</v>
      </c>
      <c r="K294" t="s">
        <v>17</v>
      </c>
      <c r="L294">
        <f>F293*G293*(1-H293)</f>
        <v>12495</v>
      </c>
    </row>
    <row r="295" spans="1:14">
      <c r="A295" t="s">
        <v>579</v>
      </c>
      <c r="B295" s="1">
        <v>46055</v>
      </c>
      <c r="C295" t="s">
        <v>73</v>
      </c>
      <c r="D295" t="s">
        <v>43</v>
      </c>
      <c r="E295" t="s">
        <v>21</v>
      </c>
      <c r="F295">
        <v>2</v>
      </c>
      <c r="G295">
        <v>799</v>
      </c>
      <c r="H295">
        <v>0</v>
      </c>
      <c r="I295" t="s">
        <v>44</v>
      </c>
      <c r="J295" t="s">
        <v>22</v>
      </c>
      <c r="K295" t="s">
        <v>17</v>
      </c>
      <c r="L295">
        <f>F294*G294*(1-H294)</f>
        <v>2545.75</v>
      </c>
    </row>
    <row r="296" spans="1:14">
      <c r="A296" t="s">
        <v>580</v>
      </c>
      <c r="B296" s="1">
        <v>46079</v>
      </c>
      <c r="C296" t="s">
        <v>581</v>
      </c>
      <c r="D296" t="s">
        <v>56</v>
      </c>
      <c r="E296" t="s">
        <v>40</v>
      </c>
      <c r="F296">
        <v>2</v>
      </c>
      <c r="G296">
        <v>799</v>
      </c>
      <c r="H296">
        <v>0</v>
      </c>
      <c r="I296" t="s">
        <v>44</v>
      </c>
      <c r="J296" t="s">
        <v>28</v>
      </c>
      <c r="K296" t="s">
        <v>17</v>
      </c>
      <c r="L296">
        <f>F295*G295*(1-H295)</f>
        <v>1598</v>
      </c>
      <c r="N296">
        <f>COUNTIF(K2:K5001,"Delivered")</f>
        <v>3030</v>
      </c>
    </row>
    <row r="297" spans="1:14">
      <c r="A297" t="s">
        <v>582</v>
      </c>
      <c r="B297" s="1">
        <v>46085</v>
      </c>
      <c r="C297" t="s">
        <v>583</v>
      </c>
      <c r="D297" t="s">
        <v>43</v>
      </c>
      <c r="E297" t="s">
        <v>14</v>
      </c>
      <c r="F297">
        <v>1</v>
      </c>
      <c r="G297">
        <v>4999</v>
      </c>
      <c r="H297">
        <v>0.1</v>
      </c>
      <c r="I297" t="s">
        <v>44</v>
      </c>
      <c r="J297" t="s">
        <v>28</v>
      </c>
      <c r="K297" t="s">
        <v>17</v>
      </c>
      <c r="L297">
        <f>F296*G296*(1-H296)</f>
        <v>1598</v>
      </c>
      <c r="N297">
        <f>N14/N5</f>
        <v>0</v>
      </c>
    </row>
    <row r="298" spans="1:14">
      <c r="A298" t="s">
        <v>584</v>
      </c>
      <c r="B298" s="1">
        <v>46226</v>
      </c>
      <c r="C298" t="s">
        <v>421</v>
      </c>
      <c r="D298" t="s">
        <v>62</v>
      </c>
      <c r="E298" t="s">
        <v>40</v>
      </c>
      <c r="F298">
        <v>3</v>
      </c>
      <c r="G298">
        <v>1999</v>
      </c>
      <c r="H298">
        <v>0</v>
      </c>
      <c r="I298" t="s">
        <v>44</v>
      </c>
      <c r="J298" t="s">
        <v>28</v>
      </c>
      <c r="K298" t="s">
        <v>23</v>
      </c>
      <c r="L298">
        <f>F297*G297*(1-H297)</f>
        <v>4499.1000000000004</v>
      </c>
      <c r="N298">
        <f>979/5000</f>
        <v>0.1958</v>
      </c>
    </row>
    <row r="299" spans="1:14">
      <c r="A299" t="s">
        <v>585</v>
      </c>
      <c r="B299" s="1">
        <v>46083</v>
      </c>
      <c r="C299" t="s">
        <v>586</v>
      </c>
      <c r="D299" t="s">
        <v>31</v>
      </c>
      <c r="E299" t="s">
        <v>40</v>
      </c>
      <c r="F299">
        <v>3</v>
      </c>
      <c r="G299">
        <v>599</v>
      </c>
      <c r="H299">
        <v>0.1</v>
      </c>
      <c r="I299" t="s">
        <v>47</v>
      </c>
      <c r="J299" t="s">
        <v>51</v>
      </c>
      <c r="K299" t="s">
        <v>37</v>
      </c>
      <c r="L299">
        <f>F298*G298*(1-H298)</f>
        <v>5997</v>
      </c>
    </row>
    <row r="300" spans="1:14">
      <c r="A300" t="s">
        <v>587</v>
      </c>
      <c r="B300" s="1">
        <v>46293</v>
      </c>
      <c r="C300" t="s">
        <v>588</v>
      </c>
      <c r="D300" t="s">
        <v>43</v>
      </c>
      <c r="E300" t="s">
        <v>21</v>
      </c>
      <c r="F300">
        <v>5</v>
      </c>
      <c r="G300">
        <v>599</v>
      </c>
      <c r="H300">
        <v>0.05</v>
      </c>
      <c r="I300" t="s">
        <v>15</v>
      </c>
      <c r="J300" t="s">
        <v>28</v>
      </c>
      <c r="K300" t="s">
        <v>17</v>
      </c>
      <c r="L300">
        <f>F299*G299*(1-H299)</f>
        <v>1617.3</v>
      </c>
    </row>
    <row r="301" spans="1:14">
      <c r="A301" t="s">
        <v>589</v>
      </c>
      <c r="B301" s="1">
        <v>46215</v>
      </c>
      <c r="C301" t="s">
        <v>590</v>
      </c>
      <c r="D301" t="s">
        <v>71</v>
      </c>
      <c r="E301" t="s">
        <v>35</v>
      </c>
      <c r="F301">
        <v>2</v>
      </c>
      <c r="G301">
        <v>499</v>
      </c>
      <c r="H301">
        <v>0</v>
      </c>
      <c r="I301" t="s">
        <v>15</v>
      </c>
      <c r="J301" t="s">
        <v>51</v>
      </c>
      <c r="K301" t="s">
        <v>17</v>
      </c>
      <c r="L301">
        <f>F300*G300*(1-H300)</f>
        <v>2845.25</v>
      </c>
      <c r="N301" t="str" cm="1">
        <f t="array" ref="N301:N303">_xlfn.UNIQUE(K2:K5001)</f>
        <v>Delivered</v>
      </c>
    </row>
    <row r="302" spans="1:14">
      <c r="A302" t="s">
        <v>591</v>
      </c>
      <c r="B302" s="1">
        <v>46254</v>
      </c>
      <c r="C302" t="s">
        <v>180</v>
      </c>
      <c r="D302" t="s">
        <v>56</v>
      </c>
      <c r="E302" t="s">
        <v>40</v>
      </c>
      <c r="F302">
        <v>3</v>
      </c>
      <c r="G302">
        <v>4999</v>
      </c>
      <c r="H302">
        <v>0</v>
      </c>
      <c r="I302" t="s">
        <v>50</v>
      </c>
      <c r="J302" t="s">
        <v>16</v>
      </c>
      <c r="K302" t="s">
        <v>17</v>
      </c>
      <c r="L302">
        <f>F301*G301*(1-H301)</f>
        <v>998</v>
      </c>
      <c r="N302" t="str">
        <v>Returned</v>
      </c>
    </row>
    <row r="303" spans="1:14">
      <c r="A303" t="s">
        <v>592</v>
      </c>
      <c r="B303" s="1">
        <v>46229</v>
      </c>
      <c r="C303" t="s">
        <v>325</v>
      </c>
      <c r="D303" t="s">
        <v>71</v>
      </c>
      <c r="E303" t="s">
        <v>14</v>
      </c>
      <c r="F303">
        <v>2</v>
      </c>
      <c r="G303">
        <v>1999</v>
      </c>
      <c r="H303">
        <v>0.15</v>
      </c>
      <c r="I303" t="s">
        <v>50</v>
      </c>
      <c r="J303" t="s">
        <v>51</v>
      </c>
      <c r="K303" t="s">
        <v>17</v>
      </c>
      <c r="L303">
        <f>F302*G302*(1-H302)</f>
        <v>14997</v>
      </c>
      <c r="N303" t="str">
        <v>Cancelled</v>
      </c>
    </row>
    <row r="304" spans="1:14">
      <c r="A304" t="s">
        <v>593</v>
      </c>
      <c r="B304" s="1">
        <v>46101</v>
      </c>
      <c r="C304" t="s">
        <v>594</v>
      </c>
      <c r="D304" t="s">
        <v>43</v>
      </c>
      <c r="E304" t="s">
        <v>40</v>
      </c>
      <c r="F304">
        <v>1</v>
      </c>
      <c r="G304">
        <v>1999</v>
      </c>
      <c r="H304">
        <v>0.15</v>
      </c>
      <c r="I304" t="s">
        <v>15</v>
      </c>
      <c r="J304" t="s">
        <v>28</v>
      </c>
      <c r="K304" t="s">
        <v>37</v>
      </c>
      <c r="L304">
        <f>F303*G303*(1-H303)</f>
        <v>3398.2999999999997</v>
      </c>
    </row>
    <row r="305" spans="1:12">
      <c r="A305" t="s">
        <v>595</v>
      </c>
      <c r="B305" s="1">
        <v>46040</v>
      </c>
      <c r="C305" t="s">
        <v>75</v>
      </c>
      <c r="D305" t="s">
        <v>13</v>
      </c>
      <c r="E305" t="s">
        <v>21</v>
      </c>
      <c r="F305">
        <v>5</v>
      </c>
      <c r="G305">
        <v>599</v>
      </c>
      <c r="H305">
        <v>0</v>
      </c>
      <c r="I305" t="s">
        <v>50</v>
      </c>
      <c r="J305" t="s">
        <v>51</v>
      </c>
      <c r="K305" t="s">
        <v>17</v>
      </c>
      <c r="L305">
        <f>F304*G304*(1-H304)</f>
        <v>1699.1499999999999</v>
      </c>
    </row>
    <row r="306" spans="1:12">
      <c r="A306" t="s">
        <v>596</v>
      </c>
      <c r="B306" s="1">
        <v>46202</v>
      </c>
      <c r="C306" t="s">
        <v>597</v>
      </c>
      <c r="D306" t="s">
        <v>59</v>
      </c>
      <c r="E306" t="s">
        <v>40</v>
      </c>
      <c r="F306">
        <v>5</v>
      </c>
      <c r="G306">
        <v>999</v>
      </c>
      <c r="H306">
        <v>0.15</v>
      </c>
      <c r="I306" t="s">
        <v>44</v>
      </c>
      <c r="J306" t="s">
        <v>16</v>
      </c>
      <c r="K306" t="s">
        <v>37</v>
      </c>
      <c r="L306">
        <f>F305*G305*(1-H305)</f>
        <v>2995</v>
      </c>
    </row>
    <row r="307" spans="1:12">
      <c r="A307" t="s">
        <v>598</v>
      </c>
      <c r="B307" s="1">
        <v>46164</v>
      </c>
      <c r="C307" t="s">
        <v>316</v>
      </c>
      <c r="D307" t="s">
        <v>62</v>
      </c>
      <c r="E307" t="s">
        <v>35</v>
      </c>
      <c r="F307">
        <v>1</v>
      </c>
      <c r="G307">
        <v>599</v>
      </c>
      <c r="H307">
        <v>0</v>
      </c>
      <c r="I307" t="s">
        <v>50</v>
      </c>
      <c r="J307" t="s">
        <v>22</v>
      </c>
      <c r="K307" t="s">
        <v>23</v>
      </c>
      <c r="L307">
        <f>F306*G306*(1-H306)</f>
        <v>4245.75</v>
      </c>
    </row>
    <row r="308" spans="1:12">
      <c r="A308" t="s">
        <v>599</v>
      </c>
      <c r="B308" s="1">
        <v>46175</v>
      </c>
      <c r="C308" t="s">
        <v>600</v>
      </c>
      <c r="D308" t="s">
        <v>78</v>
      </c>
      <c r="E308" t="s">
        <v>27</v>
      </c>
      <c r="F308">
        <v>4</v>
      </c>
      <c r="G308">
        <v>999</v>
      </c>
      <c r="H308">
        <v>0.15</v>
      </c>
      <c r="I308" t="s">
        <v>32</v>
      </c>
      <c r="J308" t="s">
        <v>51</v>
      </c>
      <c r="K308" t="s">
        <v>23</v>
      </c>
      <c r="L308">
        <f>F307*G307*(1-H307)</f>
        <v>599</v>
      </c>
    </row>
    <row r="309" spans="1:12">
      <c r="A309" t="s">
        <v>601</v>
      </c>
      <c r="B309" s="1">
        <v>46245</v>
      </c>
      <c r="C309" t="s">
        <v>602</v>
      </c>
      <c r="D309" t="s">
        <v>78</v>
      </c>
      <c r="E309" t="s">
        <v>40</v>
      </c>
      <c r="F309">
        <v>5</v>
      </c>
      <c r="G309">
        <v>2499</v>
      </c>
      <c r="H309">
        <v>0.15</v>
      </c>
      <c r="I309" t="s">
        <v>47</v>
      </c>
      <c r="J309" t="s">
        <v>28</v>
      </c>
      <c r="K309" t="s">
        <v>17</v>
      </c>
      <c r="L309">
        <f>F308*G308*(1-H308)</f>
        <v>3396.6</v>
      </c>
    </row>
    <row r="310" spans="1:12">
      <c r="A310" t="s">
        <v>603</v>
      </c>
      <c r="B310" s="1">
        <v>46125</v>
      </c>
      <c r="C310" t="s">
        <v>604</v>
      </c>
      <c r="D310" t="s">
        <v>31</v>
      </c>
      <c r="E310" t="s">
        <v>27</v>
      </c>
      <c r="F310">
        <v>3</v>
      </c>
      <c r="G310">
        <v>999</v>
      </c>
      <c r="H310">
        <v>0.05</v>
      </c>
      <c r="I310" t="s">
        <v>44</v>
      </c>
      <c r="J310" t="s">
        <v>16</v>
      </c>
      <c r="K310" t="s">
        <v>17</v>
      </c>
      <c r="L310">
        <f>F309*G309*(1-H309)</f>
        <v>10620.75</v>
      </c>
    </row>
    <row r="311" spans="1:12">
      <c r="A311" t="s">
        <v>605</v>
      </c>
      <c r="B311" s="1">
        <v>46110</v>
      </c>
      <c r="C311" t="s">
        <v>606</v>
      </c>
      <c r="D311" t="s">
        <v>26</v>
      </c>
      <c r="E311" t="s">
        <v>21</v>
      </c>
      <c r="F311">
        <v>1</v>
      </c>
      <c r="G311">
        <v>499</v>
      </c>
      <c r="H311">
        <v>0.15</v>
      </c>
      <c r="I311" t="s">
        <v>47</v>
      </c>
      <c r="J311" t="s">
        <v>22</v>
      </c>
      <c r="K311" t="s">
        <v>17</v>
      </c>
      <c r="L311">
        <f>F310*G310*(1-H310)</f>
        <v>2847.15</v>
      </c>
    </row>
    <row r="312" spans="1:12">
      <c r="A312" t="s">
        <v>607</v>
      </c>
      <c r="B312" s="1">
        <v>46197</v>
      </c>
      <c r="C312" t="s">
        <v>608</v>
      </c>
      <c r="D312" t="s">
        <v>59</v>
      </c>
      <c r="E312" t="s">
        <v>27</v>
      </c>
      <c r="F312">
        <v>1</v>
      </c>
      <c r="G312">
        <v>799</v>
      </c>
      <c r="H312">
        <v>0.15</v>
      </c>
      <c r="I312" t="s">
        <v>47</v>
      </c>
      <c r="J312" t="s">
        <v>36</v>
      </c>
      <c r="K312" t="s">
        <v>37</v>
      </c>
      <c r="L312">
        <f>F311*G311*(1-H311)</f>
        <v>424.15</v>
      </c>
    </row>
    <row r="313" spans="1:12">
      <c r="A313" t="s">
        <v>609</v>
      </c>
      <c r="B313" s="1">
        <v>46073</v>
      </c>
      <c r="C313" t="s">
        <v>610</v>
      </c>
      <c r="D313" t="s">
        <v>43</v>
      </c>
      <c r="E313" t="s">
        <v>14</v>
      </c>
      <c r="F313">
        <v>5</v>
      </c>
      <c r="G313">
        <v>1499</v>
      </c>
      <c r="H313">
        <v>0</v>
      </c>
      <c r="I313" t="s">
        <v>47</v>
      </c>
      <c r="J313" t="s">
        <v>51</v>
      </c>
      <c r="K313" t="s">
        <v>17</v>
      </c>
      <c r="L313">
        <f>F312*G312*(1-H312)</f>
        <v>679.15</v>
      </c>
    </row>
    <row r="314" spans="1:12">
      <c r="A314" t="s">
        <v>611</v>
      </c>
      <c r="B314" s="1">
        <v>46268</v>
      </c>
      <c r="C314" t="s">
        <v>316</v>
      </c>
      <c r="D314" t="s">
        <v>56</v>
      </c>
      <c r="E314" t="s">
        <v>40</v>
      </c>
      <c r="F314">
        <v>2</v>
      </c>
      <c r="G314">
        <v>999</v>
      </c>
      <c r="H314">
        <v>0</v>
      </c>
      <c r="I314" t="s">
        <v>47</v>
      </c>
      <c r="J314" t="s">
        <v>22</v>
      </c>
      <c r="K314" t="s">
        <v>23</v>
      </c>
      <c r="L314">
        <f>F313*G313*(1-H313)</f>
        <v>7495</v>
      </c>
    </row>
    <row r="315" spans="1:12">
      <c r="A315" t="s">
        <v>612</v>
      </c>
      <c r="B315" s="1">
        <v>46164</v>
      </c>
      <c r="C315" t="s">
        <v>613</v>
      </c>
      <c r="D315" t="s">
        <v>71</v>
      </c>
      <c r="E315" t="s">
        <v>35</v>
      </c>
      <c r="F315">
        <v>2</v>
      </c>
      <c r="G315">
        <v>7999</v>
      </c>
      <c r="H315">
        <v>0</v>
      </c>
      <c r="I315" t="s">
        <v>15</v>
      </c>
      <c r="J315" t="s">
        <v>16</v>
      </c>
      <c r="K315" t="s">
        <v>23</v>
      </c>
      <c r="L315">
        <f>F314*G314*(1-H314)</f>
        <v>1998</v>
      </c>
    </row>
    <row r="316" spans="1:12">
      <c r="A316" t="s">
        <v>614</v>
      </c>
      <c r="B316" s="1">
        <v>46291</v>
      </c>
      <c r="C316" t="s">
        <v>615</v>
      </c>
      <c r="D316" t="s">
        <v>71</v>
      </c>
      <c r="E316" t="s">
        <v>21</v>
      </c>
      <c r="F316">
        <v>5</v>
      </c>
      <c r="G316">
        <v>499</v>
      </c>
      <c r="H316">
        <v>0.05</v>
      </c>
      <c r="I316" t="s">
        <v>50</v>
      </c>
      <c r="J316" t="s">
        <v>16</v>
      </c>
      <c r="K316" t="s">
        <v>37</v>
      </c>
      <c r="L316">
        <f>F315*G315*(1-H315)</f>
        <v>15998</v>
      </c>
    </row>
    <row r="317" spans="1:12">
      <c r="A317" t="s">
        <v>616</v>
      </c>
      <c r="B317" s="1">
        <v>46231</v>
      </c>
      <c r="C317" t="s">
        <v>327</v>
      </c>
      <c r="D317" t="s">
        <v>31</v>
      </c>
      <c r="E317" t="s">
        <v>14</v>
      </c>
      <c r="F317">
        <v>2</v>
      </c>
      <c r="G317">
        <v>799</v>
      </c>
      <c r="H317">
        <v>0</v>
      </c>
      <c r="I317" t="s">
        <v>44</v>
      </c>
      <c r="J317" t="s">
        <v>51</v>
      </c>
      <c r="K317" t="s">
        <v>23</v>
      </c>
      <c r="L317">
        <f>F316*G316*(1-H316)</f>
        <v>2370.25</v>
      </c>
    </row>
    <row r="318" spans="1:12">
      <c r="A318" t="s">
        <v>617</v>
      </c>
      <c r="B318" s="1">
        <v>46195</v>
      </c>
      <c r="C318" t="s">
        <v>618</v>
      </c>
      <c r="D318" t="s">
        <v>78</v>
      </c>
      <c r="E318" t="s">
        <v>14</v>
      </c>
      <c r="F318">
        <v>3</v>
      </c>
      <c r="G318">
        <v>499</v>
      </c>
      <c r="H318">
        <v>0</v>
      </c>
      <c r="I318" t="s">
        <v>32</v>
      </c>
      <c r="J318" t="s">
        <v>22</v>
      </c>
      <c r="K318" t="s">
        <v>37</v>
      </c>
      <c r="L318">
        <f>F317*G317*(1-H317)</f>
        <v>1598</v>
      </c>
    </row>
    <row r="319" spans="1:12">
      <c r="A319" t="s">
        <v>619</v>
      </c>
      <c r="B319" s="1">
        <v>46152</v>
      </c>
      <c r="C319" t="s">
        <v>620</v>
      </c>
      <c r="D319" t="s">
        <v>71</v>
      </c>
      <c r="E319" t="s">
        <v>27</v>
      </c>
      <c r="F319">
        <v>3</v>
      </c>
      <c r="G319">
        <v>999</v>
      </c>
      <c r="H319">
        <v>0.15</v>
      </c>
      <c r="I319" t="s">
        <v>15</v>
      </c>
      <c r="J319" t="s">
        <v>36</v>
      </c>
      <c r="K319" t="s">
        <v>23</v>
      </c>
      <c r="L319">
        <f>F318*G318*(1-H318)</f>
        <v>1497</v>
      </c>
    </row>
    <row r="320" spans="1:12">
      <c r="A320" t="s">
        <v>621</v>
      </c>
      <c r="B320" s="1">
        <v>46060</v>
      </c>
      <c r="C320" t="s">
        <v>622</v>
      </c>
      <c r="D320" t="s">
        <v>26</v>
      </c>
      <c r="E320" t="s">
        <v>21</v>
      </c>
      <c r="F320">
        <v>1</v>
      </c>
      <c r="G320">
        <v>1499</v>
      </c>
      <c r="H320">
        <v>0.15</v>
      </c>
      <c r="I320" t="s">
        <v>32</v>
      </c>
      <c r="J320" t="s">
        <v>51</v>
      </c>
      <c r="K320" t="s">
        <v>17</v>
      </c>
      <c r="L320">
        <f>F319*G319*(1-H319)</f>
        <v>2547.4499999999998</v>
      </c>
    </row>
    <row r="321" spans="1:12">
      <c r="A321" t="s">
        <v>623</v>
      </c>
      <c r="B321" s="1">
        <v>46121</v>
      </c>
      <c r="C321" t="s">
        <v>199</v>
      </c>
      <c r="D321" t="s">
        <v>43</v>
      </c>
      <c r="E321" t="s">
        <v>21</v>
      </c>
      <c r="F321">
        <v>1</v>
      </c>
      <c r="G321">
        <v>7999</v>
      </c>
      <c r="H321">
        <v>0</v>
      </c>
      <c r="I321" t="s">
        <v>32</v>
      </c>
      <c r="J321" t="s">
        <v>36</v>
      </c>
      <c r="K321" t="s">
        <v>17</v>
      </c>
      <c r="L321">
        <f>F320*G320*(1-H320)</f>
        <v>1274.1499999999999</v>
      </c>
    </row>
    <row r="322" spans="1:12">
      <c r="A322" t="s">
        <v>624</v>
      </c>
      <c r="B322" s="1">
        <v>46287</v>
      </c>
      <c r="C322" t="s">
        <v>119</v>
      </c>
      <c r="D322" t="s">
        <v>62</v>
      </c>
      <c r="E322" t="s">
        <v>40</v>
      </c>
      <c r="F322">
        <v>4</v>
      </c>
      <c r="G322">
        <v>999</v>
      </c>
      <c r="H322">
        <v>0.1</v>
      </c>
      <c r="I322" t="s">
        <v>15</v>
      </c>
      <c r="J322" t="s">
        <v>36</v>
      </c>
      <c r="K322" t="s">
        <v>17</v>
      </c>
      <c r="L322">
        <f>F321*G321*(1-H321)</f>
        <v>7999</v>
      </c>
    </row>
    <row r="323" spans="1:12">
      <c r="A323" t="s">
        <v>625</v>
      </c>
      <c r="B323" s="1">
        <v>46223</v>
      </c>
      <c r="C323" t="s">
        <v>626</v>
      </c>
      <c r="D323" t="s">
        <v>20</v>
      </c>
      <c r="E323" t="s">
        <v>40</v>
      </c>
      <c r="F323">
        <v>4</v>
      </c>
      <c r="G323">
        <v>2499</v>
      </c>
      <c r="H323">
        <v>0.05</v>
      </c>
      <c r="I323" t="s">
        <v>50</v>
      </c>
      <c r="J323" t="s">
        <v>36</v>
      </c>
      <c r="K323" t="s">
        <v>17</v>
      </c>
      <c r="L323">
        <f>F322*G322*(1-H322)</f>
        <v>3596.4</v>
      </c>
    </row>
    <row r="324" spans="1:12">
      <c r="A324" t="s">
        <v>627</v>
      </c>
      <c r="B324" s="1">
        <v>46033</v>
      </c>
      <c r="C324" t="s">
        <v>517</v>
      </c>
      <c r="D324" t="s">
        <v>56</v>
      </c>
      <c r="E324" t="s">
        <v>21</v>
      </c>
      <c r="F324">
        <v>5</v>
      </c>
      <c r="G324">
        <v>1499</v>
      </c>
      <c r="H324">
        <v>0.1</v>
      </c>
      <c r="I324" t="s">
        <v>50</v>
      </c>
      <c r="J324" t="s">
        <v>51</v>
      </c>
      <c r="K324" t="s">
        <v>17</v>
      </c>
      <c r="L324">
        <f>F323*G323*(1-H323)</f>
        <v>9496.1999999999989</v>
      </c>
    </row>
    <row r="325" spans="1:12">
      <c r="A325" t="s">
        <v>628</v>
      </c>
      <c r="B325" s="1">
        <v>46024</v>
      </c>
      <c r="C325" t="s">
        <v>215</v>
      </c>
      <c r="D325" t="s">
        <v>20</v>
      </c>
      <c r="E325" t="s">
        <v>35</v>
      </c>
      <c r="F325">
        <v>5</v>
      </c>
      <c r="G325">
        <v>599</v>
      </c>
      <c r="H325">
        <v>0.1</v>
      </c>
      <c r="I325" t="s">
        <v>32</v>
      </c>
      <c r="J325" t="s">
        <v>22</v>
      </c>
      <c r="K325" t="s">
        <v>23</v>
      </c>
      <c r="L325">
        <f>F324*G324*(1-H324)</f>
        <v>6745.5</v>
      </c>
    </row>
    <row r="326" spans="1:12">
      <c r="A326" t="s">
        <v>629</v>
      </c>
      <c r="B326" s="1">
        <v>46244</v>
      </c>
      <c r="C326" t="s">
        <v>583</v>
      </c>
      <c r="D326" t="s">
        <v>62</v>
      </c>
      <c r="E326" t="s">
        <v>35</v>
      </c>
      <c r="F326">
        <v>4</v>
      </c>
      <c r="G326">
        <v>1299</v>
      </c>
      <c r="H326">
        <v>0.1</v>
      </c>
      <c r="I326" t="s">
        <v>44</v>
      </c>
      <c r="J326" t="s">
        <v>16</v>
      </c>
      <c r="K326" t="s">
        <v>17</v>
      </c>
      <c r="L326">
        <f>F325*G325*(1-H325)</f>
        <v>2695.5</v>
      </c>
    </row>
    <row r="327" spans="1:12">
      <c r="A327" t="s">
        <v>630</v>
      </c>
      <c r="B327" s="1">
        <v>46040</v>
      </c>
      <c r="C327" t="s">
        <v>631</v>
      </c>
      <c r="D327" t="s">
        <v>78</v>
      </c>
      <c r="E327" t="s">
        <v>14</v>
      </c>
      <c r="F327">
        <v>4</v>
      </c>
      <c r="G327">
        <v>1499</v>
      </c>
      <c r="H327">
        <v>0</v>
      </c>
      <c r="I327" t="s">
        <v>50</v>
      </c>
      <c r="J327" t="s">
        <v>22</v>
      </c>
      <c r="K327" t="s">
        <v>23</v>
      </c>
      <c r="L327">
        <f>F326*G326*(1-H326)</f>
        <v>4676.4000000000005</v>
      </c>
    </row>
    <row r="328" spans="1:12">
      <c r="A328" t="s">
        <v>632</v>
      </c>
      <c r="B328" s="1">
        <v>46065</v>
      </c>
      <c r="C328" t="s">
        <v>633</v>
      </c>
      <c r="D328" t="s">
        <v>71</v>
      </c>
      <c r="E328" t="s">
        <v>27</v>
      </c>
      <c r="F328">
        <v>3</v>
      </c>
      <c r="G328">
        <v>599</v>
      </c>
      <c r="H328">
        <v>0</v>
      </c>
      <c r="I328" t="s">
        <v>47</v>
      </c>
      <c r="J328" t="s">
        <v>22</v>
      </c>
      <c r="K328" t="s">
        <v>17</v>
      </c>
      <c r="L328">
        <f>F327*G327*(1-H327)</f>
        <v>5996</v>
      </c>
    </row>
    <row r="329" spans="1:12">
      <c r="A329" t="s">
        <v>634</v>
      </c>
      <c r="B329" s="1">
        <v>46228</v>
      </c>
      <c r="C329" t="s">
        <v>635</v>
      </c>
      <c r="D329" t="s">
        <v>71</v>
      </c>
      <c r="E329" t="s">
        <v>40</v>
      </c>
      <c r="F329">
        <v>2</v>
      </c>
      <c r="G329">
        <v>1999</v>
      </c>
      <c r="H329">
        <v>0.15</v>
      </c>
      <c r="I329" t="s">
        <v>50</v>
      </c>
      <c r="J329" t="s">
        <v>51</v>
      </c>
      <c r="K329" t="s">
        <v>17</v>
      </c>
      <c r="L329">
        <f>F328*G328*(1-H328)</f>
        <v>1797</v>
      </c>
    </row>
    <row r="330" spans="1:12">
      <c r="A330" t="s">
        <v>636</v>
      </c>
      <c r="B330" s="1">
        <v>46172</v>
      </c>
      <c r="C330" t="s">
        <v>637</v>
      </c>
      <c r="D330" t="s">
        <v>31</v>
      </c>
      <c r="E330" t="s">
        <v>27</v>
      </c>
      <c r="F330">
        <v>4</v>
      </c>
      <c r="G330">
        <v>499</v>
      </c>
      <c r="H330">
        <v>0</v>
      </c>
      <c r="I330" t="s">
        <v>47</v>
      </c>
      <c r="J330" t="s">
        <v>16</v>
      </c>
      <c r="K330" t="s">
        <v>23</v>
      </c>
      <c r="L330">
        <f>F329*G329*(1-H329)</f>
        <v>3398.2999999999997</v>
      </c>
    </row>
    <row r="331" spans="1:12">
      <c r="A331" t="s">
        <v>638</v>
      </c>
      <c r="B331" s="1">
        <v>46026</v>
      </c>
      <c r="C331" t="s">
        <v>639</v>
      </c>
      <c r="D331" t="s">
        <v>56</v>
      </c>
      <c r="E331" t="s">
        <v>27</v>
      </c>
      <c r="F331">
        <v>5</v>
      </c>
      <c r="G331">
        <v>1499</v>
      </c>
      <c r="H331">
        <v>0.05</v>
      </c>
      <c r="I331" t="s">
        <v>32</v>
      </c>
      <c r="J331" t="s">
        <v>28</v>
      </c>
      <c r="K331" t="s">
        <v>17</v>
      </c>
      <c r="L331">
        <f>F330*G330*(1-H330)</f>
        <v>1996</v>
      </c>
    </row>
    <row r="332" spans="1:12">
      <c r="A332" t="s">
        <v>640</v>
      </c>
      <c r="B332" s="1">
        <v>46135</v>
      </c>
      <c r="C332" t="s">
        <v>102</v>
      </c>
      <c r="D332" t="s">
        <v>62</v>
      </c>
      <c r="E332" t="s">
        <v>27</v>
      </c>
      <c r="F332">
        <v>2</v>
      </c>
      <c r="G332">
        <v>1299</v>
      </c>
      <c r="H332">
        <v>0</v>
      </c>
      <c r="I332" t="s">
        <v>15</v>
      </c>
      <c r="J332" t="s">
        <v>28</v>
      </c>
      <c r="K332" t="s">
        <v>17</v>
      </c>
      <c r="L332">
        <f>F331*G331*(1-H331)</f>
        <v>7120.25</v>
      </c>
    </row>
    <row r="333" spans="1:12">
      <c r="A333" t="s">
        <v>641</v>
      </c>
      <c r="B333" s="1">
        <v>46165</v>
      </c>
      <c r="C333" t="s">
        <v>642</v>
      </c>
      <c r="D333" t="s">
        <v>78</v>
      </c>
      <c r="E333" t="s">
        <v>27</v>
      </c>
      <c r="F333">
        <v>5</v>
      </c>
      <c r="G333">
        <v>1999</v>
      </c>
      <c r="H333">
        <v>0.05</v>
      </c>
      <c r="I333" t="s">
        <v>47</v>
      </c>
      <c r="J333" t="s">
        <v>36</v>
      </c>
      <c r="K333" t="s">
        <v>17</v>
      </c>
      <c r="L333">
        <f>F332*G332*(1-H332)</f>
        <v>2598</v>
      </c>
    </row>
    <row r="334" spans="1:12">
      <c r="A334" t="s">
        <v>643</v>
      </c>
      <c r="B334" s="1">
        <v>46067</v>
      </c>
      <c r="C334" t="s">
        <v>644</v>
      </c>
      <c r="D334" t="s">
        <v>71</v>
      </c>
      <c r="E334" t="s">
        <v>40</v>
      </c>
      <c r="F334">
        <v>1</v>
      </c>
      <c r="G334">
        <v>1499</v>
      </c>
      <c r="H334">
        <v>0.1</v>
      </c>
      <c r="I334" t="s">
        <v>32</v>
      </c>
      <c r="J334" t="s">
        <v>51</v>
      </c>
      <c r="K334" t="s">
        <v>23</v>
      </c>
      <c r="L334">
        <f>F333*G333*(1-H333)</f>
        <v>9495.25</v>
      </c>
    </row>
    <row r="335" spans="1:12">
      <c r="A335" t="s">
        <v>645</v>
      </c>
      <c r="B335" s="1">
        <v>46181</v>
      </c>
      <c r="C335" t="s">
        <v>646</v>
      </c>
      <c r="D335" t="s">
        <v>43</v>
      </c>
      <c r="E335" t="s">
        <v>40</v>
      </c>
      <c r="F335">
        <v>4</v>
      </c>
      <c r="G335">
        <v>1299</v>
      </c>
      <c r="H335">
        <v>0.05</v>
      </c>
      <c r="I335" t="s">
        <v>15</v>
      </c>
      <c r="J335" t="s">
        <v>36</v>
      </c>
      <c r="K335" t="s">
        <v>17</v>
      </c>
      <c r="L335">
        <f>F334*G334*(1-H334)</f>
        <v>1349.1000000000001</v>
      </c>
    </row>
    <row r="336" spans="1:12">
      <c r="A336" t="s">
        <v>647</v>
      </c>
      <c r="B336" s="1">
        <v>46256</v>
      </c>
      <c r="C336" t="s">
        <v>68</v>
      </c>
      <c r="D336" t="s">
        <v>62</v>
      </c>
      <c r="E336" t="s">
        <v>35</v>
      </c>
      <c r="F336">
        <v>1</v>
      </c>
      <c r="G336">
        <v>999</v>
      </c>
      <c r="H336">
        <v>0.15</v>
      </c>
      <c r="I336" t="s">
        <v>50</v>
      </c>
      <c r="J336" t="s">
        <v>16</v>
      </c>
      <c r="K336" t="s">
        <v>17</v>
      </c>
      <c r="L336">
        <f>F335*G335*(1-H335)</f>
        <v>4936.2</v>
      </c>
    </row>
    <row r="337" spans="1:12">
      <c r="A337" t="s">
        <v>648</v>
      </c>
      <c r="B337" s="1">
        <v>46122</v>
      </c>
      <c r="C337" t="s">
        <v>649</v>
      </c>
      <c r="D337" t="s">
        <v>59</v>
      </c>
      <c r="E337" t="s">
        <v>40</v>
      </c>
      <c r="F337">
        <v>3</v>
      </c>
      <c r="G337">
        <v>599</v>
      </c>
      <c r="H337">
        <v>0</v>
      </c>
      <c r="I337" t="s">
        <v>44</v>
      </c>
      <c r="J337" t="s">
        <v>16</v>
      </c>
      <c r="K337" t="s">
        <v>37</v>
      </c>
      <c r="L337">
        <f>F336*G336*(1-H336)</f>
        <v>849.15</v>
      </c>
    </row>
    <row r="338" spans="1:12">
      <c r="A338" t="s">
        <v>650</v>
      </c>
      <c r="B338" s="1">
        <v>46044</v>
      </c>
      <c r="C338" t="s">
        <v>651</v>
      </c>
      <c r="D338" t="s">
        <v>20</v>
      </c>
      <c r="E338" t="s">
        <v>35</v>
      </c>
      <c r="F338">
        <v>4</v>
      </c>
      <c r="G338">
        <v>7999</v>
      </c>
      <c r="H338">
        <v>0.15</v>
      </c>
      <c r="I338" t="s">
        <v>15</v>
      </c>
      <c r="J338" t="s">
        <v>36</v>
      </c>
      <c r="K338" t="s">
        <v>23</v>
      </c>
      <c r="L338">
        <f>F337*G337*(1-H337)</f>
        <v>1797</v>
      </c>
    </row>
    <row r="339" spans="1:12">
      <c r="A339" t="s">
        <v>652</v>
      </c>
      <c r="B339" s="1">
        <v>46184</v>
      </c>
      <c r="C339" t="s">
        <v>653</v>
      </c>
      <c r="D339" t="s">
        <v>62</v>
      </c>
      <c r="E339" t="s">
        <v>27</v>
      </c>
      <c r="F339">
        <v>3</v>
      </c>
      <c r="G339">
        <v>999</v>
      </c>
      <c r="H339">
        <v>0.05</v>
      </c>
      <c r="I339" t="s">
        <v>15</v>
      </c>
      <c r="J339" t="s">
        <v>28</v>
      </c>
      <c r="K339" t="s">
        <v>17</v>
      </c>
      <c r="L339">
        <f>F338*G338*(1-H338)</f>
        <v>27196.6</v>
      </c>
    </row>
    <row r="340" spans="1:12">
      <c r="A340" t="s">
        <v>654</v>
      </c>
      <c r="B340" s="1">
        <v>46248</v>
      </c>
      <c r="C340" t="s">
        <v>494</v>
      </c>
      <c r="D340" t="s">
        <v>26</v>
      </c>
      <c r="E340" t="s">
        <v>40</v>
      </c>
      <c r="F340">
        <v>1</v>
      </c>
      <c r="G340">
        <v>599</v>
      </c>
      <c r="H340">
        <v>0</v>
      </c>
      <c r="I340" t="s">
        <v>44</v>
      </c>
      <c r="J340" t="s">
        <v>16</v>
      </c>
      <c r="K340" t="s">
        <v>37</v>
      </c>
      <c r="L340">
        <f>F339*G339*(1-H339)</f>
        <v>2847.15</v>
      </c>
    </row>
    <row r="341" spans="1:12">
      <c r="A341" t="s">
        <v>655</v>
      </c>
      <c r="B341" s="1">
        <v>46220</v>
      </c>
      <c r="C341" t="s">
        <v>656</v>
      </c>
      <c r="D341" t="s">
        <v>31</v>
      </c>
      <c r="E341" t="s">
        <v>14</v>
      </c>
      <c r="F341">
        <v>2</v>
      </c>
      <c r="G341">
        <v>999</v>
      </c>
      <c r="H341">
        <v>0.15</v>
      </c>
      <c r="I341" t="s">
        <v>47</v>
      </c>
      <c r="J341" t="s">
        <v>36</v>
      </c>
      <c r="K341" t="s">
        <v>23</v>
      </c>
      <c r="L341">
        <f>F340*G340*(1-H340)</f>
        <v>599</v>
      </c>
    </row>
    <row r="342" spans="1:12">
      <c r="A342" t="s">
        <v>657</v>
      </c>
      <c r="B342" s="1">
        <v>46068</v>
      </c>
      <c r="C342" t="s">
        <v>25</v>
      </c>
      <c r="D342" t="s">
        <v>78</v>
      </c>
      <c r="E342" t="s">
        <v>40</v>
      </c>
      <c r="F342">
        <v>4</v>
      </c>
      <c r="G342">
        <v>4999</v>
      </c>
      <c r="H342">
        <v>0</v>
      </c>
      <c r="I342" t="s">
        <v>15</v>
      </c>
      <c r="J342" t="s">
        <v>51</v>
      </c>
      <c r="K342" t="s">
        <v>17</v>
      </c>
      <c r="L342">
        <f>F341*G341*(1-H341)</f>
        <v>1698.3</v>
      </c>
    </row>
    <row r="343" spans="1:12">
      <c r="A343" t="s">
        <v>658</v>
      </c>
      <c r="B343" s="1">
        <v>46239</v>
      </c>
      <c r="C343" t="s">
        <v>306</v>
      </c>
      <c r="D343" t="s">
        <v>71</v>
      </c>
      <c r="E343" t="s">
        <v>35</v>
      </c>
      <c r="F343">
        <v>4</v>
      </c>
      <c r="G343">
        <v>499</v>
      </c>
      <c r="H343">
        <v>0.05</v>
      </c>
      <c r="I343" t="s">
        <v>50</v>
      </c>
      <c r="J343" t="s">
        <v>28</v>
      </c>
      <c r="K343" t="s">
        <v>23</v>
      </c>
      <c r="L343">
        <f>F342*G342*(1-H342)</f>
        <v>19996</v>
      </c>
    </row>
    <row r="344" spans="1:12">
      <c r="A344" t="s">
        <v>659</v>
      </c>
      <c r="B344" s="1">
        <v>46066</v>
      </c>
      <c r="C344" t="s">
        <v>660</v>
      </c>
      <c r="D344" t="s">
        <v>62</v>
      </c>
      <c r="E344" t="s">
        <v>21</v>
      </c>
      <c r="F344">
        <v>4</v>
      </c>
      <c r="G344">
        <v>1299</v>
      </c>
      <c r="H344">
        <v>0</v>
      </c>
      <c r="I344" t="s">
        <v>15</v>
      </c>
      <c r="J344" t="s">
        <v>36</v>
      </c>
      <c r="K344" t="s">
        <v>23</v>
      </c>
      <c r="L344">
        <f>F343*G343*(1-H343)</f>
        <v>1896.1999999999998</v>
      </c>
    </row>
    <row r="345" spans="1:12">
      <c r="A345" t="s">
        <v>661</v>
      </c>
      <c r="B345" s="1">
        <v>46047</v>
      </c>
      <c r="C345" t="s">
        <v>302</v>
      </c>
      <c r="D345" t="s">
        <v>43</v>
      </c>
      <c r="E345" t="s">
        <v>27</v>
      </c>
      <c r="F345">
        <v>4</v>
      </c>
      <c r="G345">
        <v>999</v>
      </c>
      <c r="H345">
        <v>0.05</v>
      </c>
      <c r="I345" t="s">
        <v>15</v>
      </c>
      <c r="J345" t="s">
        <v>51</v>
      </c>
      <c r="K345" t="s">
        <v>17</v>
      </c>
      <c r="L345">
        <f>F344*G344*(1-H344)</f>
        <v>5196</v>
      </c>
    </row>
    <row r="346" spans="1:12">
      <c r="A346" t="s">
        <v>662</v>
      </c>
      <c r="B346" s="1">
        <v>46158</v>
      </c>
      <c r="C346" t="s">
        <v>663</v>
      </c>
      <c r="D346" t="s">
        <v>31</v>
      </c>
      <c r="E346" t="s">
        <v>40</v>
      </c>
      <c r="F346">
        <v>2</v>
      </c>
      <c r="G346">
        <v>4999</v>
      </c>
      <c r="H346">
        <v>0.05</v>
      </c>
      <c r="I346" t="s">
        <v>47</v>
      </c>
      <c r="J346" t="s">
        <v>51</v>
      </c>
      <c r="K346" t="s">
        <v>23</v>
      </c>
      <c r="L346">
        <f>F345*G345*(1-H345)</f>
        <v>3796.2</v>
      </c>
    </row>
    <row r="347" spans="1:12">
      <c r="A347" t="s">
        <v>664</v>
      </c>
      <c r="B347" s="1">
        <v>46098</v>
      </c>
      <c r="C347" t="s">
        <v>665</v>
      </c>
      <c r="D347" t="s">
        <v>71</v>
      </c>
      <c r="E347" t="s">
        <v>40</v>
      </c>
      <c r="F347">
        <v>4</v>
      </c>
      <c r="G347">
        <v>2499</v>
      </c>
      <c r="H347">
        <v>0</v>
      </c>
      <c r="I347" t="s">
        <v>47</v>
      </c>
      <c r="J347" t="s">
        <v>28</v>
      </c>
      <c r="K347" t="s">
        <v>17</v>
      </c>
      <c r="L347">
        <f>F346*G346*(1-H346)</f>
        <v>9498.1</v>
      </c>
    </row>
    <row r="348" spans="1:12">
      <c r="A348" t="s">
        <v>666</v>
      </c>
      <c r="B348" s="1">
        <v>46266</v>
      </c>
      <c r="C348" t="s">
        <v>667</v>
      </c>
      <c r="D348" t="s">
        <v>78</v>
      </c>
      <c r="E348" t="s">
        <v>27</v>
      </c>
      <c r="F348">
        <v>5</v>
      </c>
      <c r="G348">
        <v>1499</v>
      </c>
      <c r="H348">
        <v>0.1</v>
      </c>
      <c r="I348" t="s">
        <v>32</v>
      </c>
      <c r="J348" t="s">
        <v>22</v>
      </c>
      <c r="K348" t="s">
        <v>17</v>
      </c>
      <c r="L348">
        <f>F347*G347*(1-H347)</f>
        <v>9996</v>
      </c>
    </row>
    <row r="349" spans="1:12">
      <c r="A349" t="s">
        <v>668</v>
      </c>
      <c r="B349" s="1">
        <v>46114</v>
      </c>
      <c r="C349" t="s">
        <v>669</v>
      </c>
      <c r="D349" t="s">
        <v>78</v>
      </c>
      <c r="E349" t="s">
        <v>27</v>
      </c>
      <c r="F349">
        <v>2</v>
      </c>
      <c r="G349">
        <v>799</v>
      </c>
      <c r="H349">
        <v>0.15</v>
      </c>
      <c r="I349" t="s">
        <v>50</v>
      </c>
      <c r="J349" t="s">
        <v>16</v>
      </c>
      <c r="K349" t="s">
        <v>37</v>
      </c>
      <c r="L349">
        <f>F348*G348*(1-H348)</f>
        <v>6745.5</v>
      </c>
    </row>
    <row r="350" spans="1:12">
      <c r="A350" t="s">
        <v>670</v>
      </c>
      <c r="B350" s="1">
        <v>46228</v>
      </c>
      <c r="C350" t="s">
        <v>462</v>
      </c>
      <c r="D350" t="s">
        <v>56</v>
      </c>
      <c r="E350" t="s">
        <v>40</v>
      </c>
      <c r="F350">
        <v>1</v>
      </c>
      <c r="G350">
        <v>999</v>
      </c>
      <c r="H350">
        <v>0.15</v>
      </c>
      <c r="I350" t="s">
        <v>44</v>
      </c>
      <c r="J350" t="s">
        <v>22</v>
      </c>
      <c r="K350" t="s">
        <v>17</v>
      </c>
      <c r="L350">
        <f>F349*G349*(1-H349)</f>
        <v>1358.3</v>
      </c>
    </row>
    <row r="351" spans="1:12">
      <c r="A351" t="s">
        <v>671</v>
      </c>
      <c r="B351" s="1">
        <v>46291</v>
      </c>
      <c r="C351" t="s">
        <v>419</v>
      </c>
      <c r="D351" t="s">
        <v>62</v>
      </c>
      <c r="E351" t="s">
        <v>27</v>
      </c>
      <c r="F351">
        <v>5</v>
      </c>
      <c r="G351">
        <v>499</v>
      </c>
      <c r="H351">
        <v>0.15</v>
      </c>
      <c r="I351" t="s">
        <v>50</v>
      </c>
      <c r="J351" t="s">
        <v>16</v>
      </c>
      <c r="K351" t="s">
        <v>17</v>
      </c>
      <c r="L351">
        <f>F350*G350*(1-H350)</f>
        <v>849.15</v>
      </c>
    </row>
    <row r="352" spans="1:12">
      <c r="A352" t="s">
        <v>672</v>
      </c>
      <c r="B352" s="1">
        <v>46073</v>
      </c>
      <c r="C352" t="s">
        <v>673</v>
      </c>
      <c r="D352" t="s">
        <v>26</v>
      </c>
      <c r="E352" t="s">
        <v>21</v>
      </c>
      <c r="F352">
        <v>5</v>
      </c>
      <c r="G352">
        <v>499</v>
      </c>
      <c r="H352">
        <v>0</v>
      </c>
      <c r="I352" t="s">
        <v>32</v>
      </c>
      <c r="J352" t="s">
        <v>22</v>
      </c>
      <c r="K352" t="s">
        <v>17</v>
      </c>
      <c r="L352">
        <f>F351*G351*(1-H351)</f>
        <v>2120.75</v>
      </c>
    </row>
    <row r="353" spans="1:12">
      <c r="A353" t="s">
        <v>674</v>
      </c>
      <c r="B353" s="1">
        <v>46158</v>
      </c>
      <c r="C353" t="s">
        <v>675</v>
      </c>
      <c r="D353" t="s">
        <v>43</v>
      </c>
      <c r="E353" t="s">
        <v>21</v>
      </c>
      <c r="F353">
        <v>4</v>
      </c>
      <c r="G353">
        <v>7999</v>
      </c>
      <c r="H353">
        <v>0.15</v>
      </c>
      <c r="I353" t="s">
        <v>50</v>
      </c>
      <c r="J353" t="s">
        <v>16</v>
      </c>
      <c r="K353" t="s">
        <v>37</v>
      </c>
      <c r="L353">
        <f>F352*G352*(1-H352)</f>
        <v>2495</v>
      </c>
    </row>
    <row r="354" spans="1:12">
      <c r="A354" t="s">
        <v>676</v>
      </c>
      <c r="B354" s="1">
        <v>46053</v>
      </c>
      <c r="C354" t="s">
        <v>677</v>
      </c>
      <c r="D354" t="s">
        <v>20</v>
      </c>
      <c r="E354" t="s">
        <v>27</v>
      </c>
      <c r="F354">
        <v>1</v>
      </c>
      <c r="G354">
        <v>999</v>
      </c>
      <c r="H354">
        <v>0.15</v>
      </c>
      <c r="I354" t="s">
        <v>32</v>
      </c>
      <c r="J354" t="s">
        <v>51</v>
      </c>
      <c r="K354" t="s">
        <v>17</v>
      </c>
      <c r="L354">
        <f>F353*G353*(1-H353)</f>
        <v>27196.6</v>
      </c>
    </row>
    <row r="355" spans="1:12">
      <c r="A355" t="s">
        <v>678</v>
      </c>
      <c r="B355" s="1">
        <v>46122</v>
      </c>
      <c r="C355" t="s">
        <v>394</v>
      </c>
      <c r="D355" t="s">
        <v>31</v>
      </c>
      <c r="E355" t="s">
        <v>40</v>
      </c>
      <c r="F355">
        <v>1</v>
      </c>
      <c r="G355">
        <v>4999</v>
      </c>
      <c r="H355">
        <v>0.15</v>
      </c>
      <c r="I355" t="s">
        <v>50</v>
      </c>
      <c r="J355" t="s">
        <v>28</v>
      </c>
      <c r="K355" t="s">
        <v>17</v>
      </c>
      <c r="L355">
        <f>F354*G354*(1-H354)</f>
        <v>849.15</v>
      </c>
    </row>
    <row r="356" spans="1:12">
      <c r="A356" t="s">
        <v>679</v>
      </c>
      <c r="B356" s="1">
        <v>46267</v>
      </c>
      <c r="C356" t="s">
        <v>680</v>
      </c>
      <c r="D356" t="s">
        <v>59</v>
      </c>
      <c r="E356" t="s">
        <v>14</v>
      </c>
      <c r="F356">
        <v>4</v>
      </c>
      <c r="G356">
        <v>499</v>
      </c>
      <c r="H356">
        <v>0.15</v>
      </c>
      <c r="I356" t="s">
        <v>32</v>
      </c>
      <c r="J356" t="s">
        <v>28</v>
      </c>
      <c r="K356" t="s">
        <v>37</v>
      </c>
      <c r="L356">
        <f>F355*G355*(1-H355)</f>
        <v>4249.1499999999996</v>
      </c>
    </row>
    <row r="357" spans="1:12">
      <c r="A357" t="s">
        <v>681</v>
      </c>
      <c r="B357" s="1">
        <v>46082</v>
      </c>
      <c r="C357" t="s">
        <v>261</v>
      </c>
      <c r="D357" t="s">
        <v>31</v>
      </c>
      <c r="E357" t="s">
        <v>21</v>
      </c>
      <c r="F357">
        <v>5</v>
      </c>
      <c r="G357">
        <v>799</v>
      </c>
      <c r="H357">
        <v>0</v>
      </c>
      <c r="I357" t="s">
        <v>47</v>
      </c>
      <c r="J357" t="s">
        <v>16</v>
      </c>
      <c r="K357" t="s">
        <v>17</v>
      </c>
      <c r="L357">
        <f>F356*G356*(1-H356)</f>
        <v>1696.6</v>
      </c>
    </row>
    <row r="358" spans="1:12">
      <c r="A358" t="s">
        <v>682</v>
      </c>
      <c r="B358" s="1">
        <v>46118</v>
      </c>
      <c r="C358" t="s">
        <v>683</v>
      </c>
      <c r="D358" t="s">
        <v>31</v>
      </c>
      <c r="E358" t="s">
        <v>35</v>
      </c>
      <c r="F358">
        <v>5</v>
      </c>
      <c r="G358">
        <v>499</v>
      </c>
      <c r="H358">
        <v>0.15</v>
      </c>
      <c r="I358" t="s">
        <v>47</v>
      </c>
      <c r="J358" t="s">
        <v>51</v>
      </c>
      <c r="K358" t="s">
        <v>37</v>
      </c>
      <c r="L358">
        <f>F357*G357*(1-H357)</f>
        <v>3995</v>
      </c>
    </row>
    <row r="359" spans="1:12">
      <c r="A359" t="s">
        <v>684</v>
      </c>
      <c r="B359" s="1">
        <v>46176</v>
      </c>
      <c r="C359" t="s">
        <v>685</v>
      </c>
      <c r="D359" t="s">
        <v>13</v>
      </c>
      <c r="E359" t="s">
        <v>21</v>
      </c>
      <c r="F359">
        <v>4</v>
      </c>
      <c r="G359">
        <v>799</v>
      </c>
      <c r="H359">
        <v>0.05</v>
      </c>
      <c r="I359" t="s">
        <v>47</v>
      </c>
      <c r="J359" t="s">
        <v>51</v>
      </c>
      <c r="K359" t="s">
        <v>17</v>
      </c>
      <c r="L359">
        <f>F358*G358*(1-H358)</f>
        <v>2120.75</v>
      </c>
    </row>
    <row r="360" spans="1:12">
      <c r="A360" t="s">
        <v>686</v>
      </c>
      <c r="B360" s="1">
        <v>46271</v>
      </c>
      <c r="C360" t="s">
        <v>452</v>
      </c>
      <c r="D360" t="s">
        <v>26</v>
      </c>
      <c r="E360" t="s">
        <v>21</v>
      </c>
      <c r="F360">
        <v>1</v>
      </c>
      <c r="G360">
        <v>7999</v>
      </c>
      <c r="H360">
        <v>0</v>
      </c>
      <c r="I360" t="s">
        <v>50</v>
      </c>
      <c r="J360" t="s">
        <v>51</v>
      </c>
      <c r="K360" t="s">
        <v>23</v>
      </c>
      <c r="L360">
        <f>F359*G359*(1-H359)</f>
        <v>3036.2</v>
      </c>
    </row>
    <row r="361" spans="1:12">
      <c r="A361" t="s">
        <v>687</v>
      </c>
      <c r="B361" s="1">
        <v>46149</v>
      </c>
      <c r="C361" t="s">
        <v>688</v>
      </c>
      <c r="D361" t="s">
        <v>59</v>
      </c>
      <c r="E361" t="s">
        <v>27</v>
      </c>
      <c r="F361">
        <v>5</v>
      </c>
      <c r="G361">
        <v>4999</v>
      </c>
      <c r="H361">
        <v>0.15</v>
      </c>
      <c r="I361" t="s">
        <v>32</v>
      </c>
      <c r="J361" t="s">
        <v>36</v>
      </c>
      <c r="K361" t="s">
        <v>17</v>
      </c>
      <c r="L361">
        <f>F360*G360*(1-H360)</f>
        <v>7999</v>
      </c>
    </row>
    <row r="362" spans="1:12">
      <c r="A362" t="s">
        <v>689</v>
      </c>
      <c r="B362" s="1">
        <v>46229</v>
      </c>
      <c r="C362" t="s">
        <v>690</v>
      </c>
      <c r="D362" t="s">
        <v>78</v>
      </c>
      <c r="E362" t="s">
        <v>27</v>
      </c>
      <c r="F362">
        <v>2</v>
      </c>
      <c r="G362">
        <v>2499</v>
      </c>
      <c r="H362">
        <v>0.1</v>
      </c>
      <c r="I362" t="s">
        <v>50</v>
      </c>
      <c r="J362" t="s">
        <v>28</v>
      </c>
      <c r="K362" t="s">
        <v>37</v>
      </c>
      <c r="L362">
        <f>F361*G361*(1-H361)</f>
        <v>21245.75</v>
      </c>
    </row>
    <row r="363" spans="1:12">
      <c r="A363" t="s">
        <v>691</v>
      </c>
      <c r="B363" s="1">
        <v>46090</v>
      </c>
      <c r="C363" t="s">
        <v>247</v>
      </c>
      <c r="D363" t="s">
        <v>59</v>
      </c>
      <c r="E363" t="s">
        <v>21</v>
      </c>
      <c r="F363">
        <v>2</v>
      </c>
      <c r="G363">
        <v>499</v>
      </c>
      <c r="H363">
        <v>0.15</v>
      </c>
      <c r="I363" t="s">
        <v>50</v>
      </c>
      <c r="J363" t="s">
        <v>28</v>
      </c>
      <c r="K363" t="s">
        <v>17</v>
      </c>
      <c r="L363">
        <f>F362*G362*(1-H362)</f>
        <v>4498.2</v>
      </c>
    </row>
    <row r="364" spans="1:12">
      <c r="A364" t="s">
        <v>692</v>
      </c>
      <c r="B364" s="1">
        <v>46272</v>
      </c>
      <c r="C364" t="s">
        <v>267</v>
      </c>
      <c r="D364" t="s">
        <v>20</v>
      </c>
      <c r="E364" t="s">
        <v>14</v>
      </c>
      <c r="F364">
        <v>2</v>
      </c>
      <c r="G364">
        <v>1499</v>
      </c>
      <c r="H364">
        <v>0</v>
      </c>
      <c r="I364" t="s">
        <v>47</v>
      </c>
      <c r="J364" t="s">
        <v>28</v>
      </c>
      <c r="K364" t="s">
        <v>17</v>
      </c>
      <c r="L364">
        <f>F363*G363*(1-H363)</f>
        <v>848.3</v>
      </c>
    </row>
    <row r="365" spans="1:12">
      <c r="A365" t="s">
        <v>693</v>
      </c>
      <c r="B365" s="1">
        <v>46046</v>
      </c>
      <c r="C365" t="s">
        <v>694</v>
      </c>
      <c r="D365" t="s">
        <v>56</v>
      </c>
      <c r="E365" t="s">
        <v>35</v>
      </c>
      <c r="F365">
        <v>2</v>
      </c>
      <c r="G365">
        <v>1999</v>
      </c>
      <c r="H365">
        <v>0</v>
      </c>
      <c r="I365" t="s">
        <v>50</v>
      </c>
      <c r="J365" t="s">
        <v>22</v>
      </c>
      <c r="K365" t="s">
        <v>17</v>
      </c>
      <c r="L365">
        <f>F364*G364*(1-H364)</f>
        <v>2998</v>
      </c>
    </row>
    <row r="366" spans="1:12">
      <c r="A366" t="s">
        <v>695</v>
      </c>
      <c r="B366" s="1">
        <v>46088</v>
      </c>
      <c r="C366" t="s">
        <v>494</v>
      </c>
      <c r="D366" t="s">
        <v>56</v>
      </c>
      <c r="E366" t="s">
        <v>35</v>
      </c>
      <c r="F366">
        <v>5</v>
      </c>
      <c r="G366">
        <v>7999</v>
      </c>
      <c r="H366">
        <v>0</v>
      </c>
      <c r="I366" t="s">
        <v>47</v>
      </c>
      <c r="J366" t="s">
        <v>22</v>
      </c>
      <c r="K366" t="s">
        <v>17</v>
      </c>
      <c r="L366">
        <f>F365*G365*(1-H365)</f>
        <v>3998</v>
      </c>
    </row>
    <row r="367" spans="1:12">
      <c r="A367" t="s">
        <v>696</v>
      </c>
      <c r="B367" s="1">
        <v>46085</v>
      </c>
      <c r="C367" t="s">
        <v>697</v>
      </c>
      <c r="D367" t="s">
        <v>71</v>
      </c>
      <c r="E367" t="s">
        <v>35</v>
      </c>
      <c r="F367">
        <v>5</v>
      </c>
      <c r="G367">
        <v>1999</v>
      </c>
      <c r="H367">
        <v>0.05</v>
      </c>
      <c r="I367" t="s">
        <v>47</v>
      </c>
      <c r="J367" t="s">
        <v>28</v>
      </c>
      <c r="K367" t="s">
        <v>17</v>
      </c>
      <c r="L367">
        <f>F366*G366*(1-H366)</f>
        <v>39995</v>
      </c>
    </row>
    <row r="368" spans="1:12">
      <c r="A368" t="s">
        <v>698</v>
      </c>
      <c r="B368" s="1">
        <v>46188</v>
      </c>
      <c r="C368" t="s">
        <v>699</v>
      </c>
      <c r="D368" t="s">
        <v>31</v>
      </c>
      <c r="E368" t="s">
        <v>27</v>
      </c>
      <c r="F368">
        <v>3</v>
      </c>
      <c r="G368">
        <v>599</v>
      </c>
      <c r="H368">
        <v>0.15</v>
      </c>
      <c r="I368" t="s">
        <v>15</v>
      </c>
      <c r="J368" t="s">
        <v>36</v>
      </c>
      <c r="K368" t="s">
        <v>37</v>
      </c>
      <c r="L368">
        <f>F367*G367*(1-H367)</f>
        <v>9495.25</v>
      </c>
    </row>
    <row r="369" spans="1:12">
      <c r="A369" t="s">
        <v>700</v>
      </c>
      <c r="B369" s="1">
        <v>46195</v>
      </c>
      <c r="C369" t="s">
        <v>642</v>
      </c>
      <c r="D369" t="s">
        <v>13</v>
      </c>
      <c r="E369" t="s">
        <v>14</v>
      </c>
      <c r="F369">
        <v>4</v>
      </c>
      <c r="G369">
        <v>2499</v>
      </c>
      <c r="H369">
        <v>0.05</v>
      </c>
      <c r="I369" t="s">
        <v>15</v>
      </c>
      <c r="J369" t="s">
        <v>22</v>
      </c>
      <c r="K369" t="s">
        <v>23</v>
      </c>
      <c r="L369">
        <f>F368*G368*(1-H368)</f>
        <v>1527.45</v>
      </c>
    </row>
    <row r="370" spans="1:12">
      <c r="A370" t="s">
        <v>701</v>
      </c>
      <c r="B370" s="1">
        <v>46111</v>
      </c>
      <c r="C370" t="s">
        <v>606</v>
      </c>
      <c r="D370" t="s">
        <v>71</v>
      </c>
      <c r="E370" t="s">
        <v>40</v>
      </c>
      <c r="F370">
        <v>4</v>
      </c>
      <c r="G370">
        <v>999</v>
      </c>
      <c r="H370">
        <v>0.15</v>
      </c>
      <c r="I370" t="s">
        <v>44</v>
      </c>
      <c r="J370" t="s">
        <v>51</v>
      </c>
      <c r="K370" t="s">
        <v>23</v>
      </c>
      <c r="L370">
        <f>F369*G369*(1-H369)</f>
        <v>9496.1999999999989</v>
      </c>
    </row>
    <row r="371" spans="1:12">
      <c r="A371" t="s">
        <v>702</v>
      </c>
      <c r="B371" s="1">
        <v>46101</v>
      </c>
      <c r="C371" t="s">
        <v>703</v>
      </c>
      <c r="D371" t="s">
        <v>13</v>
      </c>
      <c r="E371" t="s">
        <v>27</v>
      </c>
      <c r="F371">
        <v>2</v>
      </c>
      <c r="G371">
        <v>1299</v>
      </c>
      <c r="H371">
        <v>0.15</v>
      </c>
      <c r="I371" t="s">
        <v>15</v>
      </c>
      <c r="J371" t="s">
        <v>16</v>
      </c>
      <c r="K371" t="s">
        <v>17</v>
      </c>
      <c r="L371">
        <f>F370*G370*(1-H370)</f>
        <v>3396.6</v>
      </c>
    </row>
    <row r="372" spans="1:12">
      <c r="A372" t="s">
        <v>704</v>
      </c>
      <c r="B372" s="1">
        <v>46241</v>
      </c>
      <c r="C372" t="s">
        <v>705</v>
      </c>
      <c r="D372" t="s">
        <v>20</v>
      </c>
      <c r="E372" t="s">
        <v>14</v>
      </c>
      <c r="F372">
        <v>2</v>
      </c>
      <c r="G372">
        <v>499</v>
      </c>
      <c r="H372">
        <v>0</v>
      </c>
      <c r="I372" t="s">
        <v>47</v>
      </c>
      <c r="J372" t="s">
        <v>16</v>
      </c>
      <c r="K372" t="s">
        <v>37</v>
      </c>
      <c r="L372">
        <f>F371*G371*(1-H371)</f>
        <v>2208.2999999999997</v>
      </c>
    </row>
    <row r="373" spans="1:12">
      <c r="A373" t="s">
        <v>706</v>
      </c>
      <c r="B373" s="1">
        <v>46087</v>
      </c>
      <c r="C373" t="s">
        <v>73</v>
      </c>
      <c r="D373" t="s">
        <v>13</v>
      </c>
      <c r="E373" t="s">
        <v>35</v>
      </c>
      <c r="F373">
        <v>2</v>
      </c>
      <c r="G373">
        <v>1499</v>
      </c>
      <c r="H373">
        <v>0.05</v>
      </c>
      <c r="I373" t="s">
        <v>47</v>
      </c>
      <c r="J373" t="s">
        <v>51</v>
      </c>
      <c r="K373" t="s">
        <v>17</v>
      </c>
      <c r="L373">
        <f>F372*G372*(1-H372)</f>
        <v>998</v>
      </c>
    </row>
    <row r="374" spans="1:12">
      <c r="A374" t="s">
        <v>707</v>
      </c>
      <c r="B374" s="1">
        <v>46270</v>
      </c>
      <c r="C374" t="s">
        <v>651</v>
      </c>
      <c r="D374" t="s">
        <v>59</v>
      </c>
      <c r="E374" t="s">
        <v>21</v>
      </c>
      <c r="F374">
        <v>3</v>
      </c>
      <c r="G374">
        <v>999</v>
      </c>
      <c r="H374">
        <v>0.05</v>
      </c>
      <c r="I374" t="s">
        <v>44</v>
      </c>
      <c r="J374" t="s">
        <v>36</v>
      </c>
      <c r="K374" t="s">
        <v>17</v>
      </c>
      <c r="L374">
        <f>F373*G373*(1-H373)</f>
        <v>2848.1</v>
      </c>
    </row>
    <row r="375" spans="1:12">
      <c r="A375" t="s">
        <v>708</v>
      </c>
      <c r="B375" s="1">
        <v>46193</v>
      </c>
      <c r="C375" t="s">
        <v>709</v>
      </c>
      <c r="D375" t="s">
        <v>13</v>
      </c>
      <c r="E375" t="s">
        <v>21</v>
      </c>
      <c r="F375">
        <v>1</v>
      </c>
      <c r="G375">
        <v>799</v>
      </c>
      <c r="H375">
        <v>0</v>
      </c>
      <c r="I375" t="s">
        <v>50</v>
      </c>
      <c r="J375" t="s">
        <v>36</v>
      </c>
      <c r="K375" t="s">
        <v>37</v>
      </c>
      <c r="L375">
        <f>F374*G374*(1-H374)</f>
        <v>2847.15</v>
      </c>
    </row>
    <row r="376" spans="1:12">
      <c r="A376" t="s">
        <v>710</v>
      </c>
      <c r="B376" s="1">
        <v>46072</v>
      </c>
      <c r="C376" t="s">
        <v>711</v>
      </c>
      <c r="D376" t="s">
        <v>71</v>
      </c>
      <c r="E376" t="s">
        <v>21</v>
      </c>
      <c r="F376">
        <v>2</v>
      </c>
      <c r="G376">
        <v>1999</v>
      </c>
      <c r="H376">
        <v>0</v>
      </c>
      <c r="I376" t="s">
        <v>32</v>
      </c>
      <c r="J376" t="s">
        <v>28</v>
      </c>
      <c r="K376" t="s">
        <v>23</v>
      </c>
      <c r="L376">
        <f>F375*G375*(1-H375)</f>
        <v>799</v>
      </c>
    </row>
    <row r="377" spans="1:12">
      <c r="A377" t="s">
        <v>712</v>
      </c>
      <c r="B377" s="1">
        <v>46071</v>
      </c>
      <c r="C377" t="s">
        <v>713</v>
      </c>
      <c r="D377" t="s">
        <v>13</v>
      </c>
      <c r="E377" t="s">
        <v>35</v>
      </c>
      <c r="F377">
        <v>1</v>
      </c>
      <c r="G377">
        <v>999</v>
      </c>
      <c r="H377">
        <v>0.05</v>
      </c>
      <c r="I377" t="s">
        <v>32</v>
      </c>
      <c r="J377" t="s">
        <v>36</v>
      </c>
      <c r="K377" t="s">
        <v>37</v>
      </c>
      <c r="L377">
        <f>F376*G376*(1-H376)</f>
        <v>3998</v>
      </c>
    </row>
    <row r="378" spans="1:12">
      <c r="A378" t="s">
        <v>714</v>
      </c>
      <c r="B378" s="1">
        <v>46245</v>
      </c>
      <c r="C378" t="s">
        <v>715</v>
      </c>
      <c r="D378" t="s">
        <v>71</v>
      </c>
      <c r="E378" t="s">
        <v>35</v>
      </c>
      <c r="F378">
        <v>1</v>
      </c>
      <c r="G378">
        <v>999</v>
      </c>
      <c r="H378">
        <v>0.05</v>
      </c>
      <c r="I378" t="s">
        <v>15</v>
      </c>
      <c r="J378" t="s">
        <v>16</v>
      </c>
      <c r="K378" t="s">
        <v>37</v>
      </c>
      <c r="L378">
        <f>F377*G377*(1-H377)</f>
        <v>949.05</v>
      </c>
    </row>
    <row r="379" spans="1:12">
      <c r="A379" t="s">
        <v>716</v>
      </c>
      <c r="B379" s="1">
        <v>46027</v>
      </c>
      <c r="C379" t="s">
        <v>717</v>
      </c>
      <c r="D379" t="s">
        <v>56</v>
      </c>
      <c r="E379" t="s">
        <v>27</v>
      </c>
      <c r="F379">
        <v>2</v>
      </c>
      <c r="G379">
        <v>2499</v>
      </c>
      <c r="H379">
        <v>0.15</v>
      </c>
      <c r="I379" t="s">
        <v>32</v>
      </c>
      <c r="J379" t="s">
        <v>51</v>
      </c>
      <c r="K379" t="s">
        <v>17</v>
      </c>
      <c r="L379">
        <f>F378*G378*(1-H378)</f>
        <v>949.05</v>
      </c>
    </row>
    <row r="380" spans="1:12">
      <c r="A380" t="s">
        <v>718</v>
      </c>
      <c r="B380" s="1">
        <v>46204</v>
      </c>
      <c r="C380" t="s">
        <v>263</v>
      </c>
      <c r="D380" t="s">
        <v>62</v>
      </c>
      <c r="E380" t="s">
        <v>21</v>
      </c>
      <c r="F380">
        <v>4</v>
      </c>
      <c r="G380">
        <v>799</v>
      </c>
      <c r="H380">
        <v>0.15</v>
      </c>
      <c r="I380" t="s">
        <v>47</v>
      </c>
      <c r="J380" t="s">
        <v>36</v>
      </c>
      <c r="K380" t="s">
        <v>37</v>
      </c>
      <c r="L380">
        <f>F379*G379*(1-H379)</f>
        <v>4248.3</v>
      </c>
    </row>
    <row r="381" spans="1:12">
      <c r="A381" t="s">
        <v>719</v>
      </c>
      <c r="B381" s="1">
        <v>46270</v>
      </c>
      <c r="C381" t="s">
        <v>720</v>
      </c>
      <c r="D381" t="s">
        <v>20</v>
      </c>
      <c r="E381" t="s">
        <v>35</v>
      </c>
      <c r="F381">
        <v>2</v>
      </c>
      <c r="G381">
        <v>499</v>
      </c>
      <c r="H381">
        <v>0.1</v>
      </c>
      <c r="I381" t="s">
        <v>44</v>
      </c>
      <c r="J381" t="s">
        <v>36</v>
      </c>
      <c r="K381" t="s">
        <v>17</v>
      </c>
      <c r="L381">
        <f>F380*G380*(1-H380)</f>
        <v>2716.6</v>
      </c>
    </row>
    <row r="382" spans="1:12">
      <c r="A382" t="s">
        <v>721</v>
      </c>
      <c r="B382" s="1">
        <v>46249</v>
      </c>
      <c r="C382" t="s">
        <v>722</v>
      </c>
      <c r="D382" t="s">
        <v>62</v>
      </c>
      <c r="E382" t="s">
        <v>27</v>
      </c>
      <c r="F382">
        <v>1</v>
      </c>
      <c r="G382">
        <v>799</v>
      </c>
      <c r="H382">
        <v>0</v>
      </c>
      <c r="I382" t="s">
        <v>44</v>
      </c>
      <c r="J382" t="s">
        <v>22</v>
      </c>
      <c r="K382" t="s">
        <v>17</v>
      </c>
      <c r="L382">
        <f>F381*G381*(1-H381)</f>
        <v>898.2</v>
      </c>
    </row>
    <row r="383" spans="1:12">
      <c r="A383" t="s">
        <v>723</v>
      </c>
      <c r="B383" s="1">
        <v>46286</v>
      </c>
      <c r="C383" t="s">
        <v>685</v>
      </c>
      <c r="D383" t="s">
        <v>59</v>
      </c>
      <c r="E383" t="s">
        <v>27</v>
      </c>
      <c r="F383">
        <v>4</v>
      </c>
      <c r="G383">
        <v>1999</v>
      </c>
      <c r="H383">
        <v>0.15</v>
      </c>
      <c r="I383" t="s">
        <v>50</v>
      </c>
      <c r="J383" t="s">
        <v>51</v>
      </c>
      <c r="K383" t="s">
        <v>37</v>
      </c>
      <c r="L383">
        <f>F382*G382*(1-H382)</f>
        <v>799</v>
      </c>
    </row>
    <row r="384" spans="1:12">
      <c r="A384" t="s">
        <v>724</v>
      </c>
      <c r="B384" s="1">
        <v>46168</v>
      </c>
      <c r="C384" t="s">
        <v>725</v>
      </c>
      <c r="D384" t="s">
        <v>59</v>
      </c>
      <c r="E384" t="s">
        <v>21</v>
      </c>
      <c r="F384">
        <v>3</v>
      </c>
      <c r="G384">
        <v>1499</v>
      </c>
      <c r="H384">
        <v>0.15</v>
      </c>
      <c r="I384" t="s">
        <v>50</v>
      </c>
      <c r="J384" t="s">
        <v>22</v>
      </c>
      <c r="K384" t="s">
        <v>37</v>
      </c>
      <c r="L384">
        <f>F383*G383*(1-H383)</f>
        <v>6796.5999999999995</v>
      </c>
    </row>
    <row r="385" spans="1:12">
      <c r="A385" t="s">
        <v>726</v>
      </c>
      <c r="B385" s="1">
        <v>46155</v>
      </c>
      <c r="C385" t="s">
        <v>727</v>
      </c>
      <c r="D385" t="s">
        <v>43</v>
      </c>
      <c r="E385" t="s">
        <v>35</v>
      </c>
      <c r="F385">
        <v>1</v>
      </c>
      <c r="G385">
        <v>499</v>
      </c>
      <c r="H385">
        <v>0</v>
      </c>
      <c r="I385" t="s">
        <v>32</v>
      </c>
      <c r="J385" t="s">
        <v>51</v>
      </c>
      <c r="K385" t="s">
        <v>17</v>
      </c>
      <c r="L385">
        <f>F384*G384*(1-H384)</f>
        <v>3822.45</v>
      </c>
    </row>
    <row r="386" spans="1:12">
      <c r="A386" t="s">
        <v>728</v>
      </c>
      <c r="B386" s="1">
        <v>46123</v>
      </c>
      <c r="C386" t="s">
        <v>729</v>
      </c>
      <c r="D386" t="s">
        <v>71</v>
      </c>
      <c r="E386" t="s">
        <v>27</v>
      </c>
      <c r="F386">
        <v>1</v>
      </c>
      <c r="G386">
        <v>1299</v>
      </c>
      <c r="H386">
        <v>0</v>
      </c>
      <c r="I386" t="s">
        <v>50</v>
      </c>
      <c r="J386" t="s">
        <v>16</v>
      </c>
      <c r="K386" t="s">
        <v>37</v>
      </c>
      <c r="L386">
        <f>F385*G385*(1-H385)</f>
        <v>499</v>
      </c>
    </row>
    <row r="387" spans="1:12">
      <c r="A387" t="s">
        <v>730</v>
      </c>
      <c r="B387" s="1">
        <v>46249</v>
      </c>
      <c r="C387" t="s">
        <v>148</v>
      </c>
      <c r="D387" t="s">
        <v>71</v>
      </c>
      <c r="E387" t="s">
        <v>14</v>
      </c>
      <c r="F387">
        <v>1</v>
      </c>
      <c r="G387">
        <v>7999</v>
      </c>
      <c r="H387">
        <v>0.15</v>
      </c>
      <c r="I387" t="s">
        <v>44</v>
      </c>
      <c r="J387" t="s">
        <v>51</v>
      </c>
      <c r="K387" t="s">
        <v>17</v>
      </c>
      <c r="L387">
        <f>F386*G386*(1-H386)</f>
        <v>1299</v>
      </c>
    </row>
    <row r="388" spans="1:12">
      <c r="A388" t="s">
        <v>731</v>
      </c>
      <c r="B388" s="1">
        <v>46200</v>
      </c>
      <c r="C388" t="s">
        <v>287</v>
      </c>
      <c r="D388" t="s">
        <v>20</v>
      </c>
      <c r="E388" t="s">
        <v>40</v>
      </c>
      <c r="F388">
        <v>4</v>
      </c>
      <c r="G388">
        <v>799</v>
      </c>
      <c r="H388">
        <v>0</v>
      </c>
      <c r="I388" t="s">
        <v>15</v>
      </c>
      <c r="J388" t="s">
        <v>28</v>
      </c>
      <c r="K388" t="s">
        <v>17</v>
      </c>
      <c r="L388">
        <f>F387*G387*(1-H387)</f>
        <v>6799.15</v>
      </c>
    </row>
    <row r="389" spans="1:12">
      <c r="A389" t="s">
        <v>732</v>
      </c>
      <c r="B389" s="1">
        <v>46077</v>
      </c>
      <c r="C389" t="s">
        <v>263</v>
      </c>
      <c r="D389" t="s">
        <v>71</v>
      </c>
      <c r="E389" t="s">
        <v>40</v>
      </c>
      <c r="F389">
        <v>4</v>
      </c>
      <c r="G389">
        <v>1999</v>
      </c>
      <c r="H389">
        <v>0</v>
      </c>
      <c r="I389" t="s">
        <v>44</v>
      </c>
      <c r="J389" t="s">
        <v>28</v>
      </c>
      <c r="K389" t="s">
        <v>37</v>
      </c>
      <c r="L389">
        <f>F388*G388*(1-H388)</f>
        <v>3196</v>
      </c>
    </row>
    <row r="390" spans="1:12">
      <c r="A390" t="s">
        <v>733</v>
      </c>
      <c r="B390" s="1">
        <v>46155</v>
      </c>
      <c r="C390" t="s">
        <v>110</v>
      </c>
      <c r="D390" t="s">
        <v>56</v>
      </c>
      <c r="E390" t="s">
        <v>35</v>
      </c>
      <c r="F390">
        <v>1</v>
      </c>
      <c r="G390">
        <v>7999</v>
      </c>
      <c r="H390">
        <v>0</v>
      </c>
      <c r="I390" t="s">
        <v>15</v>
      </c>
      <c r="J390" t="s">
        <v>28</v>
      </c>
      <c r="K390" t="s">
        <v>37</v>
      </c>
      <c r="L390">
        <f>F389*G389*(1-H389)</f>
        <v>7996</v>
      </c>
    </row>
    <row r="391" spans="1:12">
      <c r="A391" t="s">
        <v>734</v>
      </c>
      <c r="B391" s="1">
        <v>46248</v>
      </c>
      <c r="C391" t="s">
        <v>191</v>
      </c>
      <c r="D391" t="s">
        <v>26</v>
      </c>
      <c r="E391" t="s">
        <v>21</v>
      </c>
      <c r="F391">
        <v>3</v>
      </c>
      <c r="G391">
        <v>2499</v>
      </c>
      <c r="H391">
        <v>0.15</v>
      </c>
      <c r="I391" t="s">
        <v>32</v>
      </c>
      <c r="J391" t="s">
        <v>22</v>
      </c>
      <c r="K391" t="s">
        <v>17</v>
      </c>
      <c r="L391">
        <f>F390*G390*(1-H390)</f>
        <v>7999</v>
      </c>
    </row>
    <row r="392" spans="1:12">
      <c r="A392" t="s">
        <v>735</v>
      </c>
      <c r="B392" s="1">
        <v>46207</v>
      </c>
      <c r="C392" t="s">
        <v>736</v>
      </c>
      <c r="D392" t="s">
        <v>62</v>
      </c>
      <c r="E392" t="s">
        <v>21</v>
      </c>
      <c r="F392">
        <v>2</v>
      </c>
      <c r="G392">
        <v>599</v>
      </c>
      <c r="H392">
        <v>0.15</v>
      </c>
      <c r="I392" t="s">
        <v>32</v>
      </c>
      <c r="J392" t="s">
        <v>22</v>
      </c>
      <c r="K392" t="s">
        <v>17</v>
      </c>
      <c r="L392">
        <f>F391*G391*(1-H391)</f>
        <v>6372.45</v>
      </c>
    </row>
    <row r="393" spans="1:12">
      <c r="A393" t="s">
        <v>737</v>
      </c>
      <c r="B393" s="1">
        <v>46047</v>
      </c>
      <c r="C393" t="s">
        <v>275</v>
      </c>
      <c r="D393" t="s">
        <v>26</v>
      </c>
      <c r="E393" t="s">
        <v>21</v>
      </c>
      <c r="F393">
        <v>1</v>
      </c>
      <c r="G393">
        <v>799</v>
      </c>
      <c r="H393">
        <v>0</v>
      </c>
      <c r="I393" t="s">
        <v>47</v>
      </c>
      <c r="J393" t="s">
        <v>51</v>
      </c>
      <c r="K393" t="s">
        <v>37</v>
      </c>
      <c r="L393">
        <f>F392*G392*(1-H392)</f>
        <v>1018.3</v>
      </c>
    </row>
    <row r="394" spans="1:12">
      <c r="A394" t="s">
        <v>738</v>
      </c>
      <c r="B394" s="1">
        <v>46184</v>
      </c>
      <c r="C394" t="s">
        <v>251</v>
      </c>
      <c r="D394" t="s">
        <v>62</v>
      </c>
      <c r="E394" t="s">
        <v>27</v>
      </c>
      <c r="F394">
        <v>1</v>
      </c>
      <c r="G394">
        <v>2499</v>
      </c>
      <c r="H394">
        <v>0.1</v>
      </c>
      <c r="I394" t="s">
        <v>32</v>
      </c>
      <c r="J394" t="s">
        <v>36</v>
      </c>
      <c r="K394" t="s">
        <v>37</v>
      </c>
      <c r="L394">
        <f>F393*G393*(1-H393)</f>
        <v>799</v>
      </c>
    </row>
    <row r="395" spans="1:12">
      <c r="A395" t="s">
        <v>739</v>
      </c>
      <c r="B395" s="1">
        <v>46200</v>
      </c>
      <c r="C395" t="s">
        <v>88</v>
      </c>
      <c r="D395" t="s">
        <v>59</v>
      </c>
      <c r="E395" t="s">
        <v>35</v>
      </c>
      <c r="F395">
        <v>1</v>
      </c>
      <c r="G395">
        <v>599</v>
      </c>
      <c r="H395">
        <v>0</v>
      </c>
      <c r="I395" t="s">
        <v>44</v>
      </c>
      <c r="J395" t="s">
        <v>51</v>
      </c>
      <c r="K395" t="s">
        <v>37</v>
      </c>
      <c r="L395">
        <f>F394*G394*(1-H394)</f>
        <v>2249.1</v>
      </c>
    </row>
    <row r="396" spans="1:12">
      <c r="A396" t="s">
        <v>740</v>
      </c>
      <c r="B396" s="1">
        <v>46060</v>
      </c>
      <c r="C396" t="s">
        <v>741</v>
      </c>
      <c r="D396" t="s">
        <v>13</v>
      </c>
      <c r="E396" t="s">
        <v>27</v>
      </c>
      <c r="F396">
        <v>2</v>
      </c>
      <c r="G396">
        <v>1999</v>
      </c>
      <c r="H396">
        <v>0.05</v>
      </c>
      <c r="I396" t="s">
        <v>47</v>
      </c>
      <c r="J396" t="s">
        <v>51</v>
      </c>
      <c r="K396" t="s">
        <v>17</v>
      </c>
      <c r="L396">
        <f>F395*G395*(1-H395)</f>
        <v>599</v>
      </c>
    </row>
    <row r="397" spans="1:12">
      <c r="A397" t="s">
        <v>742</v>
      </c>
      <c r="B397" s="1">
        <v>46088</v>
      </c>
      <c r="C397" t="s">
        <v>743</v>
      </c>
      <c r="D397" t="s">
        <v>71</v>
      </c>
      <c r="E397" t="s">
        <v>40</v>
      </c>
      <c r="F397">
        <v>4</v>
      </c>
      <c r="G397">
        <v>4999</v>
      </c>
      <c r="H397">
        <v>0.15</v>
      </c>
      <c r="I397" t="s">
        <v>32</v>
      </c>
      <c r="J397" t="s">
        <v>22</v>
      </c>
      <c r="K397" t="s">
        <v>17</v>
      </c>
      <c r="L397">
        <f>F396*G396*(1-H396)</f>
        <v>3798.1</v>
      </c>
    </row>
    <row r="398" spans="1:12">
      <c r="A398" t="s">
        <v>744</v>
      </c>
      <c r="B398" s="1">
        <v>46067</v>
      </c>
      <c r="C398" t="s">
        <v>277</v>
      </c>
      <c r="D398" t="s">
        <v>62</v>
      </c>
      <c r="E398" t="s">
        <v>27</v>
      </c>
      <c r="F398">
        <v>5</v>
      </c>
      <c r="G398">
        <v>1499</v>
      </c>
      <c r="H398">
        <v>0.15</v>
      </c>
      <c r="I398" t="s">
        <v>50</v>
      </c>
      <c r="J398" t="s">
        <v>16</v>
      </c>
      <c r="K398" t="s">
        <v>17</v>
      </c>
      <c r="L398">
        <f>F397*G397*(1-H397)</f>
        <v>16996.599999999999</v>
      </c>
    </row>
    <row r="399" spans="1:12">
      <c r="A399" t="s">
        <v>745</v>
      </c>
      <c r="B399" s="1">
        <v>46094</v>
      </c>
      <c r="C399" t="s">
        <v>746</v>
      </c>
      <c r="D399" t="s">
        <v>20</v>
      </c>
      <c r="E399" t="s">
        <v>21</v>
      </c>
      <c r="F399">
        <v>2</v>
      </c>
      <c r="G399">
        <v>1999</v>
      </c>
      <c r="H399">
        <v>0.15</v>
      </c>
      <c r="I399" t="s">
        <v>50</v>
      </c>
      <c r="J399" t="s">
        <v>16</v>
      </c>
      <c r="K399" t="s">
        <v>17</v>
      </c>
      <c r="L399">
        <f>F398*G398*(1-H398)</f>
        <v>6370.75</v>
      </c>
    </row>
    <row r="400" spans="1:12">
      <c r="A400" t="s">
        <v>747</v>
      </c>
      <c r="B400" s="1">
        <v>46142</v>
      </c>
      <c r="C400" t="s">
        <v>213</v>
      </c>
      <c r="D400" t="s">
        <v>71</v>
      </c>
      <c r="E400" t="s">
        <v>27</v>
      </c>
      <c r="F400">
        <v>4</v>
      </c>
      <c r="G400">
        <v>999</v>
      </c>
      <c r="H400">
        <v>0.1</v>
      </c>
      <c r="I400" t="s">
        <v>32</v>
      </c>
      <c r="J400" t="s">
        <v>16</v>
      </c>
      <c r="K400" t="s">
        <v>17</v>
      </c>
      <c r="L400">
        <f>F399*G399*(1-H399)</f>
        <v>3398.2999999999997</v>
      </c>
    </row>
    <row r="401" spans="1:12">
      <c r="A401" t="s">
        <v>748</v>
      </c>
      <c r="B401" s="1">
        <v>46239</v>
      </c>
      <c r="C401" t="s">
        <v>749</v>
      </c>
      <c r="D401" t="s">
        <v>62</v>
      </c>
      <c r="E401" t="s">
        <v>35</v>
      </c>
      <c r="F401">
        <v>3</v>
      </c>
      <c r="G401">
        <v>499</v>
      </c>
      <c r="H401">
        <v>0</v>
      </c>
      <c r="I401" t="s">
        <v>15</v>
      </c>
      <c r="J401" t="s">
        <v>51</v>
      </c>
      <c r="K401" t="s">
        <v>17</v>
      </c>
      <c r="L401">
        <f>F400*G400*(1-H400)</f>
        <v>3596.4</v>
      </c>
    </row>
    <row r="402" spans="1:12">
      <c r="A402" t="s">
        <v>750</v>
      </c>
      <c r="B402" s="1">
        <v>46099</v>
      </c>
      <c r="C402" t="s">
        <v>751</v>
      </c>
      <c r="D402" t="s">
        <v>59</v>
      </c>
      <c r="E402" t="s">
        <v>21</v>
      </c>
      <c r="F402">
        <v>3</v>
      </c>
      <c r="G402">
        <v>799</v>
      </c>
      <c r="H402">
        <v>0</v>
      </c>
      <c r="I402" t="s">
        <v>15</v>
      </c>
      <c r="J402" t="s">
        <v>51</v>
      </c>
      <c r="K402" t="s">
        <v>37</v>
      </c>
      <c r="L402">
        <f>F401*G401*(1-H401)</f>
        <v>1497</v>
      </c>
    </row>
    <row r="403" spans="1:12">
      <c r="A403" t="s">
        <v>752</v>
      </c>
      <c r="B403" s="1">
        <v>46191</v>
      </c>
      <c r="C403" t="s">
        <v>753</v>
      </c>
      <c r="D403" t="s">
        <v>26</v>
      </c>
      <c r="E403" t="s">
        <v>35</v>
      </c>
      <c r="F403">
        <v>2</v>
      </c>
      <c r="G403">
        <v>2499</v>
      </c>
      <c r="H403">
        <v>0.1</v>
      </c>
      <c r="I403" t="s">
        <v>32</v>
      </c>
      <c r="J403" t="s">
        <v>16</v>
      </c>
      <c r="K403" t="s">
        <v>37</v>
      </c>
      <c r="L403">
        <f>F402*G402*(1-H402)</f>
        <v>2397</v>
      </c>
    </row>
    <row r="404" spans="1:12">
      <c r="A404" t="s">
        <v>754</v>
      </c>
      <c r="B404" s="1">
        <v>46053</v>
      </c>
      <c r="C404" t="s">
        <v>755</v>
      </c>
      <c r="D404" t="s">
        <v>78</v>
      </c>
      <c r="E404" t="s">
        <v>27</v>
      </c>
      <c r="F404">
        <v>1</v>
      </c>
      <c r="G404">
        <v>599</v>
      </c>
      <c r="H404">
        <v>0.1</v>
      </c>
      <c r="I404" t="s">
        <v>32</v>
      </c>
      <c r="J404" t="s">
        <v>51</v>
      </c>
      <c r="K404" t="s">
        <v>23</v>
      </c>
      <c r="L404">
        <f>F403*G403*(1-H403)</f>
        <v>4498.2</v>
      </c>
    </row>
    <row r="405" spans="1:12">
      <c r="A405" t="s">
        <v>756</v>
      </c>
      <c r="B405" s="1">
        <v>46028</v>
      </c>
      <c r="C405" t="s">
        <v>715</v>
      </c>
      <c r="D405" t="s">
        <v>78</v>
      </c>
      <c r="E405" t="s">
        <v>40</v>
      </c>
      <c r="F405">
        <v>5</v>
      </c>
      <c r="G405">
        <v>999</v>
      </c>
      <c r="H405">
        <v>0</v>
      </c>
      <c r="I405" t="s">
        <v>15</v>
      </c>
      <c r="J405" t="s">
        <v>28</v>
      </c>
      <c r="K405" t="s">
        <v>17</v>
      </c>
      <c r="L405">
        <f>F404*G404*(1-H404)</f>
        <v>539.1</v>
      </c>
    </row>
    <row r="406" spans="1:12">
      <c r="A406" t="s">
        <v>757</v>
      </c>
      <c r="B406" s="1">
        <v>46103</v>
      </c>
      <c r="C406" t="s">
        <v>545</v>
      </c>
      <c r="D406" t="s">
        <v>26</v>
      </c>
      <c r="E406" t="s">
        <v>35</v>
      </c>
      <c r="F406">
        <v>3</v>
      </c>
      <c r="G406">
        <v>1499</v>
      </c>
      <c r="H406">
        <v>0.1</v>
      </c>
      <c r="I406" t="s">
        <v>15</v>
      </c>
      <c r="J406" t="s">
        <v>28</v>
      </c>
      <c r="K406" t="s">
        <v>17</v>
      </c>
      <c r="L406">
        <f>F405*G405*(1-H405)</f>
        <v>4995</v>
      </c>
    </row>
    <row r="407" spans="1:12">
      <c r="A407" t="s">
        <v>758</v>
      </c>
      <c r="B407" s="1">
        <v>46127</v>
      </c>
      <c r="C407" t="s">
        <v>759</v>
      </c>
      <c r="D407" t="s">
        <v>62</v>
      </c>
      <c r="E407" t="s">
        <v>27</v>
      </c>
      <c r="F407">
        <v>1</v>
      </c>
      <c r="G407">
        <v>1499</v>
      </c>
      <c r="H407">
        <v>0</v>
      </c>
      <c r="I407" t="s">
        <v>32</v>
      </c>
      <c r="J407" t="s">
        <v>36</v>
      </c>
      <c r="K407" t="s">
        <v>17</v>
      </c>
      <c r="L407">
        <f>F406*G406*(1-H406)</f>
        <v>4047.3</v>
      </c>
    </row>
    <row r="408" spans="1:12">
      <c r="A408" t="s">
        <v>760</v>
      </c>
      <c r="B408" s="1">
        <v>46079</v>
      </c>
      <c r="C408" t="s">
        <v>98</v>
      </c>
      <c r="D408" t="s">
        <v>43</v>
      </c>
      <c r="E408" t="s">
        <v>14</v>
      </c>
      <c r="F408">
        <v>2</v>
      </c>
      <c r="G408">
        <v>499</v>
      </c>
      <c r="H408">
        <v>0</v>
      </c>
      <c r="I408" t="s">
        <v>32</v>
      </c>
      <c r="J408" t="s">
        <v>22</v>
      </c>
      <c r="K408" t="s">
        <v>37</v>
      </c>
      <c r="L408">
        <f>F407*G407*(1-H407)</f>
        <v>1499</v>
      </c>
    </row>
    <row r="409" spans="1:12">
      <c r="A409" t="s">
        <v>761</v>
      </c>
      <c r="B409" s="1">
        <v>46193</v>
      </c>
      <c r="C409" t="s">
        <v>594</v>
      </c>
      <c r="D409" t="s">
        <v>62</v>
      </c>
      <c r="E409" t="s">
        <v>40</v>
      </c>
      <c r="F409">
        <v>4</v>
      </c>
      <c r="G409">
        <v>599</v>
      </c>
      <c r="H409">
        <v>0.15</v>
      </c>
      <c r="I409" t="s">
        <v>15</v>
      </c>
      <c r="J409" t="s">
        <v>16</v>
      </c>
      <c r="K409" t="s">
        <v>17</v>
      </c>
      <c r="L409">
        <f>F408*G408*(1-H408)</f>
        <v>998</v>
      </c>
    </row>
    <row r="410" spans="1:12">
      <c r="A410" t="s">
        <v>762</v>
      </c>
      <c r="B410" s="1">
        <v>46184</v>
      </c>
      <c r="C410" t="s">
        <v>763</v>
      </c>
      <c r="D410" t="s">
        <v>20</v>
      </c>
      <c r="E410" t="s">
        <v>14</v>
      </c>
      <c r="F410">
        <v>4</v>
      </c>
      <c r="G410">
        <v>599</v>
      </c>
      <c r="H410">
        <v>0</v>
      </c>
      <c r="I410" t="s">
        <v>32</v>
      </c>
      <c r="J410" t="s">
        <v>22</v>
      </c>
      <c r="K410" t="s">
        <v>17</v>
      </c>
      <c r="L410">
        <f>F409*G409*(1-H409)</f>
        <v>2036.6</v>
      </c>
    </row>
    <row r="411" spans="1:12">
      <c r="A411" t="s">
        <v>764</v>
      </c>
      <c r="B411" s="1">
        <v>46167</v>
      </c>
      <c r="C411" t="s">
        <v>207</v>
      </c>
      <c r="D411" t="s">
        <v>26</v>
      </c>
      <c r="E411" t="s">
        <v>40</v>
      </c>
      <c r="F411">
        <v>1</v>
      </c>
      <c r="G411">
        <v>799</v>
      </c>
      <c r="H411">
        <v>0</v>
      </c>
      <c r="I411" t="s">
        <v>32</v>
      </c>
      <c r="J411" t="s">
        <v>22</v>
      </c>
      <c r="K411" t="s">
        <v>17</v>
      </c>
      <c r="L411">
        <f>F410*G410*(1-H410)</f>
        <v>2396</v>
      </c>
    </row>
    <row r="412" spans="1:12">
      <c r="A412" t="s">
        <v>765</v>
      </c>
      <c r="B412" s="1">
        <v>46202</v>
      </c>
      <c r="C412" t="s">
        <v>245</v>
      </c>
      <c r="D412" t="s">
        <v>43</v>
      </c>
      <c r="E412" t="s">
        <v>40</v>
      </c>
      <c r="F412">
        <v>4</v>
      </c>
      <c r="G412">
        <v>799</v>
      </c>
      <c r="H412">
        <v>0.1</v>
      </c>
      <c r="I412" t="s">
        <v>47</v>
      </c>
      <c r="J412" t="s">
        <v>28</v>
      </c>
      <c r="K412" t="s">
        <v>23</v>
      </c>
      <c r="L412">
        <f>F411*G411*(1-H411)</f>
        <v>799</v>
      </c>
    </row>
    <row r="413" spans="1:12">
      <c r="A413" t="s">
        <v>766</v>
      </c>
      <c r="B413" s="1">
        <v>46193</v>
      </c>
      <c r="C413" t="s">
        <v>767</v>
      </c>
      <c r="D413" t="s">
        <v>71</v>
      </c>
      <c r="E413" t="s">
        <v>40</v>
      </c>
      <c r="F413">
        <v>1</v>
      </c>
      <c r="G413">
        <v>499</v>
      </c>
      <c r="H413">
        <v>0.15</v>
      </c>
      <c r="I413" t="s">
        <v>44</v>
      </c>
      <c r="J413" t="s">
        <v>16</v>
      </c>
      <c r="K413" t="s">
        <v>17</v>
      </c>
      <c r="L413">
        <f>F412*G412*(1-H412)</f>
        <v>2876.4</v>
      </c>
    </row>
    <row r="414" spans="1:12">
      <c r="A414" t="s">
        <v>768</v>
      </c>
      <c r="B414" s="1">
        <v>46269</v>
      </c>
      <c r="C414" t="s">
        <v>769</v>
      </c>
      <c r="D414" t="s">
        <v>13</v>
      </c>
      <c r="E414" t="s">
        <v>14</v>
      </c>
      <c r="F414">
        <v>3</v>
      </c>
      <c r="G414">
        <v>2499</v>
      </c>
      <c r="H414">
        <v>0.15</v>
      </c>
      <c r="I414" t="s">
        <v>44</v>
      </c>
      <c r="J414" t="s">
        <v>28</v>
      </c>
      <c r="K414" t="s">
        <v>17</v>
      </c>
      <c r="L414">
        <f>F413*G413*(1-H413)</f>
        <v>424.15</v>
      </c>
    </row>
    <row r="415" spans="1:12">
      <c r="A415" t="s">
        <v>770</v>
      </c>
      <c r="B415" s="1">
        <v>46084</v>
      </c>
      <c r="C415" t="s">
        <v>771</v>
      </c>
      <c r="D415" t="s">
        <v>43</v>
      </c>
      <c r="E415" t="s">
        <v>40</v>
      </c>
      <c r="F415">
        <v>1</v>
      </c>
      <c r="G415">
        <v>2499</v>
      </c>
      <c r="H415">
        <v>0.05</v>
      </c>
      <c r="I415" t="s">
        <v>50</v>
      </c>
      <c r="J415" t="s">
        <v>28</v>
      </c>
      <c r="K415" t="s">
        <v>37</v>
      </c>
      <c r="L415">
        <f>F414*G414*(1-H414)</f>
        <v>6372.45</v>
      </c>
    </row>
    <row r="416" spans="1:12">
      <c r="A416" t="s">
        <v>772</v>
      </c>
      <c r="B416" s="1">
        <v>46113</v>
      </c>
      <c r="C416" t="s">
        <v>773</v>
      </c>
      <c r="D416" t="s">
        <v>71</v>
      </c>
      <c r="E416" t="s">
        <v>40</v>
      </c>
      <c r="F416">
        <v>3</v>
      </c>
      <c r="G416">
        <v>799</v>
      </c>
      <c r="H416">
        <v>0.05</v>
      </c>
      <c r="I416" t="s">
        <v>32</v>
      </c>
      <c r="J416" t="s">
        <v>28</v>
      </c>
      <c r="K416" t="s">
        <v>17</v>
      </c>
      <c r="L416">
        <f>F415*G415*(1-H415)</f>
        <v>2374.0499999999997</v>
      </c>
    </row>
    <row r="417" spans="1:12">
      <c r="A417" t="s">
        <v>774</v>
      </c>
      <c r="B417" s="1">
        <v>46240</v>
      </c>
      <c r="C417" t="s">
        <v>530</v>
      </c>
      <c r="D417" t="s">
        <v>62</v>
      </c>
      <c r="E417" t="s">
        <v>35</v>
      </c>
      <c r="F417">
        <v>5</v>
      </c>
      <c r="G417">
        <v>1999</v>
      </c>
      <c r="H417">
        <v>0</v>
      </c>
      <c r="I417" t="s">
        <v>44</v>
      </c>
      <c r="J417" t="s">
        <v>51</v>
      </c>
      <c r="K417" t="s">
        <v>17</v>
      </c>
      <c r="L417">
        <f>F416*G416*(1-H416)</f>
        <v>2277.15</v>
      </c>
    </row>
    <row r="418" spans="1:12">
      <c r="A418" t="s">
        <v>775</v>
      </c>
      <c r="B418" s="1">
        <v>46035</v>
      </c>
      <c r="C418" t="s">
        <v>325</v>
      </c>
      <c r="D418" t="s">
        <v>78</v>
      </c>
      <c r="E418" t="s">
        <v>40</v>
      </c>
      <c r="F418">
        <v>3</v>
      </c>
      <c r="G418">
        <v>7999</v>
      </c>
      <c r="H418">
        <v>0.1</v>
      </c>
      <c r="I418" t="s">
        <v>32</v>
      </c>
      <c r="J418" t="s">
        <v>16</v>
      </c>
      <c r="K418" t="s">
        <v>17</v>
      </c>
      <c r="L418">
        <f>F417*G417*(1-H417)</f>
        <v>9995</v>
      </c>
    </row>
    <row r="419" spans="1:12">
      <c r="A419" t="s">
        <v>776</v>
      </c>
      <c r="B419" s="1">
        <v>46161</v>
      </c>
      <c r="C419" t="s">
        <v>759</v>
      </c>
      <c r="D419" t="s">
        <v>26</v>
      </c>
      <c r="E419" t="s">
        <v>35</v>
      </c>
      <c r="F419">
        <v>5</v>
      </c>
      <c r="G419">
        <v>1499</v>
      </c>
      <c r="H419">
        <v>0.1</v>
      </c>
      <c r="I419" t="s">
        <v>15</v>
      </c>
      <c r="J419" t="s">
        <v>36</v>
      </c>
      <c r="K419" t="s">
        <v>17</v>
      </c>
      <c r="L419">
        <f>F418*G418*(1-H418)</f>
        <v>21597.3</v>
      </c>
    </row>
    <row r="420" spans="1:12">
      <c r="A420" t="s">
        <v>777</v>
      </c>
      <c r="B420" s="1">
        <v>46023</v>
      </c>
      <c r="C420" t="s">
        <v>778</v>
      </c>
      <c r="D420" t="s">
        <v>13</v>
      </c>
      <c r="E420" t="s">
        <v>35</v>
      </c>
      <c r="F420">
        <v>5</v>
      </c>
      <c r="G420">
        <v>1999</v>
      </c>
      <c r="H420">
        <v>0.05</v>
      </c>
      <c r="I420" t="s">
        <v>50</v>
      </c>
      <c r="J420" t="s">
        <v>51</v>
      </c>
      <c r="K420" t="s">
        <v>23</v>
      </c>
      <c r="L420">
        <f>F419*G419*(1-H419)</f>
        <v>6745.5</v>
      </c>
    </row>
    <row r="421" spans="1:12">
      <c r="A421" t="s">
        <v>779</v>
      </c>
      <c r="B421" s="1">
        <v>46097</v>
      </c>
      <c r="C421" t="s">
        <v>780</v>
      </c>
      <c r="D421" t="s">
        <v>31</v>
      </c>
      <c r="E421" t="s">
        <v>35</v>
      </c>
      <c r="F421">
        <v>5</v>
      </c>
      <c r="G421">
        <v>799</v>
      </c>
      <c r="H421">
        <v>0.15</v>
      </c>
      <c r="I421" t="s">
        <v>47</v>
      </c>
      <c r="J421" t="s">
        <v>16</v>
      </c>
      <c r="K421" t="s">
        <v>37</v>
      </c>
      <c r="L421">
        <f>F420*G420*(1-H420)</f>
        <v>9495.25</v>
      </c>
    </row>
    <row r="422" spans="1:12">
      <c r="A422" t="s">
        <v>781</v>
      </c>
      <c r="B422" s="1">
        <v>46155</v>
      </c>
      <c r="C422" t="s">
        <v>298</v>
      </c>
      <c r="D422" t="s">
        <v>78</v>
      </c>
      <c r="E422" t="s">
        <v>21</v>
      </c>
      <c r="F422">
        <v>4</v>
      </c>
      <c r="G422">
        <v>799</v>
      </c>
      <c r="H422">
        <v>0.05</v>
      </c>
      <c r="I422" t="s">
        <v>44</v>
      </c>
      <c r="J422" t="s">
        <v>22</v>
      </c>
      <c r="K422" t="s">
        <v>23</v>
      </c>
      <c r="L422">
        <f>F421*G421*(1-H421)</f>
        <v>3395.75</v>
      </c>
    </row>
    <row r="423" spans="1:12">
      <c r="A423" t="s">
        <v>782</v>
      </c>
      <c r="B423" s="1">
        <v>46051</v>
      </c>
      <c r="C423" t="s">
        <v>783</v>
      </c>
      <c r="D423" t="s">
        <v>43</v>
      </c>
      <c r="E423" t="s">
        <v>40</v>
      </c>
      <c r="F423">
        <v>2</v>
      </c>
      <c r="G423">
        <v>1999</v>
      </c>
      <c r="H423">
        <v>0.1</v>
      </c>
      <c r="I423" t="s">
        <v>32</v>
      </c>
      <c r="J423" t="s">
        <v>51</v>
      </c>
      <c r="K423" t="s">
        <v>23</v>
      </c>
      <c r="L423">
        <f>F422*G422*(1-H422)</f>
        <v>3036.2</v>
      </c>
    </row>
    <row r="424" spans="1:12">
      <c r="A424" t="s">
        <v>784</v>
      </c>
      <c r="B424" s="1">
        <v>46145</v>
      </c>
      <c r="C424" t="s">
        <v>690</v>
      </c>
      <c r="D424" t="s">
        <v>31</v>
      </c>
      <c r="E424" t="s">
        <v>40</v>
      </c>
      <c r="F424">
        <v>3</v>
      </c>
      <c r="G424">
        <v>1999</v>
      </c>
      <c r="H424">
        <v>0.05</v>
      </c>
      <c r="I424" t="s">
        <v>15</v>
      </c>
      <c r="J424" t="s">
        <v>16</v>
      </c>
      <c r="K424" t="s">
        <v>17</v>
      </c>
      <c r="L424">
        <f>F423*G423*(1-H423)</f>
        <v>3598.2000000000003</v>
      </c>
    </row>
    <row r="425" spans="1:12">
      <c r="A425" t="s">
        <v>785</v>
      </c>
      <c r="B425" s="1">
        <v>46038</v>
      </c>
      <c r="C425" t="s">
        <v>146</v>
      </c>
      <c r="D425" t="s">
        <v>78</v>
      </c>
      <c r="E425" t="s">
        <v>21</v>
      </c>
      <c r="F425">
        <v>3</v>
      </c>
      <c r="G425">
        <v>1499</v>
      </c>
      <c r="H425">
        <v>0</v>
      </c>
      <c r="I425" t="s">
        <v>15</v>
      </c>
      <c r="J425" t="s">
        <v>28</v>
      </c>
      <c r="K425" t="s">
        <v>23</v>
      </c>
      <c r="L425">
        <f>F424*G424*(1-H424)</f>
        <v>5697.15</v>
      </c>
    </row>
    <row r="426" spans="1:12">
      <c r="A426" t="s">
        <v>786</v>
      </c>
      <c r="B426" s="1">
        <v>46043</v>
      </c>
      <c r="C426" t="s">
        <v>156</v>
      </c>
      <c r="D426" t="s">
        <v>31</v>
      </c>
      <c r="E426" t="s">
        <v>14</v>
      </c>
      <c r="F426">
        <v>2</v>
      </c>
      <c r="G426">
        <v>4999</v>
      </c>
      <c r="H426">
        <v>0</v>
      </c>
      <c r="I426" t="s">
        <v>50</v>
      </c>
      <c r="J426" t="s">
        <v>16</v>
      </c>
      <c r="K426" t="s">
        <v>23</v>
      </c>
      <c r="L426">
        <f>F425*G425*(1-H425)</f>
        <v>4497</v>
      </c>
    </row>
    <row r="427" spans="1:12">
      <c r="A427" t="s">
        <v>787</v>
      </c>
      <c r="B427" s="1">
        <v>46186</v>
      </c>
      <c r="C427" t="s">
        <v>146</v>
      </c>
      <c r="D427" t="s">
        <v>59</v>
      </c>
      <c r="E427" t="s">
        <v>27</v>
      </c>
      <c r="F427">
        <v>1</v>
      </c>
      <c r="G427">
        <v>1499</v>
      </c>
      <c r="H427">
        <v>0.1</v>
      </c>
      <c r="I427" t="s">
        <v>47</v>
      </c>
      <c r="J427" t="s">
        <v>36</v>
      </c>
      <c r="K427" t="s">
        <v>17</v>
      </c>
      <c r="L427">
        <f>F426*G426*(1-H426)</f>
        <v>9998</v>
      </c>
    </row>
    <row r="428" spans="1:12">
      <c r="A428" t="s">
        <v>788</v>
      </c>
      <c r="B428" s="1">
        <v>46167</v>
      </c>
      <c r="C428" t="s">
        <v>789</v>
      </c>
      <c r="D428" t="s">
        <v>56</v>
      </c>
      <c r="E428" t="s">
        <v>35</v>
      </c>
      <c r="F428">
        <v>2</v>
      </c>
      <c r="G428">
        <v>1299</v>
      </c>
      <c r="H428">
        <v>0.15</v>
      </c>
      <c r="I428" t="s">
        <v>15</v>
      </c>
      <c r="J428" t="s">
        <v>16</v>
      </c>
      <c r="K428" t="s">
        <v>17</v>
      </c>
      <c r="L428">
        <f>F427*G427*(1-H427)</f>
        <v>1349.1000000000001</v>
      </c>
    </row>
    <row r="429" spans="1:12">
      <c r="A429" t="s">
        <v>790</v>
      </c>
      <c r="B429" s="1">
        <v>46192</v>
      </c>
      <c r="C429" t="s">
        <v>432</v>
      </c>
      <c r="D429" t="s">
        <v>31</v>
      </c>
      <c r="E429" t="s">
        <v>14</v>
      </c>
      <c r="F429">
        <v>1</v>
      </c>
      <c r="G429">
        <v>7999</v>
      </c>
      <c r="H429">
        <v>0.1</v>
      </c>
      <c r="I429" t="s">
        <v>15</v>
      </c>
      <c r="J429" t="s">
        <v>16</v>
      </c>
      <c r="K429" t="s">
        <v>23</v>
      </c>
      <c r="L429">
        <f>F428*G428*(1-H428)</f>
        <v>2208.2999999999997</v>
      </c>
    </row>
    <row r="430" spans="1:12">
      <c r="A430" t="s">
        <v>791</v>
      </c>
      <c r="B430" s="1">
        <v>46109</v>
      </c>
      <c r="C430" t="s">
        <v>792</v>
      </c>
      <c r="D430" t="s">
        <v>13</v>
      </c>
      <c r="E430" t="s">
        <v>14</v>
      </c>
      <c r="F430">
        <v>4</v>
      </c>
      <c r="G430">
        <v>1299</v>
      </c>
      <c r="H430">
        <v>0.05</v>
      </c>
      <c r="I430" t="s">
        <v>47</v>
      </c>
      <c r="J430" t="s">
        <v>28</v>
      </c>
      <c r="K430" t="s">
        <v>17</v>
      </c>
      <c r="L430">
        <f>F429*G429*(1-H429)</f>
        <v>7199.1</v>
      </c>
    </row>
    <row r="431" spans="1:12">
      <c r="A431" t="s">
        <v>793</v>
      </c>
      <c r="B431" s="1">
        <v>46205</v>
      </c>
      <c r="C431" t="s">
        <v>794</v>
      </c>
      <c r="D431" t="s">
        <v>20</v>
      </c>
      <c r="E431" t="s">
        <v>40</v>
      </c>
      <c r="F431">
        <v>2</v>
      </c>
      <c r="G431">
        <v>1299</v>
      </c>
      <c r="H431">
        <v>0</v>
      </c>
      <c r="I431" t="s">
        <v>47</v>
      </c>
      <c r="J431" t="s">
        <v>36</v>
      </c>
      <c r="K431" t="s">
        <v>23</v>
      </c>
      <c r="L431">
        <f>F430*G430*(1-H430)</f>
        <v>4936.2</v>
      </c>
    </row>
    <row r="432" spans="1:12">
      <c r="A432" t="s">
        <v>795</v>
      </c>
      <c r="B432" s="1">
        <v>46290</v>
      </c>
      <c r="C432" t="s">
        <v>796</v>
      </c>
      <c r="D432" t="s">
        <v>56</v>
      </c>
      <c r="E432" t="s">
        <v>40</v>
      </c>
      <c r="F432">
        <v>5</v>
      </c>
      <c r="G432">
        <v>999</v>
      </c>
      <c r="H432">
        <v>0</v>
      </c>
      <c r="I432" t="s">
        <v>15</v>
      </c>
      <c r="J432" t="s">
        <v>28</v>
      </c>
      <c r="K432" t="s">
        <v>37</v>
      </c>
      <c r="L432">
        <f>F431*G431*(1-H431)</f>
        <v>2598</v>
      </c>
    </row>
    <row r="433" spans="1:12">
      <c r="A433" t="s">
        <v>797</v>
      </c>
      <c r="B433" s="1">
        <v>46170</v>
      </c>
      <c r="C433" t="s">
        <v>152</v>
      </c>
      <c r="D433" t="s">
        <v>56</v>
      </c>
      <c r="E433" t="s">
        <v>21</v>
      </c>
      <c r="F433">
        <v>3</v>
      </c>
      <c r="G433">
        <v>1299</v>
      </c>
      <c r="H433">
        <v>0.05</v>
      </c>
      <c r="I433" t="s">
        <v>15</v>
      </c>
      <c r="J433" t="s">
        <v>51</v>
      </c>
      <c r="K433" t="s">
        <v>17</v>
      </c>
      <c r="L433">
        <f>F432*G432*(1-H432)</f>
        <v>4995</v>
      </c>
    </row>
    <row r="434" spans="1:12">
      <c r="A434" t="s">
        <v>798</v>
      </c>
      <c r="B434" s="1">
        <v>46053</v>
      </c>
      <c r="C434" t="s">
        <v>123</v>
      </c>
      <c r="D434" t="s">
        <v>62</v>
      </c>
      <c r="E434" t="s">
        <v>40</v>
      </c>
      <c r="F434">
        <v>2</v>
      </c>
      <c r="G434">
        <v>499</v>
      </c>
      <c r="H434">
        <v>0.05</v>
      </c>
      <c r="I434" t="s">
        <v>47</v>
      </c>
      <c r="J434" t="s">
        <v>28</v>
      </c>
      <c r="K434" t="s">
        <v>17</v>
      </c>
      <c r="L434">
        <f>F433*G433*(1-H433)</f>
        <v>3702.1499999999996</v>
      </c>
    </row>
    <row r="435" spans="1:12">
      <c r="A435" t="s">
        <v>799</v>
      </c>
      <c r="B435" s="1">
        <v>46139</v>
      </c>
      <c r="C435" t="s">
        <v>415</v>
      </c>
      <c r="D435" t="s">
        <v>20</v>
      </c>
      <c r="E435" t="s">
        <v>40</v>
      </c>
      <c r="F435">
        <v>3</v>
      </c>
      <c r="G435">
        <v>999</v>
      </c>
      <c r="H435">
        <v>0.05</v>
      </c>
      <c r="I435" t="s">
        <v>32</v>
      </c>
      <c r="J435" t="s">
        <v>22</v>
      </c>
      <c r="K435" t="s">
        <v>23</v>
      </c>
      <c r="L435">
        <f>F434*G434*(1-H434)</f>
        <v>948.09999999999991</v>
      </c>
    </row>
    <row r="436" spans="1:12">
      <c r="A436" t="s">
        <v>800</v>
      </c>
      <c r="B436" s="1">
        <v>46252</v>
      </c>
      <c r="C436" t="s">
        <v>801</v>
      </c>
      <c r="D436" t="s">
        <v>71</v>
      </c>
      <c r="E436" t="s">
        <v>40</v>
      </c>
      <c r="F436">
        <v>3</v>
      </c>
      <c r="G436">
        <v>799</v>
      </c>
      <c r="H436">
        <v>0.1</v>
      </c>
      <c r="I436" t="s">
        <v>44</v>
      </c>
      <c r="J436" t="s">
        <v>28</v>
      </c>
      <c r="K436" t="s">
        <v>17</v>
      </c>
      <c r="L436">
        <f>F435*G435*(1-H435)</f>
        <v>2847.15</v>
      </c>
    </row>
    <row r="437" spans="1:12">
      <c r="A437" t="s">
        <v>802</v>
      </c>
      <c r="B437" s="1">
        <v>46194</v>
      </c>
      <c r="C437" t="s">
        <v>803</v>
      </c>
      <c r="D437" t="s">
        <v>78</v>
      </c>
      <c r="E437" t="s">
        <v>14</v>
      </c>
      <c r="F437">
        <v>3</v>
      </c>
      <c r="G437">
        <v>799</v>
      </c>
      <c r="H437">
        <v>0.1</v>
      </c>
      <c r="I437" t="s">
        <v>15</v>
      </c>
      <c r="J437" t="s">
        <v>36</v>
      </c>
      <c r="K437" t="s">
        <v>17</v>
      </c>
      <c r="L437">
        <f>F436*G436*(1-H436)</f>
        <v>2157.3000000000002</v>
      </c>
    </row>
    <row r="438" spans="1:12">
      <c r="A438" t="s">
        <v>804</v>
      </c>
      <c r="B438" s="1">
        <v>46069</v>
      </c>
      <c r="C438" t="s">
        <v>805</v>
      </c>
      <c r="D438" t="s">
        <v>20</v>
      </c>
      <c r="E438" t="s">
        <v>35</v>
      </c>
      <c r="F438">
        <v>4</v>
      </c>
      <c r="G438">
        <v>1999</v>
      </c>
      <c r="H438">
        <v>0.15</v>
      </c>
      <c r="I438" t="s">
        <v>50</v>
      </c>
      <c r="J438" t="s">
        <v>16</v>
      </c>
      <c r="K438" t="s">
        <v>17</v>
      </c>
      <c r="L438">
        <f>F437*G437*(1-H437)</f>
        <v>2157.3000000000002</v>
      </c>
    </row>
    <row r="439" spans="1:12">
      <c r="A439" t="s">
        <v>806</v>
      </c>
      <c r="B439" s="1">
        <v>46053</v>
      </c>
      <c r="C439" t="s">
        <v>466</v>
      </c>
      <c r="D439" t="s">
        <v>56</v>
      </c>
      <c r="E439" t="s">
        <v>21</v>
      </c>
      <c r="F439">
        <v>3</v>
      </c>
      <c r="G439">
        <v>1299</v>
      </c>
      <c r="H439">
        <v>0</v>
      </c>
      <c r="I439" t="s">
        <v>15</v>
      </c>
      <c r="J439" t="s">
        <v>16</v>
      </c>
      <c r="K439" t="s">
        <v>17</v>
      </c>
      <c r="L439">
        <f>F438*G438*(1-H438)</f>
        <v>6796.5999999999995</v>
      </c>
    </row>
    <row r="440" spans="1:12">
      <c r="A440" t="s">
        <v>807</v>
      </c>
      <c r="B440" s="1">
        <v>46069</v>
      </c>
      <c r="C440" t="s">
        <v>808</v>
      </c>
      <c r="D440" t="s">
        <v>31</v>
      </c>
      <c r="E440" t="s">
        <v>21</v>
      </c>
      <c r="F440">
        <v>3</v>
      </c>
      <c r="G440">
        <v>499</v>
      </c>
      <c r="H440">
        <v>0.05</v>
      </c>
      <c r="I440" t="s">
        <v>32</v>
      </c>
      <c r="J440" t="s">
        <v>28</v>
      </c>
      <c r="K440" t="s">
        <v>17</v>
      </c>
      <c r="L440">
        <f>F439*G439*(1-H439)</f>
        <v>3897</v>
      </c>
    </row>
    <row r="441" spans="1:12">
      <c r="A441" t="s">
        <v>809</v>
      </c>
      <c r="B441" s="1">
        <v>46178</v>
      </c>
      <c r="C441" t="s">
        <v>494</v>
      </c>
      <c r="D441" t="s">
        <v>20</v>
      </c>
      <c r="E441" t="s">
        <v>40</v>
      </c>
      <c r="F441">
        <v>4</v>
      </c>
      <c r="G441">
        <v>799</v>
      </c>
      <c r="H441">
        <v>0.1</v>
      </c>
      <c r="I441" t="s">
        <v>44</v>
      </c>
      <c r="J441" t="s">
        <v>22</v>
      </c>
      <c r="K441" t="s">
        <v>17</v>
      </c>
      <c r="L441">
        <f>F440*G440*(1-H440)</f>
        <v>1422.1499999999999</v>
      </c>
    </row>
    <row r="442" spans="1:12">
      <c r="A442" t="s">
        <v>810</v>
      </c>
      <c r="B442" s="1">
        <v>46070</v>
      </c>
      <c r="C442" t="s">
        <v>705</v>
      </c>
      <c r="D442" t="s">
        <v>71</v>
      </c>
      <c r="E442" t="s">
        <v>35</v>
      </c>
      <c r="F442">
        <v>4</v>
      </c>
      <c r="G442">
        <v>4999</v>
      </c>
      <c r="H442">
        <v>0.05</v>
      </c>
      <c r="I442" t="s">
        <v>15</v>
      </c>
      <c r="J442" t="s">
        <v>51</v>
      </c>
      <c r="K442" t="s">
        <v>17</v>
      </c>
      <c r="L442">
        <f>F441*G441*(1-H441)</f>
        <v>2876.4</v>
      </c>
    </row>
    <row r="443" spans="1:12">
      <c r="A443" t="s">
        <v>811</v>
      </c>
      <c r="B443" s="1">
        <v>46045</v>
      </c>
      <c r="C443" t="s">
        <v>106</v>
      </c>
      <c r="D443" t="s">
        <v>13</v>
      </c>
      <c r="E443" t="s">
        <v>40</v>
      </c>
      <c r="F443">
        <v>4</v>
      </c>
      <c r="G443">
        <v>1299</v>
      </c>
      <c r="H443">
        <v>0.1</v>
      </c>
      <c r="I443" t="s">
        <v>32</v>
      </c>
      <c r="J443" t="s">
        <v>22</v>
      </c>
      <c r="K443" t="s">
        <v>23</v>
      </c>
      <c r="L443">
        <f>F442*G442*(1-H442)</f>
        <v>18996.2</v>
      </c>
    </row>
    <row r="444" spans="1:12">
      <c r="A444" t="s">
        <v>812</v>
      </c>
      <c r="B444" s="1">
        <v>46150</v>
      </c>
      <c r="C444" t="s">
        <v>446</v>
      </c>
      <c r="D444" t="s">
        <v>43</v>
      </c>
      <c r="E444" t="s">
        <v>40</v>
      </c>
      <c r="F444">
        <v>1</v>
      </c>
      <c r="G444">
        <v>999</v>
      </c>
      <c r="H444">
        <v>0</v>
      </c>
      <c r="I444" t="s">
        <v>50</v>
      </c>
      <c r="J444" t="s">
        <v>36</v>
      </c>
      <c r="K444" t="s">
        <v>17</v>
      </c>
      <c r="L444">
        <f>F443*G443*(1-H443)</f>
        <v>4676.4000000000005</v>
      </c>
    </row>
    <row r="445" spans="1:12">
      <c r="A445" t="s">
        <v>813</v>
      </c>
      <c r="B445" s="1">
        <v>46171</v>
      </c>
      <c r="C445" t="s">
        <v>376</v>
      </c>
      <c r="D445" t="s">
        <v>78</v>
      </c>
      <c r="E445" t="s">
        <v>27</v>
      </c>
      <c r="F445">
        <v>3</v>
      </c>
      <c r="G445">
        <v>799</v>
      </c>
      <c r="H445">
        <v>0</v>
      </c>
      <c r="I445" t="s">
        <v>15</v>
      </c>
      <c r="J445" t="s">
        <v>36</v>
      </c>
      <c r="K445" t="s">
        <v>17</v>
      </c>
      <c r="L445">
        <f>F444*G444*(1-H444)</f>
        <v>999</v>
      </c>
    </row>
    <row r="446" spans="1:12">
      <c r="A446" t="s">
        <v>814</v>
      </c>
      <c r="B446" s="1">
        <v>46144</v>
      </c>
      <c r="C446" t="s">
        <v>140</v>
      </c>
      <c r="D446" t="s">
        <v>43</v>
      </c>
      <c r="E446" t="s">
        <v>27</v>
      </c>
      <c r="F446">
        <v>1</v>
      </c>
      <c r="G446">
        <v>1999</v>
      </c>
      <c r="H446">
        <v>0</v>
      </c>
      <c r="I446" t="s">
        <v>15</v>
      </c>
      <c r="J446" t="s">
        <v>51</v>
      </c>
      <c r="K446" t="s">
        <v>17</v>
      </c>
      <c r="L446">
        <f>F445*G445*(1-H445)</f>
        <v>2397</v>
      </c>
    </row>
    <row r="447" spans="1:12">
      <c r="A447" t="s">
        <v>815</v>
      </c>
      <c r="B447" s="1">
        <v>46024</v>
      </c>
      <c r="C447" t="s">
        <v>410</v>
      </c>
      <c r="D447" t="s">
        <v>56</v>
      </c>
      <c r="E447" t="s">
        <v>21</v>
      </c>
      <c r="F447">
        <v>1</v>
      </c>
      <c r="G447">
        <v>4999</v>
      </c>
      <c r="H447">
        <v>0.1</v>
      </c>
      <c r="I447" t="s">
        <v>32</v>
      </c>
      <c r="J447" t="s">
        <v>36</v>
      </c>
      <c r="K447" t="s">
        <v>17</v>
      </c>
      <c r="L447">
        <f>F446*G446*(1-H446)</f>
        <v>1999</v>
      </c>
    </row>
    <row r="448" spans="1:12">
      <c r="A448" t="s">
        <v>816</v>
      </c>
      <c r="B448" s="1">
        <v>46118</v>
      </c>
      <c r="C448" t="s">
        <v>261</v>
      </c>
      <c r="D448" t="s">
        <v>13</v>
      </c>
      <c r="E448" t="s">
        <v>27</v>
      </c>
      <c r="F448">
        <v>2</v>
      </c>
      <c r="G448">
        <v>7999</v>
      </c>
      <c r="H448">
        <v>0</v>
      </c>
      <c r="I448" t="s">
        <v>47</v>
      </c>
      <c r="J448" t="s">
        <v>22</v>
      </c>
      <c r="K448" t="s">
        <v>17</v>
      </c>
      <c r="L448">
        <f>F447*G447*(1-H447)</f>
        <v>4499.1000000000004</v>
      </c>
    </row>
    <row r="449" spans="1:12">
      <c r="A449" t="s">
        <v>817</v>
      </c>
      <c r="B449" s="1">
        <v>46204</v>
      </c>
      <c r="C449" t="s">
        <v>818</v>
      </c>
      <c r="D449" t="s">
        <v>13</v>
      </c>
      <c r="E449" t="s">
        <v>14</v>
      </c>
      <c r="F449">
        <v>4</v>
      </c>
      <c r="G449">
        <v>4999</v>
      </c>
      <c r="H449">
        <v>0.15</v>
      </c>
      <c r="I449" t="s">
        <v>47</v>
      </c>
      <c r="J449" t="s">
        <v>16</v>
      </c>
      <c r="K449" t="s">
        <v>17</v>
      </c>
      <c r="L449">
        <f>F448*G448*(1-H448)</f>
        <v>15998</v>
      </c>
    </row>
    <row r="450" spans="1:12">
      <c r="A450" t="s">
        <v>819</v>
      </c>
      <c r="B450" s="1">
        <v>46220</v>
      </c>
      <c r="C450" t="s">
        <v>820</v>
      </c>
      <c r="D450" t="s">
        <v>31</v>
      </c>
      <c r="E450" t="s">
        <v>40</v>
      </c>
      <c r="F450">
        <v>4</v>
      </c>
      <c r="G450">
        <v>4999</v>
      </c>
      <c r="H450">
        <v>0.05</v>
      </c>
      <c r="I450" t="s">
        <v>32</v>
      </c>
      <c r="J450" t="s">
        <v>22</v>
      </c>
      <c r="K450" t="s">
        <v>23</v>
      </c>
      <c r="L450">
        <f>F449*G449*(1-H449)</f>
        <v>16996.599999999999</v>
      </c>
    </row>
    <row r="451" spans="1:12">
      <c r="A451" t="s">
        <v>821</v>
      </c>
      <c r="B451" s="1">
        <v>46111</v>
      </c>
      <c r="C451" t="s">
        <v>822</v>
      </c>
      <c r="D451" t="s">
        <v>26</v>
      </c>
      <c r="E451" t="s">
        <v>40</v>
      </c>
      <c r="F451">
        <v>4</v>
      </c>
      <c r="G451">
        <v>2499</v>
      </c>
      <c r="H451">
        <v>0.1</v>
      </c>
      <c r="I451" t="s">
        <v>15</v>
      </c>
      <c r="J451" t="s">
        <v>51</v>
      </c>
      <c r="K451" t="s">
        <v>37</v>
      </c>
      <c r="L451">
        <f>F450*G450*(1-H450)</f>
        <v>18996.2</v>
      </c>
    </row>
    <row r="452" spans="1:12">
      <c r="A452" t="s">
        <v>823</v>
      </c>
      <c r="B452" s="1">
        <v>46096</v>
      </c>
      <c r="C452" t="s">
        <v>211</v>
      </c>
      <c r="D452" t="s">
        <v>78</v>
      </c>
      <c r="E452" t="s">
        <v>40</v>
      </c>
      <c r="F452">
        <v>3</v>
      </c>
      <c r="G452">
        <v>599</v>
      </c>
      <c r="H452">
        <v>0.15</v>
      </c>
      <c r="I452" t="s">
        <v>15</v>
      </c>
      <c r="J452" t="s">
        <v>36</v>
      </c>
      <c r="K452" t="s">
        <v>23</v>
      </c>
      <c r="L452">
        <f>F451*G451*(1-H451)</f>
        <v>8996.4</v>
      </c>
    </row>
    <row r="453" spans="1:12">
      <c r="A453" t="s">
        <v>824</v>
      </c>
      <c r="B453" s="1">
        <v>46098</v>
      </c>
      <c r="C453" t="s">
        <v>699</v>
      </c>
      <c r="D453" t="s">
        <v>78</v>
      </c>
      <c r="E453" t="s">
        <v>35</v>
      </c>
      <c r="F453">
        <v>3</v>
      </c>
      <c r="G453">
        <v>4999</v>
      </c>
      <c r="H453">
        <v>0.1</v>
      </c>
      <c r="I453" t="s">
        <v>47</v>
      </c>
      <c r="J453" t="s">
        <v>36</v>
      </c>
      <c r="K453" t="s">
        <v>17</v>
      </c>
      <c r="L453">
        <f>F452*G452*(1-H452)</f>
        <v>1527.45</v>
      </c>
    </row>
    <row r="454" spans="1:12">
      <c r="A454" t="s">
        <v>825</v>
      </c>
      <c r="B454" s="1">
        <v>46092</v>
      </c>
      <c r="C454" t="s">
        <v>826</v>
      </c>
      <c r="D454" t="s">
        <v>62</v>
      </c>
      <c r="E454" t="s">
        <v>40</v>
      </c>
      <c r="F454">
        <v>2</v>
      </c>
      <c r="G454">
        <v>599</v>
      </c>
      <c r="H454">
        <v>0</v>
      </c>
      <c r="I454" t="s">
        <v>50</v>
      </c>
      <c r="J454" t="s">
        <v>36</v>
      </c>
      <c r="K454" t="s">
        <v>17</v>
      </c>
      <c r="L454">
        <f>F453*G453*(1-H453)</f>
        <v>13497.300000000001</v>
      </c>
    </row>
    <row r="455" spans="1:12">
      <c r="A455" t="s">
        <v>827</v>
      </c>
      <c r="B455" s="1">
        <v>46290</v>
      </c>
      <c r="C455" t="s">
        <v>789</v>
      </c>
      <c r="D455" t="s">
        <v>56</v>
      </c>
      <c r="E455" t="s">
        <v>21</v>
      </c>
      <c r="F455">
        <v>2</v>
      </c>
      <c r="G455">
        <v>499</v>
      </c>
      <c r="H455">
        <v>0.05</v>
      </c>
      <c r="I455" t="s">
        <v>44</v>
      </c>
      <c r="J455" t="s">
        <v>22</v>
      </c>
      <c r="K455" t="s">
        <v>17</v>
      </c>
      <c r="L455">
        <f>F454*G454*(1-H454)</f>
        <v>1198</v>
      </c>
    </row>
    <row r="456" spans="1:12">
      <c r="A456" t="s">
        <v>828</v>
      </c>
      <c r="B456" s="1">
        <v>46040</v>
      </c>
      <c r="C456" t="s">
        <v>829</v>
      </c>
      <c r="D456" t="s">
        <v>78</v>
      </c>
      <c r="E456" t="s">
        <v>40</v>
      </c>
      <c r="F456">
        <v>2</v>
      </c>
      <c r="G456">
        <v>7999</v>
      </c>
      <c r="H456">
        <v>0.15</v>
      </c>
      <c r="I456" t="s">
        <v>15</v>
      </c>
      <c r="J456" t="s">
        <v>51</v>
      </c>
      <c r="K456" t="s">
        <v>17</v>
      </c>
      <c r="L456">
        <f>F455*G455*(1-H455)</f>
        <v>948.09999999999991</v>
      </c>
    </row>
    <row r="457" spans="1:12">
      <c r="A457" t="s">
        <v>830</v>
      </c>
      <c r="B457" s="1">
        <v>46117</v>
      </c>
      <c r="C457" t="s">
        <v>298</v>
      </c>
      <c r="D457" t="s">
        <v>78</v>
      </c>
      <c r="E457" t="s">
        <v>14</v>
      </c>
      <c r="F457">
        <v>3</v>
      </c>
      <c r="G457">
        <v>799</v>
      </c>
      <c r="H457">
        <v>0</v>
      </c>
      <c r="I457" t="s">
        <v>47</v>
      </c>
      <c r="J457" t="s">
        <v>51</v>
      </c>
      <c r="K457" t="s">
        <v>23</v>
      </c>
      <c r="L457">
        <f>F456*G456*(1-H456)</f>
        <v>13598.3</v>
      </c>
    </row>
    <row r="458" spans="1:12">
      <c r="A458" t="s">
        <v>831</v>
      </c>
      <c r="B458" s="1">
        <v>46045</v>
      </c>
      <c r="C458" t="s">
        <v>832</v>
      </c>
      <c r="D458" t="s">
        <v>20</v>
      </c>
      <c r="E458" t="s">
        <v>21</v>
      </c>
      <c r="F458">
        <v>5</v>
      </c>
      <c r="G458">
        <v>1299</v>
      </c>
      <c r="H458">
        <v>0</v>
      </c>
      <c r="I458" t="s">
        <v>47</v>
      </c>
      <c r="J458" t="s">
        <v>16</v>
      </c>
      <c r="K458" t="s">
        <v>37</v>
      </c>
      <c r="L458">
        <f>F457*G457*(1-H457)</f>
        <v>2397</v>
      </c>
    </row>
    <row r="459" spans="1:12">
      <c r="A459" t="s">
        <v>833</v>
      </c>
      <c r="B459" s="1">
        <v>46061</v>
      </c>
      <c r="C459" t="s">
        <v>426</v>
      </c>
      <c r="D459" t="s">
        <v>20</v>
      </c>
      <c r="E459" t="s">
        <v>21</v>
      </c>
      <c r="F459">
        <v>3</v>
      </c>
      <c r="G459">
        <v>4999</v>
      </c>
      <c r="H459">
        <v>0</v>
      </c>
      <c r="I459" t="s">
        <v>44</v>
      </c>
      <c r="J459" t="s">
        <v>51</v>
      </c>
      <c r="K459" t="s">
        <v>23</v>
      </c>
      <c r="L459">
        <f>F458*G458*(1-H458)</f>
        <v>6495</v>
      </c>
    </row>
    <row r="460" spans="1:12">
      <c r="A460" t="s">
        <v>834</v>
      </c>
      <c r="B460" s="1">
        <v>46197</v>
      </c>
      <c r="C460" t="s">
        <v>835</v>
      </c>
      <c r="D460" t="s">
        <v>78</v>
      </c>
      <c r="E460" t="s">
        <v>35</v>
      </c>
      <c r="F460">
        <v>5</v>
      </c>
      <c r="G460">
        <v>999</v>
      </c>
      <c r="H460">
        <v>0</v>
      </c>
      <c r="I460" t="s">
        <v>44</v>
      </c>
      <c r="J460" t="s">
        <v>51</v>
      </c>
      <c r="K460" t="s">
        <v>17</v>
      </c>
      <c r="L460">
        <f>F459*G459*(1-H459)</f>
        <v>14997</v>
      </c>
    </row>
    <row r="461" spans="1:12">
      <c r="A461" t="s">
        <v>836</v>
      </c>
      <c r="B461" s="1">
        <v>46025</v>
      </c>
      <c r="C461" t="s">
        <v>837</v>
      </c>
      <c r="D461" t="s">
        <v>56</v>
      </c>
      <c r="E461" t="s">
        <v>35</v>
      </c>
      <c r="F461">
        <v>2</v>
      </c>
      <c r="G461">
        <v>1999</v>
      </c>
      <c r="H461">
        <v>0.1</v>
      </c>
      <c r="I461" t="s">
        <v>50</v>
      </c>
      <c r="J461" t="s">
        <v>28</v>
      </c>
      <c r="K461" t="s">
        <v>17</v>
      </c>
      <c r="L461">
        <f>F460*G460*(1-H460)</f>
        <v>4995</v>
      </c>
    </row>
    <row r="462" spans="1:12">
      <c r="A462" t="s">
        <v>838</v>
      </c>
      <c r="B462" s="1">
        <v>46264</v>
      </c>
      <c r="C462" t="s">
        <v>839</v>
      </c>
      <c r="D462" t="s">
        <v>71</v>
      </c>
      <c r="E462" t="s">
        <v>40</v>
      </c>
      <c r="F462">
        <v>2</v>
      </c>
      <c r="G462">
        <v>2499</v>
      </c>
      <c r="H462">
        <v>0</v>
      </c>
      <c r="I462" t="s">
        <v>32</v>
      </c>
      <c r="J462" t="s">
        <v>16</v>
      </c>
      <c r="K462" t="s">
        <v>17</v>
      </c>
      <c r="L462">
        <f>F461*G461*(1-H461)</f>
        <v>3598.2000000000003</v>
      </c>
    </row>
    <row r="463" spans="1:12">
      <c r="A463" t="s">
        <v>840</v>
      </c>
      <c r="B463" s="1">
        <v>46202</v>
      </c>
      <c r="C463" t="s">
        <v>90</v>
      </c>
      <c r="D463" t="s">
        <v>13</v>
      </c>
      <c r="E463" t="s">
        <v>27</v>
      </c>
      <c r="F463">
        <v>4</v>
      </c>
      <c r="G463">
        <v>2499</v>
      </c>
      <c r="H463">
        <v>0</v>
      </c>
      <c r="I463" t="s">
        <v>32</v>
      </c>
      <c r="J463" t="s">
        <v>16</v>
      </c>
      <c r="K463" t="s">
        <v>17</v>
      </c>
      <c r="L463">
        <f>F462*G462*(1-H462)</f>
        <v>4998</v>
      </c>
    </row>
    <row r="464" spans="1:12">
      <c r="A464" t="s">
        <v>841</v>
      </c>
      <c r="B464" s="1">
        <v>46054</v>
      </c>
      <c r="C464" t="s">
        <v>524</v>
      </c>
      <c r="D464" t="s">
        <v>62</v>
      </c>
      <c r="E464" t="s">
        <v>14</v>
      </c>
      <c r="F464">
        <v>1</v>
      </c>
      <c r="G464">
        <v>1499</v>
      </c>
      <c r="H464">
        <v>0.15</v>
      </c>
      <c r="I464" t="s">
        <v>44</v>
      </c>
      <c r="J464" t="s">
        <v>16</v>
      </c>
      <c r="K464" t="s">
        <v>23</v>
      </c>
      <c r="L464">
        <f>F463*G463*(1-H463)</f>
        <v>9996</v>
      </c>
    </row>
    <row r="465" spans="1:12">
      <c r="A465" t="s">
        <v>842</v>
      </c>
      <c r="B465" s="1">
        <v>46295</v>
      </c>
      <c r="C465" t="s">
        <v>843</v>
      </c>
      <c r="D465" t="s">
        <v>26</v>
      </c>
      <c r="E465" t="s">
        <v>14</v>
      </c>
      <c r="F465">
        <v>4</v>
      </c>
      <c r="G465">
        <v>4999</v>
      </c>
      <c r="H465">
        <v>0</v>
      </c>
      <c r="I465" t="s">
        <v>32</v>
      </c>
      <c r="J465" t="s">
        <v>16</v>
      </c>
      <c r="K465" t="s">
        <v>23</v>
      </c>
      <c r="L465">
        <f>F464*G464*(1-H464)</f>
        <v>1274.1499999999999</v>
      </c>
    </row>
    <row r="466" spans="1:12">
      <c r="A466" t="s">
        <v>844</v>
      </c>
      <c r="B466" s="1">
        <v>46223</v>
      </c>
      <c r="C466" t="s">
        <v>822</v>
      </c>
      <c r="D466" t="s">
        <v>13</v>
      </c>
      <c r="E466" t="s">
        <v>14</v>
      </c>
      <c r="F466">
        <v>5</v>
      </c>
      <c r="G466">
        <v>1999</v>
      </c>
      <c r="H466">
        <v>0.1</v>
      </c>
      <c r="I466" t="s">
        <v>15</v>
      </c>
      <c r="J466" t="s">
        <v>16</v>
      </c>
      <c r="K466" t="s">
        <v>17</v>
      </c>
      <c r="L466">
        <f>F465*G465*(1-H465)</f>
        <v>19996</v>
      </c>
    </row>
    <row r="467" spans="1:12">
      <c r="A467" t="s">
        <v>845</v>
      </c>
      <c r="B467" s="1">
        <v>46230</v>
      </c>
      <c r="C467" t="s">
        <v>846</v>
      </c>
      <c r="D467" t="s">
        <v>62</v>
      </c>
      <c r="E467" t="s">
        <v>14</v>
      </c>
      <c r="F467">
        <v>2</v>
      </c>
      <c r="G467">
        <v>999</v>
      </c>
      <c r="H467">
        <v>0</v>
      </c>
      <c r="I467" t="s">
        <v>15</v>
      </c>
      <c r="J467" t="s">
        <v>36</v>
      </c>
      <c r="K467" t="s">
        <v>17</v>
      </c>
      <c r="L467">
        <f>F466*G466*(1-H466)</f>
        <v>8995.5</v>
      </c>
    </row>
    <row r="468" spans="1:12">
      <c r="A468" t="s">
        <v>847</v>
      </c>
      <c r="B468" s="1">
        <v>46213</v>
      </c>
      <c r="C468" t="s">
        <v>848</v>
      </c>
      <c r="D468" t="s">
        <v>20</v>
      </c>
      <c r="E468" t="s">
        <v>21</v>
      </c>
      <c r="F468">
        <v>2</v>
      </c>
      <c r="G468">
        <v>2499</v>
      </c>
      <c r="H468">
        <v>0.15</v>
      </c>
      <c r="I468" t="s">
        <v>50</v>
      </c>
      <c r="J468" t="s">
        <v>36</v>
      </c>
      <c r="K468" t="s">
        <v>17</v>
      </c>
      <c r="L468">
        <f>F467*G467*(1-H467)</f>
        <v>1998</v>
      </c>
    </row>
    <row r="469" spans="1:12">
      <c r="A469" t="s">
        <v>849</v>
      </c>
      <c r="B469" s="1">
        <v>46037</v>
      </c>
      <c r="C469" t="s">
        <v>86</v>
      </c>
      <c r="D469" t="s">
        <v>71</v>
      </c>
      <c r="E469" t="s">
        <v>14</v>
      </c>
      <c r="F469">
        <v>4</v>
      </c>
      <c r="G469">
        <v>799</v>
      </c>
      <c r="H469">
        <v>0</v>
      </c>
      <c r="I469" t="s">
        <v>50</v>
      </c>
      <c r="J469" t="s">
        <v>36</v>
      </c>
      <c r="K469" t="s">
        <v>23</v>
      </c>
      <c r="L469">
        <f>F468*G468*(1-H468)</f>
        <v>4248.3</v>
      </c>
    </row>
    <row r="470" spans="1:12">
      <c r="A470" t="s">
        <v>850</v>
      </c>
      <c r="B470" s="1">
        <v>46261</v>
      </c>
      <c r="C470" t="s">
        <v>851</v>
      </c>
      <c r="D470" t="s">
        <v>20</v>
      </c>
      <c r="E470" t="s">
        <v>27</v>
      </c>
      <c r="F470">
        <v>1</v>
      </c>
      <c r="G470">
        <v>599</v>
      </c>
      <c r="H470">
        <v>0.05</v>
      </c>
      <c r="I470" t="s">
        <v>50</v>
      </c>
      <c r="J470" t="s">
        <v>16</v>
      </c>
      <c r="K470" t="s">
        <v>23</v>
      </c>
      <c r="L470">
        <f>F469*G469*(1-H469)</f>
        <v>3196</v>
      </c>
    </row>
    <row r="471" spans="1:12">
      <c r="A471" t="s">
        <v>852</v>
      </c>
      <c r="B471" s="1">
        <v>46128</v>
      </c>
      <c r="C471" t="s">
        <v>746</v>
      </c>
      <c r="D471" t="s">
        <v>78</v>
      </c>
      <c r="E471" t="s">
        <v>21</v>
      </c>
      <c r="F471">
        <v>3</v>
      </c>
      <c r="G471">
        <v>1499</v>
      </c>
      <c r="H471">
        <v>0.05</v>
      </c>
      <c r="I471" t="s">
        <v>44</v>
      </c>
      <c r="J471" t="s">
        <v>28</v>
      </c>
      <c r="K471" t="s">
        <v>17</v>
      </c>
      <c r="L471">
        <f>F470*G470*(1-H470)</f>
        <v>569.04999999999995</v>
      </c>
    </row>
    <row r="472" spans="1:12">
      <c r="A472" t="s">
        <v>853</v>
      </c>
      <c r="B472" s="1">
        <v>46041</v>
      </c>
      <c r="C472" t="s">
        <v>536</v>
      </c>
      <c r="D472" t="s">
        <v>71</v>
      </c>
      <c r="E472" t="s">
        <v>40</v>
      </c>
      <c r="F472">
        <v>3</v>
      </c>
      <c r="G472">
        <v>499</v>
      </c>
      <c r="H472">
        <v>0.15</v>
      </c>
      <c r="I472" t="s">
        <v>32</v>
      </c>
      <c r="J472" t="s">
        <v>28</v>
      </c>
      <c r="K472" t="s">
        <v>17</v>
      </c>
      <c r="L472">
        <f>F471*G471*(1-H471)</f>
        <v>4272.1499999999996</v>
      </c>
    </row>
    <row r="473" spans="1:12">
      <c r="A473" t="s">
        <v>854</v>
      </c>
      <c r="B473" s="1">
        <v>46259</v>
      </c>
      <c r="C473" t="s">
        <v>818</v>
      </c>
      <c r="D473" t="s">
        <v>59</v>
      </c>
      <c r="E473" t="s">
        <v>27</v>
      </c>
      <c r="F473">
        <v>2</v>
      </c>
      <c r="G473">
        <v>599</v>
      </c>
      <c r="H473">
        <v>0</v>
      </c>
      <c r="I473" t="s">
        <v>50</v>
      </c>
      <c r="J473" t="s">
        <v>22</v>
      </c>
      <c r="K473" t="s">
        <v>17</v>
      </c>
      <c r="L473">
        <f>F472*G472*(1-H472)</f>
        <v>1272.45</v>
      </c>
    </row>
    <row r="474" spans="1:12">
      <c r="A474" t="s">
        <v>855</v>
      </c>
      <c r="B474" s="1">
        <v>46226</v>
      </c>
      <c r="C474" t="s">
        <v>372</v>
      </c>
      <c r="D474" t="s">
        <v>31</v>
      </c>
      <c r="E474" t="s">
        <v>21</v>
      </c>
      <c r="F474">
        <v>5</v>
      </c>
      <c r="G474">
        <v>1999</v>
      </c>
      <c r="H474">
        <v>0.1</v>
      </c>
      <c r="I474" t="s">
        <v>15</v>
      </c>
      <c r="J474" t="s">
        <v>22</v>
      </c>
      <c r="K474" t="s">
        <v>17</v>
      </c>
      <c r="L474">
        <f>F473*G473*(1-H473)</f>
        <v>1198</v>
      </c>
    </row>
    <row r="475" spans="1:12">
      <c r="A475" t="s">
        <v>856</v>
      </c>
      <c r="B475" s="1">
        <v>46218</v>
      </c>
      <c r="C475" t="s">
        <v>857</v>
      </c>
      <c r="D475" t="s">
        <v>62</v>
      </c>
      <c r="E475" t="s">
        <v>21</v>
      </c>
      <c r="F475">
        <v>1</v>
      </c>
      <c r="G475">
        <v>499</v>
      </c>
      <c r="H475">
        <v>0</v>
      </c>
      <c r="I475" t="s">
        <v>47</v>
      </c>
      <c r="J475" t="s">
        <v>51</v>
      </c>
      <c r="K475" t="s">
        <v>23</v>
      </c>
      <c r="L475">
        <f>F474*G474*(1-H474)</f>
        <v>8995.5</v>
      </c>
    </row>
    <row r="476" spans="1:12">
      <c r="A476" t="s">
        <v>858</v>
      </c>
      <c r="B476" s="1">
        <v>46138</v>
      </c>
      <c r="C476" t="s">
        <v>651</v>
      </c>
      <c r="D476" t="s">
        <v>31</v>
      </c>
      <c r="E476" t="s">
        <v>35</v>
      </c>
      <c r="F476">
        <v>2</v>
      </c>
      <c r="G476">
        <v>499</v>
      </c>
      <c r="H476">
        <v>0</v>
      </c>
      <c r="I476" t="s">
        <v>44</v>
      </c>
      <c r="J476" t="s">
        <v>22</v>
      </c>
      <c r="K476" t="s">
        <v>23</v>
      </c>
      <c r="L476">
        <f>F475*G475*(1-H475)</f>
        <v>499</v>
      </c>
    </row>
    <row r="477" spans="1:12">
      <c r="A477" t="s">
        <v>859</v>
      </c>
      <c r="B477" s="1">
        <v>46244</v>
      </c>
      <c r="C477" t="s">
        <v>860</v>
      </c>
      <c r="D477" t="s">
        <v>43</v>
      </c>
      <c r="E477" t="s">
        <v>27</v>
      </c>
      <c r="F477">
        <v>1</v>
      </c>
      <c r="G477">
        <v>1499</v>
      </c>
      <c r="H477">
        <v>0.1</v>
      </c>
      <c r="I477" t="s">
        <v>50</v>
      </c>
      <c r="J477" t="s">
        <v>16</v>
      </c>
      <c r="K477" t="s">
        <v>37</v>
      </c>
      <c r="L477">
        <f>F476*G476*(1-H476)</f>
        <v>998</v>
      </c>
    </row>
    <row r="478" spans="1:12">
      <c r="A478" t="s">
        <v>861</v>
      </c>
      <c r="B478" s="1">
        <v>46270</v>
      </c>
      <c r="C478" t="s">
        <v>862</v>
      </c>
      <c r="D478" t="s">
        <v>20</v>
      </c>
      <c r="E478" t="s">
        <v>27</v>
      </c>
      <c r="F478">
        <v>2</v>
      </c>
      <c r="G478">
        <v>4999</v>
      </c>
      <c r="H478">
        <v>0</v>
      </c>
      <c r="I478" t="s">
        <v>47</v>
      </c>
      <c r="J478" t="s">
        <v>28</v>
      </c>
      <c r="K478" t="s">
        <v>37</v>
      </c>
      <c r="L478">
        <f>F477*G477*(1-H477)</f>
        <v>1349.1000000000001</v>
      </c>
    </row>
    <row r="479" spans="1:12">
      <c r="A479" t="s">
        <v>863</v>
      </c>
      <c r="B479" s="1">
        <v>46125</v>
      </c>
      <c r="C479" t="s">
        <v>864</v>
      </c>
      <c r="D479" t="s">
        <v>13</v>
      </c>
      <c r="E479" t="s">
        <v>21</v>
      </c>
      <c r="F479">
        <v>3</v>
      </c>
      <c r="G479">
        <v>4999</v>
      </c>
      <c r="H479">
        <v>0</v>
      </c>
      <c r="I479" t="s">
        <v>47</v>
      </c>
      <c r="J479" t="s">
        <v>16</v>
      </c>
      <c r="K479" t="s">
        <v>37</v>
      </c>
      <c r="L479">
        <f>F478*G478*(1-H478)</f>
        <v>9998</v>
      </c>
    </row>
    <row r="480" spans="1:12">
      <c r="A480" t="s">
        <v>865</v>
      </c>
      <c r="B480" s="1">
        <v>46281</v>
      </c>
      <c r="C480" t="s">
        <v>320</v>
      </c>
      <c r="D480" t="s">
        <v>26</v>
      </c>
      <c r="E480" t="s">
        <v>27</v>
      </c>
      <c r="F480">
        <v>3</v>
      </c>
      <c r="G480">
        <v>599</v>
      </c>
      <c r="H480">
        <v>0.05</v>
      </c>
      <c r="I480" t="s">
        <v>44</v>
      </c>
      <c r="J480" t="s">
        <v>16</v>
      </c>
      <c r="K480" t="s">
        <v>23</v>
      </c>
      <c r="L480">
        <f>F479*G479*(1-H479)</f>
        <v>14997</v>
      </c>
    </row>
    <row r="481" spans="1:12">
      <c r="A481" t="s">
        <v>866</v>
      </c>
      <c r="B481" s="1">
        <v>46104</v>
      </c>
      <c r="C481" t="s">
        <v>464</v>
      </c>
      <c r="D481" t="s">
        <v>71</v>
      </c>
      <c r="E481" t="s">
        <v>21</v>
      </c>
      <c r="F481">
        <v>2</v>
      </c>
      <c r="G481">
        <v>599</v>
      </c>
      <c r="H481">
        <v>0.1</v>
      </c>
      <c r="I481" t="s">
        <v>47</v>
      </c>
      <c r="J481" t="s">
        <v>36</v>
      </c>
      <c r="K481" t="s">
        <v>17</v>
      </c>
      <c r="L481">
        <f>F480*G480*(1-H480)</f>
        <v>1707.1499999999999</v>
      </c>
    </row>
    <row r="482" spans="1:12">
      <c r="A482" t="s">
        <v>867</v>
      </c>
      <c r="B482" s="1">
        <v>46038</v>
      </c>
      <c r="C482" t="s">
        <v>211</v>
      </c>
      <c r="D482" t="s">
        <v>43</v>
      </c>
      <c r="E482" t="s">
        <v>14</v>
      </c>
      <c r="F482">
        <v>2</v>
      </c>
      <c r="G482">
        <v>799</v>
      </c>
      <c r="H482">
        <v>0.15</v>
      </c>
      <c r="I482" t="s">
        <v>50</v>
      </c>
      <c r="J482" t="s">
        <v>51</v>
      </c>
      <c r="K482" t="s">
        <v>23</v>
      </c>
      <c r="L482">
        <f>F481*G481*(1-H481)</f>
        <v>1078.2</v>
      </c>
    </row>
    <row r="483" spans="1:12">
      <c r="A483" t="s">
        <v>868</v>
      </c>
      <c r="B483" s="1">
        <v>46294</v>
      </c>
      <c r="C483" t="s">
        <v>577</v>
      </c>
      <c r="D483" t="s">
        <v>78</v>
      </c>
      <c r="E483" t="s">
        <v>27</v>
      </c>
      <c r="F483">
        <v>3</v>
      </c>
      <c r="G483">
        <v>1299</v>
      </c>
      <c r="H483">
        <v>0</v>
      </c>
      <c r="I483" t="s">
        <v>44</v>
      </c>
      <c r="J483" t="s">
        <v>16</v>
      </c>
      <c r="K483" t="s">
        <v>17</v>
      </c>
      <c r="L483">
        <f>F482*G482*(1-H482)</f>
        <v>1358.3</v>
      </c>
    </row>
    <row r="484" spans="1:12">
      <c r="A484" t="s">
        <v>869</v>
      </c>
      <c r="B484" s="1">
        <v>46288</v>
      </c>
      <c r="C484" t="s">
        <v>870</v>
      </c>
      <c r="D484" t="s">
        <v>62</v>
      </c>
      <c r="E484" t="s">
        <v>21</v>
      </c>
      <c r="F484">
        <v>1</v>
      </c>
      <c r="G484">
        <v>1499</v>
      </c>
      <c r="H484">
        <v>0</v>
      </c>
      <c r="I484" t="s">
        <v>47</v>
      </c>
      <c r="J484" t="s">
        <v>28</v>
      </c>
      <c r="K484" t="s">
        <v>17</v>
      </c>
      <c r="L484">
        <f>F483*G483*(1-H483)</f>
        <v>3897</v>
      </c>
    </row>
    <row r="485" spans="1:12">
      <c r="A485" t="s">
        <v>871</v>
      </c>
      <c r="B485" s="1">
        <v>46249</v>
      </c>
      <c r="C485" t="s">
        <v>872</v>
      </c>
      <c r="D485" t="s">
        <v>56</v>
      </c>
      <c r="E485" t="s">
        <v>40</v>
      </c>
      <c r="F485">
        <v>1</v>
      </c>
      <c r="G485">
        <v>499</v>
      </c>
      <c r="H485">
        <v>0.1</v>
      </c>
      <c r="I485" t="s">
        <v>15</v>
      </c>
      <c r="J485" t="s">
        <v>36</v>
      </c>
      <c r="K485" t="s">
        <v>37</v>
      </c>
      <c r="L485">
        <f>F484*G484*(1-H484)</f>
        <v>1499</v>
      </c>
    </row>
    <row r="486" spans="1:12">
      <c r="A486" t="s">
        <v>873</v>
      </c>
      <c r="B486" s="1">
        <v>46053</v>
      </c>
      <c r="C486" t="s">
        <v>874</v>
      </c>
      <c r="D486" t="s">
        <v>31</v>
      </c>
      <c r="E486" t="s">
        <v>21</v>
      </c>
      <c r="F486">
        <v>1</v>
      </c>
      <c r="G486">
        <v>599</v>
      </c>
      <c r="H486">
        <v>0.05</v>
      </c>
      <c r="I486" t="s">
        <v>44</v>
      </c>
      <c r="J486" t="s">
        <v>22</v>
      </c>
      <c r="K486" t="s">
        <v>17</v>
      </c>
      <c r="L486">
        <f>F485*G485*(1-H485)</f>
        <v>449.1</v>
      </c>
    </row>
    <row r="487" spans="1:12">
      <c r="A487" t="s">
        <v>875</v>
      </c>
      <c r="B487" s="1">
        <v>46101</v>
      </c>
      <c r="C487" t="s">
        <v>851</v>
      </c>
      <c r="D487" t="s">
        <v>62</v>
      </c>
      <c r="E487" t="s">
        <v>14</v>
      </c>
      <c r="F487">
        <v>3</v>
      </c>
      <c r="G487">
        <v>1299</v>
      </c>
      <c r="H487">
        <v>0.15</v>
      </c>
      <c r="I487" t="s">
        <v>50</v>
      </c>
      <c r="J487" t="s">
        <v>22</v>
      </c>
      <c r="K487" t="s">
        <v>17</v>
      </c>
      <c r="L487">
        <f>F486*G486*(1-H486)</f>
        <v>569.04999999999995</v>
      </c>
    </row>
    <row r="488" spans="1:12">
      <c r="A488" t="s">
        <v>876</v>
      </c>
      <c r="B488" s="1">
        <v>46071</v>
      </c>
      <c r="C488" t="s">
        <v>877</v>
      </c>
      <c r="D488" t="s">
        <v>31</v>
      </c>
      <c r="E488" t="s">
        <v>14</v>
      </c>
      <c r="F488">
        <v>4</v>
      </c>
      <c r="G488">
        <v>7999</v>
      </c>
      <c r="H488">
        <v>0.1</v>
      </c>
      <c r="I488" t="s">
        <v>47</v>
      </c>
      <c r="J488" t="s">
        <v>22</v>
      </c>
      <c r="K488" t="s">
        <v>23</v>
      </c>
      <c r="L488">
        <f>F487*G487*(1-H487)</f>
        <v>3312.45</v>
      </c>
    </row>
    <row r="489" spans="1:12">
      <c r="A489" t="s">
        <v>878</v>
      </c>
      <c r="B489" s="1">
        <v>46036</v>
      </c>
      <c r="C489" t="s">
        <v>287</v>
      </c>
      <c r="D489" t="s">
        <v>62</v>
      </c>
      <c r="E489" t="s">
        <v>14</v>
      </c>
      <c r="F489">
        <v>3</v>
      </c>
      <c r="G489">
        <v>1299</v>
      </c>
      <c r="H489">
        <v>0</v>
      </c>
      <c r="I489" t="s">
        <v>44</v>
      </c>
      <c r="J489" t="s">
        <v>22</v>
      </c>
      <c r="K489" t="s">
        <v>37</v>
      </c>
      <c r="L489">
        <f>F488*G488*(1-H488)</f>
        <v>28796.400000000001</v>
      </c>
    </row>
    <row r="490" spans="1:12">
      <c r="A490" t="s">
        <v>879</v>
      </c>
      <c r="B490" s="1">
        <v>46249</v>
      </c>
      <c r="C490" t="s">
        <v>162</v>
      </c>
      <c r="D490" t="s">
        <v>13</v>
      </c>
      <c r="E490" t="s">
        <v>27</v>
      </c>
      <c r="F490">
        <v>5</v>
      </c>
      <c r="G490">
        <v>999</v>
      </c>
      <c r="H490">
        <v>0.05</v>
      </c>
      <c r="I490" t="s">
        <v>15</v>
      </c>
      <c r="J490" t="s">
        <v>51</v>
      </c>
      <c r="K490" t="s">
        <v>17</v>
      </c>
      <c r="L490">
        <f>F489*G489*(1-H489)</f>
        <v>3897</v>
      </c>
    </row>
    <row r="491" spans="1:12">
      <c r="A491" t="s">
        <v>880</v>
      </c>
      <c r="B491" s="1">
        <v>46046</v>
      </c>
      <c r="C491" t="s">
        <v>881</v>
      </c>
      <c r="D491" t="s">
        <v>20</v>
      </c>
      <c r="E491" t="s">
        <v>14</v>
      </c>
      <c r="F491">
        <v>3</v>
      </c>
      <c r="G491">
        <v>1499</v>
      </c>
      <c r="H491">
        <v>0.15</v>
      </c>
      <c r="I491" t="s">
        <v>15</v>
      </c>
      <c r="J491" t="s">
        <v>16</v>
      </c>
      <c r="K491" t="s">
        <v>37</v>
      </c>
      <c r="L491">
        <f>F490*G490*(1-H490)</f>
        <v>4745.25</v>
      </c>
    </row>
    <row r="492" spans="1:12">
      <c r="A492" t="s">
        <v>882</v>
      </c>
      <c r="B492" s="1">
        <v>46055</v>
      </c>
      <c r="C492" t="s">
        <v>883</v>
      </c>
      <c r="D492" t="s">
        <v>20</v>
      </c>
      <c r="E492" t="s">
        <v>21</v>
      </c>
      <c r="F492">
        <v>3</v>
      </c>
      <c r="G492">
        <v>1499</v>
      </c>
      <c r="H492">
        <v>0.05</v>
      </c>
      <c r="I492" t="s">
        <v>50</v>
      </c>
      <c r="J492" t="s">
        <v>22</v>
      </c>
      <c r="K492" t="s">
        <v>17</v>
      </c>
      <c r="L492">
        <f>F491*G491*(1-H491)</f>
        <v>3822.45</v>
      </c>
    </row>
    <row r="493" spans="1:12">
      <c r="A493" t="s">
        <v>884</v>
      </c>
      <c r="B493" s="1">
        <v>46080</v>
      </c>
      <c r="C493" t="s">
        <v>450</v>
      </c>
      <c r="D493" t="s">
        <v>56</v>
      </c>
      <c r="E493" t="s">
        <v>27</v>
      </c>
      <c r="F493">
        <v>2</v>
      </c>
      <c r="G493">
        <v>1299</v>
      </c>
      <c r="H493">
        <v>0</v>
      </c>
      <c r="I493" t="s">
        <v>32</v>
      </c>
      <c r="J493" t="s">
        <v>51</v>
      </c>
      <c r="K493" t="s">
        <v>23</v>
      </c>
      <c r="L493">
        <f>F492*G492*(1-H492)</f>
        <v>4272.1499999999996</v>
      </c>
    </row>
    <row r="494" spans="1:12">
      <c r="A494" t="s">
        <v>885</v>
      </c>
      <c r="B494" s="1">
        <v>46108</v>
      </c>
      <c r="C494" t="s">
        <v>886</v>
      </c>
      <c r="D494" t="s">
        <v>56</v>
      </c>
      <c r="E494" t="s">
        <v>27</v>
      </c>
      <c r="F494">
        <v>1</v>
      </c>
      <c r="G494">
        <v>499</v>
      </c>
      <c r="H494">
        <v>0.1</v>
      </c>
      <c r="I494" t="s">
        <v>44</v>
      </c>
      <c r="J494" t="s">
        <v>16</v>
      </c>
      <c r="K494" t="s">
        <v>17</v>
      </c>
      <c r="L494">
        <f>F493*G493*(1-H493)</f>
        <v>2598</v>
      </c>
    </row>
    <row r="495" spans="1:12">
      <c r="A495" t="s">
        <v>887</v>
      </c>
      <c r="B495" s="1">
        <v>46175</v>
      </c>
      <c r="C495" t="s">
        <v>430</v>
      </c>
      <c r="D495" t="s">
        <v>78</v>
      </c>
      <c r="E495" t="s">
        <v>40</v>
      </c>
      <c r="F495">
        <v>2</v>
      </c>
      <c r="G495">
        <v>1299</v>
      </c>
      <c r="H495">
        <v>0</v>
      </c>
      <c r="I495" t="s">
        <v>50</v>
      </c>
      <c r="J495" t="s">
        <v>28</v>
      </c>
      <c r="K495" t="s">
        <v>37</v>
      </c>
      <c r="L495">
        <f>F494*G494*(1-H494)</f>
        <v>449.1</v>
      </c>
    </row>
    <row r="496" spans="1:12">
      <c r="A496" t="s">
        <v>888</v>
      </c>
      <c r="B496" s="1">
        <v>46114</v>
      </c>
      <c r="C496" t="s">
        <v>889</v>
      </c>
      <c r="D496" t="s">
        <v>71</v>
      </c>
      <c r="E496" t="s">
        <v>35</v>
      </c>
      <c r="F496">
        <v>1</v>
      </c>
      <c r="G496">
        <v>1499</v>
      </c>
      <c r="H496">
        <v>0</v>
      </c>
      <c r="I496" t="s">
        <v>50</v>
      </c>
      <c r="J496" t="s">
        <v>28</v>
      </c>
      <c r="K496" t="s">
        <v>17</v>
      </c>
      <c r="L496">
        <f>F495*G495*(1-H495)</f>
        <v>2598</v>
      </c>
    </row>
    <row r="497" spans="1:12">
      <c r="A497" t="s">
        <v>890</v>
      </c>
      <c r="B497" s="1">
        <v>46122</v>
      </c>
      <c r="C497" t="s">
        <v>891</v>
      </c>
      <c r="D497" t="s">
        <v>31</v>
      </c>
      <c r="E497" t="s">
        <v>35</v>
      </c>
      <c r="F497">
        <v>3</v>
      </c>
      <c r="G497">
        <v>1999</v>
      </c>
      <c r="H497">
        <v>0</v>
      </c>
      <c r="I497" t="s">
        <v>15</v>
      </c>
      <c r="J497" t="s">
        <v>28</v>
      </c>
      <c r="K497" t="s">
        <v>17</v>
      </c>
      <c r="L497">
        <f>F496*G496*(1-H496)</f>
        <v>1499</v>
      </c>
    </row>
    <row r="498" spans="1:12">
      <c r="A498" t="s">
        <v>892</v>
      </c>
      <c r="B498" s="1">
        <v>46036</v>
      </c>
      <c r="C498" t="s">
        <v>893</v>
      </c>
      <c r="D498" t="s">
        <v>78</v>
      </c>
      <c r="E498" t="s">
        <v>27</v>
      </c>
      <c r="F498">
        <v>5</v>
      </c>
      <c r="G498">
        <v>2499</v>
      </c>
      <c r="H498">
        <v>0.05</v>
      </c>
      <c r="I498" t="s">
        <v>32</v>
      </c>
      <c r="J498" t="s">
        <v>22</v>
      </c>
      <c r="K498" t="s">
        <v>17</v>
      </c>
      <c r="L498">
        <f>F497*G497*(1-H497)</f>
        <v>5997</v>
      </c>
    </row>
    <row r="499" spans="1:12">
      <c r="A499" t="s">
        <v>894</v>
      </c>
      <c r="B499" s="1">
        <v>46239</v>
      </c>
      <c r="C499" t="s">
        <v>117</v>
      </c>
      <c r="D499" t="s">
        <v>56</v>
      </c>
      <c r="E499" t="s">
        <v>14</v>
      </c>
      <c r="F499">
        <v>4</v>
      </c>
      <c r="G499">
        <v>499</v>
      </c>
      <c r="H499">
        <v>0</v>
      </c>
      <c r="I499" t="s">
        <v>44</v>
      </c>
      <c r="J499" t="s">
        <v>51</v>
      </c>
      <c r="K499" t="s">
        <v>37</v>
      </c>
      <c r="L499">
        <f>F498*G498*(1-H498)</f>
        <v>11870.25</v>
      </c>
    </row>
    <row r="500" spans="1:12">
      <c r="A500" t="s">
        <v>895</v>
      </c>
      <c r="B500" s="1">
        <v>46188</v>
      </c>
      <c r="C500" t="s">
        <v>896</v>
      </c>
      <c r="D500" t="s">
        <v>20</v>
      </c>
      <c r="E500" t="s">
        <v>40</v>
      </c>
      <c r="F500">
        <v>4</v>
      </c>
      <c r="G500">
        <v>1499</v>
      </c>
      <c r="H500">
        <v>0.1</v>
      </c>
      <c r="I500" t="s">
        <v>50</v>
      </c>
      <c r="J500" t="s">
        <v>22</v>
      </c>
      <c r="K500" t="s">
        <v>17</v>
      </c>
      <c r="L500">
        <f>F499*G499*(1-H499)</f>
        <v>1996</v>
      </c>
    </row>
    <row r="501" spans="1:12">
      <c r="A501" t="s">
        <v>897</v>
      </c>
      <c r="B501" s="1">
        <v>46266</v>
      </c>
      <c r="C501" t="s">
        <v>421</v>
      </c>
      <c r="D501" t="s">
        <v>20</v>
      </c>
      <c r="E501" t="s">
        <v>27</v>
      </c>
      <c r="F501">
        <v>1</v>
      </c>
      <c r="G501">
        <v>599</v>
      </c>
      <c r="H501">
        <v>0.05</v>
      </c>
      <c r="I501" t="s">
        <v>44</v>
      </c>
      <c r="J501" t="s">
        <v>16</v>
      </c>
      <c r="K501" t="s">
        <v>37</v>
      </c>
      <c r="L501">
        <f>F500*G500*(1-H500)</f>
        <v>5396.4000000000005</v>
      </c>
    </row>
    <row r="502" spans="1:12">
      <c r="A502" t="s">
        <v>898</v>
      </c>
      <c r="B502" s="1">
        <v>46278</v>
      </c>
      <c r="C502" t="s">
        <v>899</v>
      </c>
      <c r="D502" t="s">
        <v>26</v>
      </c>
      <c r="E502" t="s">
        <v>40</v>
      </c>
      <c r="F502">
        <v>1</v>
      </c>
      <c r="G502">
        <v>799</v>
      </c>
      <c r="H502">
        <v>0.15</v>
      </c>
      <c r="I502" t="s">
        <v>32</v>
      </c>
      <c r="J502" t="s">
        <v>16</v>
      </c>
      <c r="K502" t="s">
        <v>17</v>
      </c>
      <c r="L502">
        <f>F501*G501*(1-H501)</f>
        <v>569.04999999999995</v>
      </c>
    </row>
    <row r="503" spans="1:12">
      <c r="A503" t="s">
        <v>900</v>
      </c>
      <c r="B503" s="1">
        <v>46146</v>
      </c>
      <c r="C503" t="s">
        <v>158</v>
      </c>
      <c r="D503" t="s">
        <v>56</v>
      </c>
      <c r="E503" t="s">
        <v>27</v>
      </c>
      <c r="F503">
        <v>4</v>
      </c>
      <c r="G503">
        <v>4999</v>
      </c>
      <c r="H503">
        <v>0</v>
      </c>
      <c r="I503" t="s">
        <v>50</v>
      </c>
      <c r="J503" t="s">
        <v>36</v>
      </c>
      <c r="K503" t="s">
        <v>23</v>
      </c>
      <c r="L503">
        <f>F502*G502*(1-H502)</f>
        <v>679.15</v>
      </c>
    </row>
    <row r="504" spans="1:12">
      <c r="A504" t="s">
        <v>901</v>
      </c>
      <c r="B504" s="1">
        <v>46206</v>
      </c>
      <c r="C504" t="s">
        <v>142</v>
      </c>
      <c r="D504" t="s">
        <v>26</v>
      </c>
      <c r="E504" t="s">
        <v>27</v>
      </c>
      <c r="F504">
        <v>3</v>
      </c>
      <c r="G504">
        <v>1999</v>
      </c>
      <c r="H504">
        <v>0.1</v>
      </c>
      <c r="I504" t="s">
        <v>44</v>
      </c>
      <c r="J504" t="s">
        <v>16</v>
      </c>
      <c r="K504" t="s">
        <v>17</v>
      </c>
      <c r="L504">
        <f>F503*G503*(1-H503)</f>
        <v>19996</v>
      </c>
    </row>
    <row r="505" spans="1:12">
      <c r="A505" t="s">
        <v>902</v>
      </c>
      <c r="B505" s="1">
        <v>46222</v>
      </c>
      <c r="C505" t="s">
        <v>903</v>
      </c>
      <c r="D505" t="s">
        <v>20</v>
      </c>
      <c r="E505" t="s">
        <v>14</v>
      </c>
      <c r="F505">
        <v>3</v>
      </c>
      <c r="G505">
        <v>499</v>
      </c>
      <c r="H505">
        <v>0.05</v>
      </c>
      <c r="I505" t="s">
        <v>50</v>
      </c>
      <c r="J505" t="s">
        <v>22</v>
      </c>
      <c r="K505" t="s">
        <v>23</v>
      </c>
      <c r="L505">
        <f>F504*G504*(1-H504)</f>
        <v>5397.3</v>
      </c>
    </row>
    <row r="506" spans="1:12">
      <c r="A506" t="s">
        <v>904</v>
      </c>
      <c r="B506" s="1">
        <v>46283</v>
      </c>
      <c r="C506" t="s">
        <v>905</v>
      </c>
      <c r="D506" t="s">
        <v>43</v>
      </c>
      <c r="E506" t="s">
        <v>40</v>
      </c>
      <c r="F506">
        <v>5</v>
      </c>
      <c r="G506">
        <v>7999</v>
      </c>
      <c r="H506">
        <v>0</v>
      </c>
      <c r="I506" t="s">
        <v>44</v>
      </c>
      <c r="J506" t="s">
        <v>36</v>
      </c>
      <c r="K506" t="s">
        <v>23</v>
      </c>
      <c r="L506">
        <f>F505*G505*(1-H505)</f>
        <v>1422.1499999999999</v>
      </c>
    </row>
    <row r="507" spans="1:12">
      <c r="A507" t="s">
        <v>906</v>
      </c>
      <c r="B507" s="1">
        <v>46073</v>
      </c>
      <c r="C507" t="s">
        <v>310</v>
      </c>
      <c r="D507" t="s">
        <v>71</v>
      </c>
      <c r="E507" t="s">
        <v>35</v>
      </c>
      <c r="F507">
        <v>4</v>
      </c>
      <c r="G507">
        <v>4999</v>
      </c>
      <c r="H507">
        <v>0.05</v>
      </c>
      <c r="I507" t="s">
        <v>32</v>
      </c>
      <c r="J507" t="s">
        <v>36</v>
      </c>
      <c r="K507" t="s">
        <v>37</v>
      </c>
      <c r="L507">
        <f>F506*G506*(1-H506)</f>
        <v>39995</v>
      </c>
    </row>
    <row r="508" spans="1:12">
      <c r="A508" t="s">
        <v>907</v>
      </c>
      <c r="B508" s="1">
        <v>46053</v>
      </c>
      <c r="C508" t="s">
        <v>908</v>
      </c>
      <c r="D508" t="s">
        <v>78</v>
      </c>
      <c r="E508" t="s">
        <v>27</v>
      </c>
      <c r="F508">
        <v>2</v>
      </c>
      <c r="G508">
        <v>1999</v>
      </c>
      <c r="H508">
        <v>0.05</v>
      </c>
      <c r="I508" t="s">
        <v>15</v>
      </c>
      <c r="J508" t="s">
        <v>36</v>
      </c>
      <c r="K508" t="s">
        <v>23</v>
      </c>
      <c r="L508">
        <f>F507*G507*(1-H507)</f>
        <v>18996.2</v>
      </c>
    </row>
    <row r="509" spans="1:12">
      <c r="A509" t="s">
        <v>909</v>
      </c>
      <c r="B509" s="1">
        <v>46197</v>
      </c>
      <c r="C509" t="s">
        <v>910</v>
      </c>
      <c r="D509" t="s">
        <v>71</v>
      </c>
      <c r="E509" t="s">
        <v>27</v>
      </c>
      <c r="F509">
        <v>3</v>
      </c>
      <c r="G509">
        <v>599</v>
      </c>
      <c r="H509">
        <v>0.1</v>
      </c>
      <c r="I509" t="s">
        <v>44</v>
      </c>
      <c r="J509" t="s">
        <v>36</v>
      </c>
      <c r="K509" t="s">
        <v>17</v>
      </c>
      <c r="L509">
        <f>F508*G508*(1-H508)</f>
        <v>3798.1</v>
      </c>
    </row>
    <row r="510" spans="1:12">
      <c r="A510" t="s">
        <v>911</v>
      </c>
      <c r="B510" s="1">
        <v>46177</v>
      </c>
      <c r="C510" t="s">
        <v>656</v>
      </c>
      <c r="D510" t="s">
        <v>43</v>
      </c>
      <c r="E510" t="s">
        <v>27</v>
      </c>
      <c r="F510">
        <v>2</v>
      </c>
      <c r="G510">
        <v>1499</v>
      </c>
      <c r="H510">
        <v>0</v>
      </c>
      <c r="I510" t="s">
        <v>50</v>
      </c>
      <c r="J510" t="s">
        <v>28</v>
      </c>
      <c r="K510" t="s">
        <v>17</v>
      </c>
      <c r="L510">
        <f>F509*G509*(1-H509)</f>
        <v>1617.3</v>
      </c>
    </row>
    <row r="511" spans="1:12">
      <c r="A511" t="s">
        <v>912</v>
      </c>
      <c r="B511" s="1">
        <v>46120</v>
      </c>
      <c r="C511" t="s">
        <v>905</v>
      </c>
      <c r="D511" t="s">
        <v>56</v>
      </c>
      <c r="E511" t="s">
        <v>40</v>
      </c>
      <c r="F511">
        <v>3</v>
      </c>
      <c r="G511">
        <v>999</v>
      </c>
      <c r="H511">
        <v>0</v>
      </c>
      <c r="I511" t="s">
        <v>15</v>
      </c>
      <c r="J511" t="s">
        <v>16</v>
      </c>
      <c r="K511" t="s">
        <v>37</v>
      </c>
      <c r="L511">
        <f>F510*G510*(1-H510)</f>
        <v>2998</v>
      </c>
    </row>
    <row r="512" spans="1:12">
      <c r="A512" t="s">
        <v>913</v>
      </c>
      <c r="B512" s="1">
        <v>46108</v>
      </c>
      <c r="C512" t="s">
        <v>92</v>
      </c>
      <c r="D512" t="s">
        <v>20</v>
      </c>
      <c r="E512" t="s">
        <v>21</v>
      </c>
      <c r="F512">
        <v>5</v>
      </c>
      <c r="G512">
        <v>4999</v>
      </c>
      <c r="H512">
        <v>0.15</v>
      </c>
      <c r="I512" t="s">
        <v>15</v>
      </c>
      <c r="J512" t="s">
        <v>22</v>
      </c>
      <c r="K512" t="s">
        <v>17</v>
      </c>
      <c r="L512">
        <f>F511*G511*(1-H511)</f>
        <v>2997</v>
      </c>
    </row>
    <row r="513" spans="1:12">
      <c r="A513" t="s">
        <v>914</v>
      </c>
      <c r="B513" s="1">
        <v>46146</v>
      </c>
      <c r="C513" t="s">
        <v>55</v>
      </c>
      <c r="D513" t="s">
        <v>43</v>
      </c>
      <c r="E513" t="s">
        <v>35</v>
      </c>
      <c r="F513">
        <v>2</v>
      </c>
      <c r="G513">
        <v>499</v>
      </c>
      <c r="H513">
        <v>0</v>
      </c>
      <c r="I513" t="s">
        <v>47</v>
      </c>
      <c r="J513" t="s">
        <v>22</v>
      </c>
      <c r="K513" t="s">
        <v>37</v>
      </c>
      <c r="L513">
        <f>F512*G512*(1-H512)</f>
        <v>21245.75</v>
      </c>
    </row>
    <row r="514" spans="1:12">
      <c r="A514" t="s">
        <v>915</v>
      </c>
      <c r="B514" s="1">
        <v>46294</v>
      </c>
      <c r="C514" t="s">
        <v>916</v>
      </c>
      <c r="D514" t="s">
        <v>62</v>
      </c>
      <c r="E514" t="s">
        <v>40</v>
      </c>
      <c r="F514">
        <v>2</v>
      </c>
      <c r="G514">
        <v>1499</v>
      </c>
      <c r="H514">
        <v>0</v>
      </c>
      <c r="I514" t="s">
        <v>32</v>
      </c>
      <c r="J514" t="s">
        <v>51</v>
      </c>
      <c r="K514" t="s">
        <v>17</v>
      </c>
      <c r="L514">
        <f>F513*G513*(1-H513)</f>
        <v>998</v>
      </c>
    </row>
    <row r="515" spans="1:12">
      <c r="A515" t="s">
        <v>917</v>
      </c>
      <c r="B515" s="1">
        <v>46132</v>
      </c>
      <c r="C515" t="s">
        <v>543</v>
      </c>
      <c r="D515" t="s">
        <v>59</v>
      </c>
      <c r="E515" t="s">
        <v>35</v>
      </c>
      <c r="F515">
        <v>4</v>
      </c>
      <c r="G515">
        <v>1299</v>
      </c>
      <c r="H515">
        <v>0</v>
      </c>
      <c r="I515" t="s">
        <v>47</v>
      </c>
      <c r="J515" t="s">
        <v>36</v>
      </c>
      <c r="K515" t="s">
        <v>17</v>
      </c>
      <c r="L515">
        <f>F514*G514*(1-H514)</f>
        <v>2998</v>
      </c>
    </row>
    <row r="516" spans="1:12">
      <c r="A516" t="s">
        <v>918</v>
      </c>
      <c r="B516" s="1">
        <v>46282</v>
      </c>
      <c r="C516" t="s">
        <v>919</v>
      </c>
      <c r="D516" t="s">
        <v>13</v>
      </c>
      <c r="E516" t="s">
        <v>14</v>
      </c>
      <c r="F516">
        <v>2</v>
      </c>
      <c r="G516">
        <v>999</v>
      </c>
      <c r="H516">
        <v>0.05</v>
      </c>
      <c r="I516" t="s">
        <v>32</v>
      </c>
      <c r="J516" t="s">
        <v>22</v>
      </c>
      <c r="K516" t="s">
        <v>37</v>
      </c>
      <c r="L516">
        <f>F515*G515*(1-H515)</f>
        <v>5196</v>
      </c>
    </row>
    <row r="517" spans="1:12">
      <c r="A517" t="s">
        <v>920</v>
      </c>
      <c r="B517" s="1">
        <v>46195</v>
      </c>
      <c r="C517" t="s">
        <v>921</v>
      </c>
      <c r="D517" t="s">
        <v>56</v>
      </c>
      <c r="E517" t="s">
        <v>21</v>
      </c>
      <c r="F517">
        <v>2</v>
      </c>
      <c r="G517">
        <v>499</v>
      </c>
      <c r="H517">
        <v>0.05</v>
      </c>
      <c r="I517" t="s">
        <v>32</v>
      </c>
      <c r="J517" t="s">
        <v>22</v>
      </c>
      <c r="K517" t="s">
        <v>17</v>
      </c>
      <c r="L517">
        <f>F516*G516*(1-H516)</f>
        <v>1898.1</v>
      </c>
    </row>
    <row r="518" spans="1:12">
      <c r="A518" t="s">
        <v>922</v>
      </c>
      <c r="B518" s="1">
        <v>46242</v>
      </c>
      <c r="C518" t="s">
        <v>923</v>
      </c>
      <c r="D518" t="s">
        <v>13</v>
      </c>
      <c r="E518" t="s">
        <v>21</v>
      </c>
      <c r="F518">
        <v>5</v>
      </c>
      <c r="G518">
        <v>599</v>
      </c>
      <c r="H518">
        <v>0.1</v>
      </c>
      <c r="I518" t="s">
        <v>44</v>
      </c>
      <c r="J518" t="s">
        <v>36</v>
      </c>
      <c r="K518" t="s">
        <v>17</v>
      </c>
      <c r="L518">
        <f>F517*G517*(1-H517)</f>
        <v>948.09999999999991</v>
      </c>
    </row>
    <row r="519" spans="1:12">
      <c r="A519" t="s">
        <v>924</v>
      </c>
      <c r="B519" s="1">
        <v>46151</v>
      </c>
      <c r="C519" t="s">
        <v>150</v>
      </c>
      <c r="D519" t="s">
        <v>71</v>
      </c>
      <c r="E519" t="s">
        <v>40</v>
      </c>
      <c r="F519">
        <v>3</v>
      </c>
      <c r="G519">
        <v>1499</v>
      </c>
      <c r="H519">
        <v>0</v>
      </c>
      <c r="I519" t="s">
        <v>47</v>
      </c>
      <c r="J519" t="s">
        <v>28</v>
      </c>
      <c r="K519" t="s">
        <v>17</v>
      </c>
      <c r="L519">
        <f>F518*G518*(1-H518)</f>
        <v>2695.5</v>
      </c>
    </row>
    <row r="520" spans="1:12">
      <c r="A520" t="s">
        <v>925</v>
      </c>
      <c r="B520" s="1">
        <v>46234</v>
      </c>
      <c r="C520" t="s">
        <v>926</v>
      </c>
      <c r="D520" t="s">
        <v>78</v>
      </c>
      <c r="E520" t="s">
        <v>35</v>
      </c>
      <c r="F520">
        <v>4</v>
      </c>
      <c r="G520">
        <v>1499</v>
      </c>
      <c r="H520">
        <v>0.1</v>
      </c>
      <c r="I520" t="s">
        <v>44</v>
      </c>
      <c r="J520" t="s">
        <v>36</v>
      </c>
      <c r="K520" t="s">
        <v>17</v>
      </c>
      <c r="L520">
        <f>F519*G519*(1-H519)</f>
        <v>4497</v>
      </c>
    </row>
    <row r="521" spans="1:12">
      <c r="A521" t="s">
        <v>927</v>
      </c>
      <c r="B521" s="1">
        <v>46216</v>
      </c>
      <c r="C521" t="s">
        <v>331</v>
      </c>
      <c r="D521" t="s">
        <v>20</v>
      </c>
      <c r="E521" t="s">
        <v>21</v>
      </c>
      <c r="F521">
        <v>4</v>
      </c>
      <c r="G521">
        <v>799</v>
      </c>
      <c r="H521">
        <v>0.05</v>
      </c>
      <c r="I521" t="s">
        <v>44</v>
      </c>
      <c r="J521" t="s">
        <v>22</v>
      </c>
      <c r="K521" t="s">
        <v>23</v>
      </c>
      <c r="L521">
        <f>F520*G520*(1-H520)</f>
        <v>5396.4000000000005</v>
      </c>
    </row>
    <row r="522" spans="1:12">
      <c r="A522" t="s">
        <v>928</v>
      </c>
      <c r="B522" s="1">
        <v>46073</v>
      </c>
      <c r="C522" t="s">
        <v>929</v>
      </c>
      <c r="D522" t="s">
        <v>26</v>
      </c>
      <c r="E522" t="s">
        <v>40</v>
      </c>
      <c r="F522">
        <v>3</v>
      </c>
      <c r="G522">
        <v>799</v>
      </c>
      <c r="H522">
        <v>0</v>
      </c>
      <c r="I522" t="s">
        <v>15</v>
      </c>
      <c r="J522" t="s">
        <v>51</v>
      </c>
      <c r="K522" t="s">
        <v>23</v>
      </c>
      <c r="L522">
        <f>F521*G521*(1-H521)</f>
        <v>3036.2</v>
      </c>
    </row>
    <row r="523" spans="1:12">
      <c r="A523" t="s">
        <v>930</v>
      </c>
      <c r="B523" s="1">
        <v>46179</v>
      </c>
      <c r="C523" t="s">
        <v>835</v>
      </c>
      <c r="D523" t="s">
        <v>62</v>
      </c>
      <c r="E523" t="s">
        <v>35</v>
      </c>
      <c r="F523">
        <v>3</v>
      </c>
      <c r="G523">
        <v>1999</v>
      </c>
      <c r="H523">
        <v>0.1</v>
      </c>
      <c r="I523" t="s">
        <v>50</v>
      </c>
      <c r="J523" t="s">
        <v>36</v>
      </c>
      <c r="K523" t="s">
        <v>17</v>
      </c>
      <c r="L523">
        <f>F522*G522*(1-H522)</f>
        <v>2397</v>
      </c>
    </row>
    <row r="524" spans="1:12">
      <c r="A524" t="s">
        <v>931</v>
      </c>
      <c r="B524" s="1">
        <v>46138</v>
      </c>
      <c r="C524" t="s">
        <v>364</v>
      </c>
      <c r="D524" t="s">
        <v>56</v>
      </c>
      <c r="E524" t="s">
        <v>40</v>
      </c>
      <c r="F524">
        <v>3</v>
      </c>
      <c r="G524">
        <v>999</v>
      </c>
      <c r="H524">
        <v>0.05</v>
      </c>
      <c r="I524" t="s">
        <v>15</v>
      </c>
      <c r="J524" t="s">
        <v>16</v>
      </c>
      <c r="K524" t="s">
        <v>23</v>
      </c>
      <c r="L524">
        <f>F523*G523*(1-H523)</f>
        <v>5397.3</v>
      </c>
    </row>
    <row r="525" spans="1:12">
      <c r="A525" t="s">
        <v>932</v>
      </c>
      <c r="B525" s="1">
        <v>46291</v>
      </c>
      <c r="C525" t="s">
        <v>933</v>
      </c>
      <c r="D525" t="s">
        <v>43</v>
      </c>
      <c r="E525" t="s">
        <v>40</v>
      </c>
      <c r="F525">
        <v>4</v>
      </c>
      <c r="G525">
        <v>799</v>
      </c>
      <c r="H525">
        <v>0.05</v>
      </c>
      <c r="I525" t="s">
        <v>50</v>
      </c>
      <c r="J525" t="s">
        <v>28</v>
      </c>
      <c r="K525" t="s">
        <v>17</v>
      </c>
      <c r="L525">
        <f>F524*G524*(1-H524)</f>
        <v>2847.15</v>
      </c>
    </row>
    <row r="526" spans="1:12">
      <c r="A526" t="s">
        <v>934</v>
      </c>
      <c r="B526" s="1">
        <v>46161</v>
      </c>
      <c r="C526" t="s">
        <v>935</v>
      </c>
      <c r="D526" t="s">
        <v>43</v>
      </c>
      <c r="E526" t="s">
        <v>27</v>
      </c>
      <c r="F526">
        <v>5</v>
      </c>
      <c r="G526">
        <v>2499</v>
      </c>
      <c r="H526">
        <v>0</v>
      </c>
      <c r="I526" t="s">
        <v>50</v>
      </c>
      <c r="J526" t="s">
        <v>16</v>
      </c>
      <c r="K526" t="s">
        <v>37</v>
      </c>
      <c r="L526">
        <f>F525*G525*(1-H525)</f>
        <v>3036.2</v>
      </c>
    </row>
    <row r="527" spans="1:12">
      <c r="A527" t="s">
        <v>936</v>
      </c>
      <c r="B527" s="1">
        <v>46284</v>
      </c>
      <c r="C527" t="s">
        <v>73</v>
      </c>
      <c r="D527" t="s">
        <v>56</v>
      </c>
      <c r="E527" t="s">
        <v>14</v>
      </c>
      <c r="F527">
        <v>2</v>
      </c>
      <c r="G527">
        <v>999</v>
      </c>
      <c r="H527">
        <v>0</v>
      </c>
      <c r="I527" t="s">
        <v>32</v>
      </c>
      <c r="J527" t="s">
        <v>36</v>
      </c>
      <c r="K527" t="s">
        <v>17</v>
      </c>
      <c r="L527">
        <f>F526*G526*(1-H526)</f>
        <v>12495</v>
      </c>
    </row>
    <row r="528" spans="1:12">
      <c r="A528" t="s">
        <v>937</v>
      </c>
      <c r="B528" s="1">
        <v>46063</v>
      </c>
      <c r="C528" t="s">
        <v>938</v>
      </c>
      <c r="D528" t="s">
        <v>71</v>
      </c>
      <c r="E528" t="s">
        <v>27</v>
      </c>
      <c r="F528">
        <v>5</v>
      </c>
      <c r="G528">
        <v>4999</v>
      </c>
      <c r="H528">
        <v>0</v>
      </c>
      <c r="I528" t="s">
        <v>32</v>
      </c>
      <c r="J528" t="s">
        <v>51</v>
      </c>
      <c r="K528" t="s">
        <v>37</v>
      </c>
      <c r="L528">
        <f>F527*G527*(1-H527)</f>
        <v>1998</v>
      </c>
    </row>
    <row r="529" spans="1:12">
      <c r="A529" t="s">
        <v>939</v>
      </c>
      <c r="B529" s="1">
        <v>46210</v>
      </c>
      <c r="C529" t="s">
        <v>940</v>
      </c>
      <c r="D529" t="s">
        <v>56</v>
      </c>
      <c r="E529" t="s">
        <v>40</v>
      </c>
      <c r="F529">
        <v>2</v>
      </c>
      <c r="G529">
        <v>799</v>
      </c>
      <c r="H529">
        <v>0.15</v>
      </c>
      <c r="I529" t="s">
        <v>15</v>
      </c>
      <c r="J529" t="s">
        <v>22</v>
      </c>
      <c r="K529" t="s">
        <v>37</v>
      </c>
      <c r="L529">
        <f>F528*G528*(1-H528)</f>
        <v>24995</v>
      </c>
    </row>
    <row r="530" spans="1:12">
      <c r="A530" t="s">
        <v>941</v>
      </c>
      <c r="B530" s="1">
        <v>46169</v>
      </c>
      <c r="C530" t="s">
        <v>942</v>
      </c>
      <c r="D530" t="s">
        <v>59</v>
      </c>
      <c r="E530" t="s">
        <v>35</v>
      </c>
      <c r="F530">
        <v>1</v>
      </c>
      <c r="G530">
        <v>7999</v>
      </c>
      <c r="H530">
        <v>0.1</v>
      </c>
      <c r="I530" t="s">
        <v>44</v>
      </c>
      <c r="J530" t="s">
        <v>22</v>
      </c>
      <c r="K530" t="s">
        <v>17</v>
      </c>
      <c r="L530">
        <f>F529*G529*(1-H529)</f>
        <v>1358.3</v>
      </c>
    </row>
    <row r="531" spans="1:12">
      <c r="A531" t="s">
        <v>943</v>
      </c>
      <c r="B531" s="1">
        <v>46139</v>
      </c>
      <c r="C531" t="s">
        <v>944</v>
      </c>
      <c r="D531" t="s">
        <v>20</v>
      </c>
      <c r="E531" t="s">
        <v>40</v>
      </c>
      <c r="F531">
        <v>1</v>
      </c>
      <c r="G531">
        <v>2499</v>
      </c>
      <c r="H531">
        <v>0.1</v>
      </c>
      <c r="I531" t="s">
        <v>32</v>
      </c>
      <c r="J531" t="s">
        <v>36</v>
      </c>
      <c r="K531" t="s">
        <v>17</v>
      </c>
      <c r="L531">
        <f>F530*G530*(1-H530)</f>
        <v>7199.1</v>
      </c>
    </row>
    <row r="532" spans="1:12">
      <c r="A532" t="s">
        <v>945</v>
      </c>
      <c r="B532" s="1">
        <v>46121</v>
      </c>
      <c r="C532" t="s">
        <v>862</v>
      </c>
      <c r="D532" t="s">
        <v>43</v>
      </c>
      <c r="E532" t="s">
        <v>40</v>
      </c>
      <c r="F532">
        <v>2</v>
      </c>
      <c r="G532">
        <v>1299</v>
      </c>
      <c r="H532">
        <v>0</v>
      </c>
      <c r="I532" t="s">
        <v>44</v>
      </c>
      <c r="J532" t="s">
        <v>28</v>
      </c>
      <c r="K532" t="s">
        <v>17</v>
      </c>
      <c r="L532">
        <f>F531*G531*(1-H531)</f>
        <v>2249.1</v>
      </c>
    </row>
    <row r="533" spans="1:12">
      <c r="A533" t="s">
        <v>946</v>
      </c>
      <c r="B533" s="1">
        <v>46260</v>
      </c>
      <c r="C533" t="s">
        <v>243</v>
      </c>
      <c r="D533" t="s">
        <v>20</v>
      </c>
      <c r="E533" t="s">
        <v>40</v>
      </c>
      <c r="F533">
        <v>4</v>
      </c>
      <c r="G533">
        <v>2499</v>
      </c>
      <c r="H533">
        <v>0</v>
      </c>
      <c r="I533" t="s">
        <v>44</v>
      </c>
      <c r="J533" t="s">
        <v>28</v>
      </c>
      <c r="K533" t="s">
        <v>37</v>
      </c>
      <c r="L533">
        <f>F532*G532*(1-H532)</f>
        <v>2598</v>
      </c>
    </row>
    <row r="534" spans="1:12">
      <c r="A534" t="s">
        <v>947</v>
      </c>
      <c r="B534" s="1">
        <v>46163</v>
      </c>
      <c r="C534" t="s">
        <v>948</v>
      </c>
      <c r="D534" t="s">
        <v>78</v>
      </c>
      <c r="E534" t="s">
        <v>14</v>
      </c>
      <c r="F534">
        <v>5</v>
      </c>
      <c r="G534">
        <v>999</v>
      </c>
      <c r="H534">
        <v>0</v>
      </c>
      <c r="I534" t="s">
        <v>44</v>
      </c>
      <c r="J534" t="s">
        <v>51</v>
      </c>
      <c r="K534" t="s">
        <v>37</v>
      </c>
      <c r="L534">
        <f>F533*G533*(1-H533)</f>
        <v>9996</v>
      </c>
    </row>
    <row r="535" spans="1:12">
      <c r="A535" t="s">
        <v>949</v>
      </c>
      <c r="B535" s="1">
        <v>46043</v>
      </c>
      <c r="C535" t="s">
        <v>950</v>
      </c>
      <c r="D535" t="s">
        <v>31</v>
      </c>
      <c r="E535" t="s">
        <v>21</v>
      </c>
      <c r="F535">
        <v>1</v>
      </c>
      <c r="G535">
        <v>4999</v>
      </c>
      <c r="H535">
        <v>0.05</v>
      </c>
      <c r="I535" t="s">
        <v>47</v>
      </c>
      <c r="J535" t="s">
        <v>28</v>
      </c>
      <c r="K535" t="s">
        <v>17</v>
      </c>
      <c r="L535">
        <f>F534*G534*(1-H534)</f>
        <v>4995</v>
      </c>
    </row>
    <row r="536" spans="1:12">
      <c r="A536" t="s">
        <v>951</v>
      </c>
      <c r="B536" s="1">
        <v>46192</v>
      </c>
      <c r="C536" t="s">
        <v>952</v>
      </c>
      <c r="D536" t="s">
        <v>13</v>
      </c>
      <c r="E536" t="s">
        <v>35</v>
      </c>
      <c r="F536">
        <v>2</v>
      </c>
      <c r="G536">
        <v>2499</v>
      </c>
      <c r="H536">
        <v>0.15</v>
      </c>
      <c r="I536" t="s">
        <v>15</v>
      </c>
      <c r="J536" t="s">
        <v>36</v>
      </c>
      <c r="K536" t="s">
        <v>23</v>
      </c>
      <c r="L536">
        <f>F535*G535*(1-H535)</f>
        <v>4749.05</v>
      </c>
    </row>
    <row r="537" spans="1:12">
      <c r="A537" t="s">
        <v>953</v>
      </c>
      <c r="B537" s="1">
        <v>46077</v>
      </c>
      <c r="C537" t="s">
        <v>489</v>
      </c>
      <c r="D537" t="s">
        <v>13</v>
      </c>
      <c r="E537" t="s">
        <v>27</v>
      </c>
      <c r="F537">
        <v>5</v>
      </c>
      <c r="G537">
        <v>499</v>
      </c>
      <c r="H537">
        <v>0</v>
      </c>
      <c r="I537" t="s">
        <v>44</v>
      </c>
      <c r="J537" t="s">
        <v>16</v>
      </c>
      <c r="K537" t="s">
        <v>17</v>
      </c>
      <c r="L537">
        <f>F536*G536*(1-H536)</f>
        <v>4248.3</v>
      </c>
    </row>
    <row r="538" spans="1:12">
      <c r="A538" t="s">
        <v>954</v>
      </c>
      <c r="B538" s="1">
        <v>46194</v>
      </c>
      <c r="C538" t="s">
        <v>12</v>
      </c>
      <c r="D538" t="s">
        <v>59</v>
      </c>
      <c r="E538" t="s">
        <v>35</v>
      </c>
      <c r="F538">
        <v>5</v>
      </c>
      <c r="G538">
        <v>1299</v>
      </c>
      <c r="H538">
        <v>0.05</v>
      </c>
      <c r="I538" t="s">
        <v>50</v>
      </c>
      <c r="J538" t="s">
        <v>36</v>
      </c>
      <c r="K538" t="s">
        <v>17</v>
      </c>
      <c r="L538">
        <f>F537*G537*(1-H537)</f>
        <v>2495</v>
      </c>
    </row>
    <row r="539" spans="1:12">
      <c r="A539" t="s">
        <v>955</v>
      </c>
      <c r="B539" s="1">
        <v>46168</v>
      </c>
      <c r="C539" t="s">
        <v>956</v>
      </c>
      <c r="D539" t="s">
        <v>31</v>
      </c>
      <c r="E539" t="s">
        <v>14</v>
      </c>
      <c r="F539">
        <v>1</v>
      </c>
      <c r="G539">
        <v>1299</v>
      </c>
      <c r="H539">
        <v>0</v>
      </c>
      <c r="I539" t="s">
        <v>47</v>
      </c>
      <c r="J539" t="s">
        <v>22</v>
      </c>
      <c r="K539" t="s">
        <v>17</v>
      </c>
      <c r="L539">
        <f>F538*G538*(1-H538)</f>
        <v>6170.25</v>
      </c>
    </row>
    <row r="540" spans="1:12">
      <c r="A540" t="s">
        <v>957</v>
      </c>
      <c r="B540" s="1">
        <v>46273</v>
      </c>
      <c r="C540" t="s">
        <v>958</v>
      </c>
      <c r="D540" t="s">
        <v>20</v>
      </c>
      <c r="E540" t="s">
        <v>40</v>
      </c>
      <c r="F540">
        <v>2</v>
      </c>
      <c r="G540">
        <v>1499</v>
      </c>
      <c r="H540">
        <v>0.1</v>
      </c>
      <c r="I540" t="s">
        <v>47</v>
      </c>
      <c r="J540" t="s">
        <v>16</v>
      </c>
      <c r="K540" t="s">
        <v>17</v>
      </c>
      <c r="L540">
        <f>F539*G539*(1-H539)</f>
        <v>1299</v>
      </c>
    </row>
    <row r="541" spans="1:12">
      <c r="A541" t="s">
        <v>959</v>
      </c>
      <c r="B541" s="1">
        <v>46156</v>
      </c>
      <c r="C541" t="s">
        <v>908</v>
      </c>
      <c r="D541" t="s">
        <v>62</v>
      </c>
      <c r="E541" t="s">
        <v>35</v>
      </c>
      <c r="F541">
        <v>3</v>
      </c>
      <c r="G541">
        <v>599</v>
      </c>
      <c r="H541">
        <v>0</v>
      </c>
      <c r="I541" t="s">
        <v>44</v>
      </c>
      <c r="J541" t="s">
        <v>36</v>
      </c>
      <c r="K541" t="s">
        <v>17</v>
      </c>
      <c r="L541">
        <f>F540*G540*(1-H540)</f>
        <v>2698.2000000000003</v>
      </c>
    </row>
    <row r="542" spans="1:12">
      <c r="A542" t="s">
        <v>960</v>
      </c>
      <c r="B542" s="1">
        <v>46086</v>
      </c>
      <c r="C542" t="s">
        <v>961</v>
      </c>
      <c r="D542" t="s">
        <v>78</v>
      </c>
      <c r="E542" t="s">
        <v>40</v>
      </c>
      <c r="F542">
        <v>1</v>
      </c>
      <c r="G542">
        <v>1499</v>
      </c>
      <c r="H542">
        <v>0</v>
      </c>
      <c r="I542" t="s">
        <v>47</v>
      </c>
      <c r="J542" t="s">
        <v>28</v>
      </c>
      <c r="K542" t="s">
        <v>37</v>
      </c>
      <c r="L542">
        <f>F541*G541*(1-H541)</f>
        <v>1797</v>
      </c>
    </row>
    <row r="543" spans="1:12">
      <c r="A543" t="s">
        <v>962</v>
      </c>
      <c r="B543" s="1">
        <v>46024</v>
      </c>
      <c r="C543" t="s">
        <v>963</v>
      </c>
      <c r="D543" t="s">
        <v>13</v>
      </c>
      <c r="E543" t="s">
        <v>35</v>
      </c>
      <c r="F543">
        <v>4</v>
      </c>
      <c r="G543">
        <v>499</v>
      </c>
      <c r="H543">
        <v>0</v>
      </c>
      <c r="I543" t="s">
        <v>44</v>
      </c>
      <c r="J543" t="s">
        <v>16</v>
      </c>
      <c r="K543" t="s">
        <v>17</v>
      </c>
      <c r="L543">
        <f>F542*G542*(1-H542)</f>
        <v>1499</v>
      </c>
    </row>
    <row r="544" spans="1:12">
      <c r="A544" t="s">
        <v>964</v>
      </c>
      <c r="B544" s="1">
        <v>46033</v>
      </c>
      <c r="C544" t="s">
        <v>965</v>
      </c>
      <c r="D544" t="s">
        <v>26</v>
      </c>
      <c r="E544" t="s">
        <v>14</v>
      </c>
      <c r="F544">
        <v>2</v>
      </c>
      <c r="G544">
        <v>1299</v>
      </c>
      <c r="H544">
        <v>0.15</v>
      </c>
      <c r="I544" t="s">
        <v>47</v>
      </c>
      <c r="J544" t="s">
        <v>22</v>
      </c>
      <c r="K544" t="s">
        <v>17</v>
      </c>
      <c r="L544">
        <f>F543*G543*(1-H543)</f>
        <v>1996</v>
      </c>
    </row>
    <row r="545" spans="1:12">
      <c r="A545" t="s">
        <v>966</v>
      </c>
      <c r="B545" s="1">
        <v>46289</v>
      </c>
      <c r="C545" t="s">
        <v>374</v>
      </c>
      <c r="D545" t="s">
        <v>78</v>
      </c>
      <c r="E545" t="s">
        <v>14</v>
      </c>
      <c r="F545">
        <v>1</v>
      </c>
      <c r="G545">
        <v>7999</v>
      </c>
      <c r="H545">
        <v>0</v>
      </c>
      <c r="I545" t="s">
        <v>47</v>
      </c>
      <c r="J545" t="s">
        <v>36</v>
      </c>
      <c r="K545" t="s">
        <v>17</v>
      </c>
      <c r="L545">
        <f>F544*G544*(1-H544)</f>
        <v>2208.2999999999997</v>
      </c>
    </row>
    <row r="546" spans="1:12">
      <c r="A546" t="s">
        <v>967</v>
      </c>
      <c r="B546" s="1">
        <v>46241</v>
      </c>
      <c r="C546" t="s">
        <v>66</v>
      </c>
      <c r="D546" t="s">
        <v>62</v>
      </c>
      <c r="E546" t="s">
        <v>35</v>
      </c>
      <c r="F546">
        <v>1</v>
      </c>
      <c r="G546">
        <v>1999</v>
      </c>
      <c r="H546">
        <v>0.05</v>
      </c>
      <c r="I546" t="s">
        <v>15</v>
      </c>
      <c r="J546" t="s">
        <v>22</v>
      </c>
      <c r="K546" t="s">
        <v>17</v>
      </c>
      <c r="L546">
        <f>F545*G545*(1-H545)</f>
        <v>7999</v>
      </c>
    </row>
    <row r="547" spans="1:12">
      <c r="A547" t="s">
        <v>968</v>
      </c>
      <c r="B547" s="1">
        <v>46025</v>
      </c>
      <c r="C547" t="s">
        <v>969</v>
      </c>
      <c r="D547" t="s">
        <v>59</v>
      </c>
      <c r="E547" t="s">
        <v>40</v>
      </c>
      <c r="F547">
        <v>1</v>
      </c>
      <c r="G547">
        <v>1499</v>
      </c>
      <c r="H547">
        <v>0.15</v>
      </c>
      <c r="I547" t="s">
        <v>15</v>
      </c>
      <c r="J547" t="s">
        <v>22</v>
      </c>
      <c r="K547" t="s">
        <v>17</v>
      </c>
      <c r="L547">
        <f>F546*G546*(1-H546)</f>
        <v>1899.05</v>
      </c>
    </row>
    <row r="548" spans="1:12">
      <c r="A548" t="s">
        <v>970</v>
      </c>
      <c r="B548" s="1">
        <v>46115</v>
      </c>
      <c r="C548" t="s">
        <v>119</v>
      </c>
      <c r="D548" t="s">
        <v>71</v>
      </c>
      <c r="E548" t="s">
        <v>40</v>
      </c>
      <c r="F548">
        <v>3</v>
      </c>
      <c r="G548">
        <v>1299</v>
      </c>
      <c r="H548">
        <v>0.05</v>
      </c>
      <c r="I548" t="s">
        <v>15</v>
      </c>
      <c r="J548" t="s">
        <v>16</v>
      </c>
      <c r="K548" t="s">
        <v>23</v>
      </c>
      <c r="L548">
        <f>F547*G547*(1-H547)</f>
        <v>1274.1499999999999</v>
      </c>
    </row>
    <row r="549" spans="1:12">
      <c r="A549" t="s">
        <v>971</v>
      </c>
      <c r="B549" s="1">
        <v>46158</v>
      </c>
      <c r="C549" t="s">
        <v>905</v>
      </c>
      <c r="D549" t="s">
        <v>62</v>
      </c>
      <c r="E549" t="s">
        <v>21</v>
      </c>
      <c r="F549">
        <v>5</v>
      </c>
      <c r="G549">
        <v>1299</v>
      </c>
      <c r="H549">
        <v>0</v>
      </c>
      <c r="I549" t="s">
        <v>15</v>
      </c>
      <c r="J549" t="s">
        <v>22</v>
      </c>
      <c r="K549" t="s">
        <v>17</v>
      </c>
      <c r="L549">
        <f>F548*G548*(1-H548)</f>
        <v>3702.1499999999996</v>
      </c>
    </row>
    <row r="550" spans="1:12">
      <c r="A550" t="s">
        <v>972</v>
      </c>
      <c r="B550" s="1">
        <v>46258</v>
      </c>
      <c r="C550" t="s">
        <v>746</v>
      </c>
      <c r="D550" t="s">
        <v>71</v>
      </c>
      <c r="E550" t="s">
        <v>27</v>
      </c>
      <c r="F550">
        <v>2</v>
      </c>
      <c r="G550">
        <v>2499</v>
      </c>
      <c r="H550">
        <v>0.15</v>
      </c>
      <c r="I550" t="s">
        <v>44</v>
      </c>
      <c r="J550" t="s">
        <v>22</v>
      </c>
      <c r="K550" t="s">
        <v>17</v>
      </c>
      <c r="L550">
        <f>F549*G549*(1-H549)</f>
        <v>6495</v>
      </c>
    </row>
    <row r="551" spans="1:12">
      <c r="A551" t="s">
        <v>973</v>
      </c>
      <c r="B551" s="1">
        <v>46292</v>
      </c>
      <c r="C551" t="s">
        <v>974</v>
      </c>
      <c r="D551" t="s">
        <v>59</v>
      </c>
      <c r="E551" t="s">
        <v>21</v>
      </c>
      <c r="F551">
        <v>4</v>
      </c>
      <c r="G551">
        <v>1999</v>
      </c>
      <c r="H551">
        <v>0.05</v>
      </c>
      <c r="I551" t="s">
        <v>47</v>
      </c>
      <c r="J551" t="s">
        <v>51</v>
      </c>
      <c r="K551" t="s">
        <v>37</v>
      </c>
      <c r="L551">
        <f>F550*G550*(1-H550)</f>
        <v>4248.3</v>
      </c>
    </row>
    <row r="552" spans="1:12">
      <c r="A552" t="s">
        <v>975</v>
      </c>
      <c r="B552" s="1">
        <v>46253</v>
      </c>
      <c r="C552" t="s">
        <v>55</v>
      </c>
      <c r="D552" t="s">
        <v>71</v>
      </c>
      <c r="E552" t="s">
        <v>35</v>
      </c>
      <c r="F552">
        <v>1</v>
      </c>
      <c r="G552">
        <v>4999</v>
      </c>
      <c r="H552">
        <v>0</v>
      </c>
      <c r="I552" t="s">
        <v>15</v>
      </c>
      <c r="J552" t="s">
        <v>36</v>
      </c>
      <c r="K552" t="s">
        <v>17</v>
      </c>
      <c r="L552">
        <f>F551*G551*(1-H551)</f>
        <v>7596.2</v>
      </c>
    </row>
    <row r="553" spans="1:12">
      <c r="A553" t="s">
        <v>976</v>
      </c>
      <c r="B553" s="1">
        <v>46266</v>
      </c>
      <c r="C553" t="s">
        <v>437</v>
      </c>
      <c r="D553" t="s">
        <v>26</v>
      </c>
      <c r="E553" t="s">
        <v>35</v>
      </c>
      <c r="F553">
        <v>4</v>
      </c>
      <c r="G553">
        <v>1299</v>
      </c>
      <c r="H553">
        <v>0.15</v>
      </c>
      <c r="I553" t="s">
        <v>47</v>
      </c>
      <c r="J553" t="s">
        <v>36</v>
      </c>
      <c r="K553" t="s">
        <v>23</v>
      </c>
      <c r="L553">
        <f>F552*G552*(1-H552)</f>
        <v>4999</v>
      </c>
    </row>
    <row r="554" spans="1:12">
      <c r="A554" t="s">
        <v>977</v>
      </c>
      <c r="B554" s="1">
        <v>46084</v>
      </c>
      <c r="C554" t="s">
        <v>637</v>
      </c>
      <c r="D554" t="s">
        <v>56</v>
      </c>
      <c r="E554" t="s">
        <v>35</v>
      </c>
      <c r="F554">
        <v>4</v>
      </c>
      <c r="G554">
        <v>4999</v>
      </c>
      <c r="H554">
        <v>0.05</v>
      </c>
      <c r="I554" t="s">
        <v>32</v>
      </c>
      <c r="J554" t="s">
        <v>22</v>
      </c>
      <c r="K554" t="s">
        <v>17</v>
      </c>
      <c r="L554">
        <f>F553*G553*(1-H553)</f>
        <v>4416.5999999999995</v>
      </c>
    </row>
    <row r="555" spans="1:12">
      <c r="A555" t="s">
        <v>978</v>
      </c>
      <c r="B555" s="1">
        <v>46156</v>
      </c>
      <c r="C555" t="s">
        <v>979</v>
      </c>
      <c r="D555" t="s">
        <v>59</v>
      </c>
      <c r="E555" t="s">
        <v>35</v>
      </c>
      <c r="F555">
        <v>3</v>
      </c>
      <c r="G555">
        <v>999</v>
      </c>
      <c r="H555">
        <v>0.05</v>
      </c>
      <c r="I555" t="s">
        <v>47</v>
      </c>
      <c r="J555" t="s">
        <v>36</v>
      </c>
      <c r="K555" t="s">
        <v>17</v>
      </c>
      <c r="L555">
        <f>F554*G554*(1-H554)</f>
        <v>18996.2</v>
      </c>
    </row>
    <row r="556" spans="1:12">
      <c r="A556" t="s">
        <v>980</v>
      </c>
      <c r="B556" s="1">
        <v>46025</v>
      </c>
      <c r="C556" t="s">
        <v>835</v>
      </c>
      <c r="D556" t="s">
        <v>13</v>
      </c>
      <c r="E556" t="s">
        <v>40</v>
      </c>
      <c r="F556">
        <v>2</v>
      </c>
      <c r="G556">
        <v>2499</v>
      </c>
      <c r="H556">
        <v>0.1</v>
      </c>
      <c r="I556" t="s">
        <v>47</v>
      </c>
      <c r="J556" t="s">
        <v>51</v>
      </c>
      <c r="K556" t="s">
        <v>17</v>
      </c>
      <c r="L556">
        <f>F555*G555*(1-H555)</f>
        <v>2847.15</v>
      </c>
    </row>
    <row r="557" spans="1:12">
      <c r="A557" t="s">
        <v>981</v>
      </c>
      <c r="B557" s="1">
        <v>46077</v>
      </c>
      <c r="C557" t="s">
        <v>982</v>
      </c>
      <c r="D557" t="s">
        <v>78</v>
      </c>
      <c r="E557" t="s">
        <v>40</v>
      </c>
      <c r="F557">
        <v>1</v>
      </c>
      <c r="G557">
        <v>599</v>
      </c>
      <c r="H557">
        <v>0</v>
      </c>
      <c r="I557" t="s">
        <v>32</v>
      </c>
      <c r="J557" t="s">
        <v>16</v>
      </c>
      <c r="K557" t="s">
        <v>37</v>
      </c>
      <c r="L557">
        <f>F556*G556*(1-H556)</f>
        <v>4498.2</v>
      </c>
    </row>
    <row r="558" spans="1:12">
      <c r="A558" t="s">
        <v>983</v>
      </c>
      <c r="B558" s="1">
        <v>46056</v>
      </c>
      <c r="C558" t="s">
        <v>176</v>
      </c>
      <c r="D558" t="s">
        <v>59</v>
      </c>
      <c r="E558" t="s">
        <v>21</v>
      </c>
      <c r="F558">
        <v>4</v>
      </c>
      <c r="G558">
        <v>999</v>
      </c>
      <c r="H558">
        <v>0</v>
      </c>
      <c r="I558" t="s">
        <v>15</v>
      </c>
      <c r="J558" t="s">
        <v>51</v>
      </c>
      <c r="K558" t="s">
        <v>17</v>
      </c>
      <c r="L558">
        <f>F557*G557*(1-H557)</f>
        <v>599</v>
      </c>
    </row>
    <row r="559" spans="1:12">
      <c r="A559" t="s">
        <v>984</v>
      </c>
      <c r="B559" s="1">
        <v>46051</v>
      </c>
      <c r="C559" t="s">
        <v>862</v>
      </c>
      <c r="D559" t="s">
        <v>31</v>
      </c>
      <c r="E559" t="s">
        <v>21</v>
      </c>
      <c r="F559">
        <v>5</v>
      </c>
      <c r="G559">
        <v>7999</v>
      </c>
      <c r="H559">
        <v>0.05</v>
      </c>
      <c r="I559" t="s">
        <v>44</v>
      </c>
      <c r="J559" t="s">
        <v>22</v>
      </c>
      <c r="K559" t="s">
        <v>37</v>
      </c>
      <c r="L559">
        <f>F558*G558*(1-H558)</f>
        <v>3996</v>
      </c>
    </row>
    <row r="560" spans="1:12">
      <c r="A560" t="s">
        <v>985</v>
      </c>
      <c r="B560" s="1">
        <v>46264</v>
      </c>
      <c r="C560" t="s">
        <v>369</v>
      </c>
      <c r="D560" t="s">
        <v>20</v>
      </c>
      <c r="E560" t="s">
        <v>27</v>
      </c>
      <c r="F560">
        <v>3</v>
      </c>
      <c r="G560">
        <v>4999</v>
      </c>
      <c r="H560">
        <v>0</v>
      </c>
      <c r="I560" t="s">
        <v>50</v>
      </c>
      <c r="J560" t="s">
        <v>36</v>
      </c>
      <c r="K560" t="s">
        <v>37</v>
      </c>
      <c r="L560">
        <f>F559*G559*(1-H559)</f>
        <v>37995.25</v>
      </c>
    </row>
    <row r="561" spans="1:12">
      <c r="A561" t="s">
        <v>986</v>
      </c>
      <c r="B561" s="1">
        <v>46032</v>
      </c>
      <c r="C561" t="s">
        <v>987</v>
      </c>
      <c r="D561" t="s">
        <v>26</v>
      </c>
      <c r="E561" t="s">
        <v>35</v>
      </c>
      <c r="F561">
        <v>4</v>
      </c>
      <c r="G561">
        <v>1499</v>
      </c>
      <c r="H561">
        <v>0.05</v>
      </c>
      <c r="I561" t="s">
        <v>15</v>
      </c>
      <c r="J561" t="s">
        <v>36</v>
      </c>
      <c r="K561" t="s">
        <v>17</v>
      </c>
      <c r="L561">
        <f>F560*G560*(1-H560)</f>
        <v>14997</v>
      </c>
    </row>
    <row r="562" spans="1:12">
      <c r="A562" t="s">
        <v>988</v>
      </c>
      <c r="B562" s="1">
        <v>46179</v>
      </c>
      <c r="C562" t="s">
        <v>989</v>
      </c>
      <c r="D562" t="s">
        <v>20</v>
      </c>
      <c r="E562" t="s">
        <v>35</v>
      </c>
      <c r="F562">
        <v>4</v>
      </c>
      <c r="G562">
        <v>1299</v>
      </c>
      <c r="H562">
        <v>0</v>
      </c>
      <c r="I562" t="s">
        <v>44</v>
      </c>
      <c r="J562" t="s">
        <v>16</v>
      </c>
      <c r="K562" t="s">
        <v>17</v>
      </c>
      <c r="L562">
        <f>F561*G561*(1-H561)</f>
        <v>5696.2</v>
      </c>
    </row>
    <row r="563" spans="1:12">
      <c r="A563" t="s">
        <v>990</v>
      </c>
      <c r="B563" s="1">
        <v>46129</v>
      </c>
      <c r="C563" t="s">
        <v>991</v>
      </c>
      <c r="D563" t="s">
        <v>43</v>
      </c>
      <c r="E563" t="s">
        <v>27</v>
      </c>
      <c r="F563">
        <v>1</v>
      </c>
      <c r="G563">
        <v>499</v>
      </c>
      <c r="H563">
        <v>0</v>
      </c>
      <c r="I563" t="s">
        <v>15</v>
      </c>
      <c r="J563" t="s">
        <v>28</v>
      </c>
      <c r="K563" t="s">
        <v>17</v>
      </c>
      <c r="L563">
        <f>F562*G562*(1-H562)</f>
        <v>5196</v>
      </c>
    </row>
    <row r="564" spans="1:12">
      <c r="A564" t="s">
        <v>992</v>
      </c>
      <c r="B564" s="1">
        <v>46030</v>
      </c>
      <c r="C564" t="s">
        <v>993</v>
      </c>
      <c r="D564" t="s">
        <v>31</v>
      </c>
      <c r="E564" t="s">
        <v>14</v>
      </c>
      <c r="F564">
        <v>3</v>
      </c>
      <c r="G564">
        <v>499</v>
      </c>
      <c r="H564">
        <v>0.1</v>
      </c>
      <c r="I564" t="s">
        <v>47</v>
      </c>
      <c r="J564" t="s">
        <v>28</v>
      </c>
      <c r="K564" t="s">
        <v>37</v>
      </c>
      <c r="L564">
        <f>F563*G563*(1-H563)</f>
        <v>499</v>
      </c>
    </row>
    <row r="565" spans="1:12">
      <c r="A565" t="s">
        <v>994</v>
      </c>
      <c r="B565" s="1">
        <v>46221</v>
      </c>
      <c r="C565" t="s">
        <v>396</v>
      </c>
      <c r="D565" t="s">
        <v>20</v>
      </c>
      <c r="E565" t="s">
        <v>14</v>
      </c>
      <c r="F565">
        <v>3</v>
      </c>
      <c r="G565">
        <v>999</v>
      </c>
      <c r="H565">
        <v>0</v>
      </c>
      <c r="I565" t="s">
        <v>32</v>
      </c>
      <c r="J565" t="s">
        <v>51</v>
      </c>
      <c r="K565" t="s">
        <v>37</v>
      </c>
      <c r="L565">
        <f>F564*G564*(1-H564)</f>
        <v>1347.3</v>
      </c>
    </row>
    <row r="566" spans="1:12">
      <c r="A566" t="s">
        <v>995</v>
      </c>
      <c r="B566" s="1">
        <v>46205</v>
      </c>
      <c r="C566" t="s">
        <v>872</v>
      </c>
      <c r="D566" t="s">
        <v>43</v>
      </c>
      <c r="E566" t="s">
        <v>21</v>
      </c>
      <c r="F566">
        <v>5</v>
      </c>
      <c r="G566">
        <v>1299</v>
      </c>
      <c r="H566">
        <v>0.15</v>
      </c>
      <c r="I566" t="s">
        <v>47</v>
      </c>
      <c r="J566" t="s">
        <v>36</v>
      </c>
      <c r="K566" t="s">
        <v>17</v>
      </c>
      <c r="L566">
        <f>F565*G565*(1-H565)</f>
        <v>2997</v>
      </c>
    </row>
    <row r="567" spans="1:12">
      <c r="A567" t="s">
        <v>996</v>
      </c>
      <c r="B567" s="1">
        <v>46069</v>
      </c>
      <c r="C567" t="s">
        <v>997</v>
      </c>
      <c r="D567" t="s">
        <v>31</v>
      </c>
      <c r="E567" t="s">
        <v>35</v>
      </c>
      <c r="F567">
        <v>1</v>
      </c>
      <c r="G567">
        <v>499</v>
      </c>
      <c r="H567">
        <v>0</v>
      </c>
      <c r="I567" t="s">
        <v>47</v>
      </c>
      <c r="J567" t="s">
        <v>36</v>
      </c>
      <c r="K567" t="s">
        <v>23</v>
      </c>
      <c r="L567">
        <f>F566*G566*(1-H566)</f>
        <v>5520.75</v>
      </c>
    </row>
    <row r="568" spans="1:12">
      <c r="A568" t="s">
        <v>998</v>
      </c>
      <c r="B568" s="1">
        <v>46246</v>
      </c>
      <c r="C568" t="s">
        <v>162</v>
      </c>
      <c r="D568" t="s">
        <v>78</v>
      </c>
      <c r="E568" t="s">
        <v>40</v>
      </c>
      <c r="F568">
        <v>3</v>
      </c>
      <c r="G568">
        <v>1999</v>
      </c>
      <c r="H568">
        <v>0</v>
      </c>
      <c r="I568" t="s">
        <v>44</v>
      </c>
      <c r="J568" t="s">
        <v>51</v>
      </c>
      <c r="K568" t="s">
        <v>37</v>
      </c>
      <c r="L568">
        <f>F567*G567*(1-H567)</f>
        <v>499</v>
      </c>
    </row>
    <row r="569" spans="1:12">
      <c r="A569" t="s">
        <v>999</v>
      </c>
      <c r="B569" s="1">
        <v>46233</v>
      </c>
      <c r="C569" t="s">
        <v>826</v>
      </c>
      <c r="D569" t="s">
        <v>31</v>
      </c>
      <c r="E569" t="s">
        <v>27</v>
      </c>
      <c r="F569">
        <v>3</v>
      </c>
      <c r="G569">
        <v>1999</v>
      </c>
      <c r="H569">
        <v>0.15</v>
      </c>
      <c r="I569" t="s">
        <v>47</v>
      </c>
      <c r="J569" t="s">
        <v>22</v>
      </c>
      <c r="K569" t="s">
        <v>17</v>
      </c>
      <c r="L569">
        <f>F568*G568*(1-H568)</f>
        <v>5997</v>
      </c>
    </row>
    <row r="570" spans="1:12">
      <c r="A570" t="s">
        <v>1000</v>
      </c>
      <c r="B570" s="1">
        <v>46137</v>
      </c>
      <c r="C570" t="s">
        <v>180</v>
      </c>
      <c r="D570" t="s">
        <v>59</v>
      </c>
      <c r="E570" t="s">
        <v>40</v>
      </c>
      <c r="F570">
        <v>1</v>
      </c>
      <c r="G570">
        <v>599</v>
      </c>
      <c r="H570">
        <v>0.15</v>
      </c>
      <c r="I570" t="s">
        <v>50</v>
      </c>
      <c r="J570" t="s">
        <v>22</v>
      </c>
      <c r="K570" t="s">
        <v>17</v>
      </c>
      <c r="L570">
        <f>F569*G569*(1-H569)</f>
        <v>5097.45</v>
      </c>
    </row>
    <row r="571" spans="1:12">
      <c r="A571" t="s">
        <v>1001</v>
      </c>
      <c r="B571" s="1">
        <v>46050</v>
      </c>
      <c r="C571" t="s">
        <v>1002</v>
      </c>
      <c r="D571" t="s">
        <v>20</v>
      </c>
      <c r="E571" t="s">
        <v>35</v>
      </c>
      <c r="F571">
        <v>5</v>
      </c>
      <c r="G571">
        <v>4999</v>
      </c>
      <c r="H571">
        <v>0.05</v>
      </c>
      <c r="I571" t="s">
        <v>15</v>
      </c>
      <c r="J571" t="s">
        <v>36</v>
      </c>
      <c r="K571" t="s">
        <v>37</v>
      </c>
      <c r="L571">
        <f>F570*G570*(1-H570)</f>
        <v>509.15</v>
      </c>
    </row>
    <row r="572" spans="1:12">
      <c r="A572" t="s">
        <v>1003</v>
      </c>
      <c r="B572" s="1">
        <v>46040</v>
      </c>
      <c r="C572" t="s">
        <v>1004</v>
      </c>
      <c r="D572" t="s">
        <v>56</v>
      </c>
      <c r="E572" t="s">
        <v>27</v>
      </c>
      <c r="F572">
        <v>4</v>
      </c>
      <c r="G572">
        <v>4999</v>
      </c>
      <c r="H572">
        <v>0.15</v>
      </c>
      <c r="I572" t="s">
        <v>50</v>
      </c>
      <c r="J572" t="s">
        <v>28</v>
      </c>
      <c r="K572" t="s">
        <v>17</v>
      </c>
      <c r="L572">
        <f>F571*G571*(1-H571)</f>
        <v>23745.25</v>
      </c>
    </row>
    <row r="573" spans="1:12">
      <c r="A573" t="s">
        <v>1005</v>
      </c>
      <c r="B573" s="1">
        <v>46123</v>
      </c>
      <c r="C573" t="s">
        <v>1006</v>
      </c>
      <c r="D573" t="s">
        <v>20</v>
      </c>
      <c r="E573" t="s">
        <v>35</v>
      </c>
      <c r="F573">
        <v>3</v>
      </c>
      <c r="G573">
        <v>1499</v>
      </c>
      <c r="H573">
        <v>0</v>
      </c>
      <c r="I573" t="s">
        <v>50</v>
      </c>
      <c r="J573" t="s">
        <v>36</v>
      </c>
      <c r="K573" t="s">
        <v>17</v>
      </c>
      <c r="L573">
        <f>F572*G572*(1-H572)</f>
        <v>16996.599999999999</v>
      </c>
    </row>
    <row r="574" spans="1:12">
      <c r="A574" t="s">
        <v>1007</v>
      </c>
      <c r="B574" s="1">
        <v>46229</v>
      </c>
      <c r="C574" t="s">
        <v>633</v>
      </c>
      <c r="D574" t="s">
        <v>62</v>
      </c>
      <c r="E574" t="s">
        <v>35</v>
      </c>
      <c r="F574">
        <v>3</v>
      </c>
      <c r="G574">
        <v>499</v>
      </c>
      <c r="H574">
        <v>0.05</v>
      </c>
      <c r="I574" t="s">
        <v>32</v>
      </c>
      <c r="J574" t="s">
        <v>36</v>
      </c>
      <c r="K574" t="s">
        <v>17</v>
      </c>
      <c r="L574">
        <f>F573*G573*(1-H573)</f>
        <v>4497</v>
      </c>
    </row>
    <row r="575" spans="1:12">
      <c r="A575" t="s">
        <v>1008</v>
      </c>
      <c r="B575" s="1">
        <v>46229</v>
      </c>
      <c r="C575" t="s">
        <v>1009</v>
      </c>
      <c r="D575" t="s">
        <v>59</v>
      </c>
      <c r="E575" t="s">
        <v>27</v>
      </c>
      <c r="F575">
        <v>4</v>
      </c>
      <c r="G575">
        <v>599</v>
      </c>
      <c r="H575">
        <v>0.1</v>
      </c>
      <c r="I575" t="s">
        <v>47</v>
      </c>
      <c r="J575" t="s">
        <v>22</v>
      </c>
      <c r="K575" t="s">
        <v>17</v>
      </c>
      <c r="L575">
        <f>F574*G574*(1-H574)</f>
        <v>1422.1499999999999</v>
      </c>
    </row>
    <row r="576" spans="1:12">
      <c r="A576" t="s">
        <v>1010</v>
      </c>
      <c r="B576" s="1">
        <v>46153</v>
      </c>
      <c r="C576" t="s">
        <v>1011</v>
      </c>
      <c r="D576" t="s">
        <v>20</v>
      </c>
      <c r="E576" t="s">
        <v>14</v>
      </c>
      <c r="F576">
        <v>1</v>
      </c>
      <c r="G576">
        <v>7999</v>
      </c>
      <c r="H576">
        <v>0</v>
      </c>
      <c r="I576" t="s">
        <v>47</v>
      </c>
      <c r="J576" t="s">
        <v>36</v>
      </c>
      <c r="K576" t="s">
        <v>37</v>
      </c>
      <c r="L576">
        <f>F575*G575*(1-H575)</f>
        <v>2156.4</v>
      </c>
    </row>
    <row r="577" spans="1:12">
      <c r="A577" t="s">
        <v>1012</v>
      </c>
      <c r="B577" s="1">
        <v>46202</v>
      </c>
      <c r="C577" t="s">
        <v>1013</v>
      </c>
      <c r="D577" t="s">
        <v>31</v>
      </c>
      <c r="E577" t="s">
        <v>21</v>
      </c>
      <c r="F577">
        <v>1</v>
      </c>
      <c r="G577">
        <v>599</v>
      </c>
      <c r="H577">
        <v>0.05</v>
      </c>
      <c r="I577" t="s">
        <v>15</v>
      </c>
      <c r="J577" t="s">
        <v>51</v>
      </c>
      <c r="K577" t="s">
        <v>17</v>
      </c>
      <c r="L577">
        <f>F576*G576*(1-H576)</f>
        <v>7999</v>
      </c>
    </row>
    <row r="578" spans="1:12">
      <c r="A578" t="s">
        <v>1014</v>
      </c>
      <c r="B578" s="1">
        <v>46118</v>
      </c>
      <c r="C578" t="s">
        <v>374</v>
      </c>
      <c r="D578" t="s">
        <v>62</v>
      </c>
      <c r="E578" t="s">
        <v>14</v>
      </c>
      <c r="F578">
        <v>4</v>
      </c>
      <c r="G578">
        <v>599</v>
      </c>
      <c r="H578">
        <v>0.15</v>
      </c>
      <c r="I578" t="s">
        <v>32</v>
      </c>
      <c r="J578" t="s">
        <v>16</v>
      </c>
      <c r="K578" t="s">
        <v>17</v>
      </c>
      <c r="L578">
        <f>F577*G577*(1-H577)</f>
        <v>569.04999999999995</v>
      </c>
    </row>
    <row r="579" spans="1:12">
      <c r="A579" t="s">
        <v>1015</v>
      </c>
      <c r="B579" s="1">
        <v>46229</v>
      </c>
      <c r="C579" t="s">
        <v>428</v>
      </c>
      <c r="D579" t="s">
        <v>31</v>
      </c>
      <c r="E579" t="s">
        <v>21</v>
      </c>
      <c r="F579">
        <v>4</v>
      </c>
      <c r="G579">
        <v>499</v>
      </c>
      <c r="H579">
        <v>0.1</v>
      </c>
      <c r="I579" t="s">
        <v>44</v>
      </c>
      <c r="J579" t="s">
        <v>22</v>
      </c>
      <c r="K579" t="s">
        <v>17</v>
      </c>
      <c r="L579">
        <f>F578*G578*(1-H578)</f>
        <v>2036.6</v>
      </c>
    </row>
    <row r="580" spans="1:12">
      <c r="A580" t="s">
        <v>1016</v>
      </c>
      <c r="B580" s="1">
        <v>46253</v>
      </c>
      <c r="C580" t="s">
        <v>1017</v>
      </c>
      <c r="D580" t="s">
        <v>56</v>
      </c>
      <c r="E580" t="s">
        <v>21</v>
      </c>
      <c r="F580">
        <v>3</v>
      </c>
      <c r="G580">
        <v>4999</v>
      </c>
      <c r="H580">
        <v>0.1</v>
      </c>
      <c r="I580" t="s">
        <v>44</v>
      </c>
      <c r="J580" t="s">
        <v>36</v>
      </c>
      <c r="K580" t="s">
        <v>17</v>
      </c>
      <c r="L580">
        <f>F579*G579*(1-H579)</f>
        <v>1796.4</v>
      </c>
    </row>
    <row r="581" spans="1:12">
      <c r="A581" t="s">
        <v>1018</v>
      </c>
      <c r="B581" s="1">
        <v>46191</v>
      </c>
      <c r="C581" t="s">
        <v>162</v>
      </c>
      <c r="D581" t="s">
        <v>43</v>
      </c>
      <c r="E581" t="s">
        <v>40</v>
      </c>
      <c r="F581">
        <v>4</v>
      </c>
      <c r="G581">
        <v>1299</v>
      </c>
      <c r="H581">
        <v>0.05</v>
      </c>
      <c r="I581" t="s">
        <v>47</v>
      </c>
      <c r="J581" t="s">
        <v>36</v>
      </c>
      <c r="K581" t="s">
        <v>23</v>
      </c>
      <c r="L581">
        <f>F580*G580*(1-H580)</f>
        <v>13497.300000000001</v>
      </c>
    </row>
    <row r="582" spans="1:12">
      <c r="A582" t="s">
        <v>1019</v>
      </c>
      <c r="B582" s="1">
        <v>46058</v>
      </c>
      <c r="C582" t="s">
        <v>1020</v>
      </c>
      <c r="D582" t="s">
        <v>59</v>
      </c>
      <c r="E582" t="s">
        <v>27</v>
      </c>
      <c r="F582">
        <v>5</v>
      </c>
      <c r="G582">
        <v>599</v>
      </c>
      <c r="H582">
        <v>0</v>
      </c>
      <c r="I582" t="s">
        <v>50</v>
      </c>
      <c r="J582" t="s">
        <v>36</v>
      </c>
      <c r="K582" t="s">
        <v>37</v>
      </c>
      <c r="L582">
        <f>F581*G581*(1-H581)</f>
        <v>4936.2</v>
      </c>
    </row>
    <row r="583" spans="1:12">
      <c r="A583" t="s">
        <v>1021</v>
      </c>
      <c r="B583" s="1">
        <v>46027</v>
      </c>
      <c r="C583" t="s">
        <v>808</v>
      </c>
      <c r="D583" t="s">
        <v>20</v>
      </c>
      <c r="E583" t="s">
        <v>14</v>
      </c>
      <c r="F583">
        <v>4</v>
      </c>
      <c r="G583">
        <v>799</v>
      </c>
      <c r="H583">
        <v>0</v>
      </c>
      <c r="I583" t="s">
        <v>32</v>
      </c>
      <c r="J583" t="s">
        <v>16</v>
      </c>
      <c r="K583" t="s">
        <v>23</v>
      </c>
      <c r="L583">
        <f>F582*G582*(1-H582)</f>
        <v>2995</v>
      </c>
    </row>
    <row r="584" spans="1:12">
      <c r="A584" t="s">
        <v>1022</v>
      </c>
      <c r="B584" s="1">
        <v>46221</v>
      </c>
      <c r="C584" t="s">
        <v>472</v>
      </c>
      <c r="D584" t="s">
        <v>26</v>
      </c>
      <c r="E584" t="s">
        <v>40</v>
      </c>
      <c r="F584">
        <v>1</v>
      </c>
      <c r="G584">
        <v>1999</v>
      </c>
      <c r="H584">
        <v>0.15</v>
      </c>
      <c r="I584" t="s">
        <v>44</v>
      </c>
      <c r="J584" t="s">
        <v>28</v>
      </c>
      <c r="K584" t="s">
        <v>17</v>
      </c>
      <c r="L584">
        <f>F583*G583*(1-H583)</f>
        <v>3196</v>
      </c>
    </row>
    <row r="585" spans="1:12">
      <c r="A585" t="s">
        <v>1023</v>
      </c>
      <c r="B585" s="1">
        <v>46251</v>
      </c>
      <c r="C585" t="s">
        <v>818</v>
      </c>
      <c r="D585" t="s">
        <v>31</v>
      </c>
      <c r="E585" t="s">
        <v>21</v>
      </c>
      <c r="F585">
        <v>5</v>
      </c>
      <c r="G585">
        <v>2499</v>
      </c>
      <c r="H585">
        <v>0</v>
      </c>
      <c r="I585" t="s">
        <v>15</v>
      </c>
      <c r="J585" t="s">
        <v>28</v>
      </c>
      <c r="K585" t="s">
        <v>37</v>
      </c>
      <c r="L585">
        <f>F584*G584*(1-H584)</f>
        <v>1699.1499999999999</v>
      </c>
    </row>
    <row r="586" spans="1:12">
      <c r="A586" t="s">
        <v>1024</v>
      </c>
      <c r="B586" s="1">
        <v>46175</v>
      </c>
      <c r="C586" t="s">
        <v>292</v>
      </c>
      <c r="D586" t="s">
        <v>13</v>
      </c>
      <c r="E586" t="s">
        <v>14</v>
      </c>
      <c r="F586">
        <v>3</v>
      </c>
      <c r="G586">
        <v>7999</v>
      </c>
      <c r="H586">
        <v>0.05</v>
      </c>
      <c r="I586" t="s">
        <v>15</v>
      </c>
      <c r="J586" t="s">
        <v>16</v>
      </c>
      <c r="K586" t="s">
        <v>17</v>
      </c>
      <c r="L586">
        <f>F585*G585*(1-H585)</f>
        <v>12495</v>
      </c>
    </row>
    <row r="587" spans="1:12">
      <c r="A587" t="s">
        <v>1025</v>
      </c>
      <c r="B587" s="1">
        <v>46153</v>
      </c>
      <c r="C587" t="s">
        <v>1026</v>
      </c>
      <c r="D587" t="s">
        <v>59</v>
      </c>
      <c r="E587" t="s">
        <v>27</v>
      </c>
      <c r="F587">
        <v>4</v>
      </c>
      <c r="G587">
        <v>799</v>
      </c>
      <c r="H587">
        <v>0.15</v>
      </c>
      <c r="I587" t="s">
        <v>44</v>
      </c>
      <c r="J587" t="s">
        <v>22</v>
      </c>
      <c r="K587" t="s">
        <v>17</v>
      </c>
      <c r="L587">
        <f>F586*G586*(1-H586)</f>
        <v>22797.149999999998</v>
      </c>
    </row>
    <row r="588" spans="1:12">
      <c r="A588" t="s">
        <v>1027</v>
      </c>
      <c r="B588" s="1">
        <v>46112</v>
      </c>
      <c r="C588" t="s">
        <v>1028</v>
      </c>
      <c r="D588" t="s">
        <v>56</v>
      </c>
      <c r="E588" t="s">
        <v>21</v>
      </c>
      <c r="F588">
        <v>5</v>
      </c>
      <c r="G588">
        <v>599</v>
      </c>
      <c r="H588">
        <v>0.1</v>
      </c>
      <c r="I588" t="s">
        <v>32</v>
      </c>
      <c r="J588" t="s">
        <v>16</v>
      </c>
      <c r="K588" t="s">
        <v>17</v>
      </c>
      <c r="L588">
        <f>F587*G587*(1-H587)</f>
        <v>2716.6</v>
      </c>
    </row>
    <row r="589" spans="1:12">
      <c r="A589" t="s">
        <v>1029</v>
      </c>
      <c r="B589" s="1">
        <v>46286</v>
      </c>
      <c r="C589" t="s">
        <v>166</v>
      </c>
      <c r="D589" t="s">
        <v>20</v>
      </c>
      <c r="E589" t="s">
        <v>40</v>
      </c>
      <c r="F589">
        <v>3</v>
      </c>
      <c r="G589">
        <v>999</v>
      </c>
      <c r="H589">
        <v>0.05</v>
      </c>
      <c r="I589" t="s">
        <v>32</v>
      </c>
      <c r="J589" t="s">
        <v>36</v>
      </c>
      <c r="K589" t="s">
        <v>17</v>
      </c>
      <c r="L589">
        <f>F588*G588*(1-H588)</f>
        <v>2695.5</v>
      </c>
    </row>
    <row r="590" spans="1:12">
      <c r="A590" t="s">
        <v>1030</v>
      </c>
      <c r="B590" s="1">
        <v>46042</v>
      </c>
      <c r="C590" t="s">
        <v>1031</v>
      </c>
      <c r="D590" t="s">
        <v>59</v>
      </c>
      <c r="E590" t="s">
        <v>40</v>
      </c>
      <c r="F590">
        <v>4</v>
      </c>
      <c r="G590">
        <v>999</v>
      </c>
      <c r="H590">
        <v>0</v>
      </c>
      <c r="I590" t="s">
        <v>32</v>
      </c>
      <c r="J590" t="s">
        <v>28</v>
      </c>
      <c r="K590" t="s">
        <v>17</v>
      </c>
      <c r="L590">
        <f>F589*G589*(1-H589)</f>
        <v>2847.15</v>
      </c>
    </row>
    <row r="591" spans="1:12">
      <c r="A591" t="s">
        <v>1032</v>
      </c>
      <c r="B591" s="1">
        <v>46082</v>
      </c>
      <c r="C591" t="s">
        <v>88</v>
      </c>
      <c r="D591" t="s">
        <v>62</v>
      </c>
      <c r="E591" t="s">
        <v>27</v>
      </c>
      <c r="F591">
        <v>1</v>
      </c>
      <c r="G591">
        <v>799</v>
      </c>
      <c r="H591">
        <v>0</v>
      </c>
      <c r="I591" t="s">
        <v>15</v>
      </c>
      <c r="J591" t="s">
        <v>16</v>
      </c>
      <c r="K591" t="s">
        <v>23</v>
      </c>
      <c r="L591">
        <f>F590*G590*(1-H590)</f>
        <v>3996</v>
      </c>
    </row>
    <row r="592" spans="1:12">
      <c r="A592" t="s">
        <v>1033</v>
      </c>
      <c r="B592" s="1">
        <v>46229</v>
      </c>
      <c r="C592" t="s">
        <v>1034</v>
      </c>
      <c r="D592" t="s">
        <v>13</v>
      </c>
      <c r="E592" t="s">
        <v>40</v>
      </c>
      <c r="F592">
        <v>2</v>
      </c>
      <c r="G592">
        <v>599</v>
      </c>
      <c r="H592">
        <v>0</v>
      </c>
      <c r="I592" t="s">
        <v>50</v>
      </c>
      <c r="J592" t="s">
        <v>22</v>
      </c>
      <c r="K592" t="s">
        <v>17</v>
      </c>
      <c r="L592">
        <f>F591*G591*(1-H591)</f>
        <v>799</v>
      </c>
    </row>
    <row r="593" spans="1:12">
      <c r="A593" t="s">
        <v>1035</v>
      </c>
      <c r="B593" s="1">
        <v>46101</v>
      </c>
      <c r="C593" t="s">
        <v>1036</v>
      </c>
      <c r="D593" t="s">
        <v>71</v>
      </c>
      <c r="E593" t="s">
        <v>14</v>
      </c>
      <c r="F593">
        <v>4</v>
      </c>
      <c r="G593">
        <v>499</v>
      </c>
      <c r="H593">
        <v>0</v>
      </c>
      <c r="I593" t="s">
        <v>44</v>
      </c>
      <c r="J593" t="s">
        <v>16</v>
      </c>
      <c r="K593" t="s">
        <v>17</v>
      </c>
      <c r="L593">
        <f>F592*G592*(1-H592)</f>
        <v>1198</v>
      </c>
    </row>
    <row r="594" spans="1:12">
      <c r="A594" t="s">
        <v>1037</v>
      </c>
      <c r="B594" s="1">
        <v>46209</v>
      </c>
      <c r="C594" t="s">
        <v>1038</v>
      </c>
      <c r="D594" t="s">
        <v>62</v>
      </c>
      <c r="E594" t="s">
        <v>21</v>
      </c>
      <c r="F594">
        <v>3</v>
      </c>
      <c r="G594">
        <v>1299</v>
      </c>
      <c r="H594">
        <v>0</v>
      </c>
      <c r="I594" t="s">
        <v>47</v>
      </c>
      <c r="J594" t="s">
        <v>36</v>
      </c>
      <c r="K594" t="s">
        <v>17</v>
      </c>
      <c r="L594">
        <f>F593*G593*(1-H593)</f>
        <v>1996</v>
      </c>
    </row>
    <row r="595" spans="1:12">
      <c r="A595" t="s">
        <v>1039</v>
      </c>
      <c r="B595" s="1">
        <v>46064</v>
      </c>
      <c r="C595" t="s">
        <v>1040</v>
      </c>
      <c r="D595" t="s">
        <v>26</v>
      </c>
      <c r="E595" t="s">
        <v>27</v>
      </c>
      <c r="F595">
        <v>4</v>
      </c>
      <c r="G595">
        <v>499</v>
      </c>
      <c r="H595">
        <v>0.15</v>
      </c>
      <c r="I595" t="s">
        <v>44</v>
      </c>
      <c r="J595" t="s">
        <v>16</v>
      </c>
      <c r="K595" t="s">
        <v>37</v>
      </c>
      <c r="L595">
        <f>F594*G594*(1-H594)</f>
        <v>3897</v>
      </c>
    </row>
    <row r="596" spans="1:12">
      <c r="A596" t="s">
        <v>1041</v>
      </c>
      <c r="B596" s="1">
        <v>46177</v>
      </c>
      <c r="C596" t="s">
        <v>1042</v>
      </c>
      <c r="D596" t="s">
        <v>13</v>
      </c>
      <c r="E596" t="s">
        <v>21</v>
      </c>
      <c r="F596">
        <v>2</v>
      </c>
      <c r="G596">
        <v>499</v>
      </c>
      <c r="H596">
        <v>0</v>
      </c>
      <c r="I596" t="s">
        <v>50</v>
      </c>
      <c r="J596" t="s">
        <v>16</v>
      </c>
      <c r="K596" t="s">
        <v>17</v>
      </c>
      <c r="L596">
        <f>F595*G595*(1-H595)</f>
        <v>1696.6</v>
      </c>
    </row>
    <row r="597" spans="1:12">
      <c r="A597" t="s">
        <v>1043</v>
      </c>
      <c r="B597" s="1">
        <v>46285</v>
      </c>
      <c r="C597" t="s">
        <v>729</v>
      </c>
      <c r="D597" t="s">
        <v>56</v>
      </c>
      <c r="E597" t="s">
        <v>27</v>
      </c>
      <c r="F597">
        <v>5</v>
      </c>
      <c r="G597">
        <v>4999</v>
      </c>
      <c r="H597">
        <v>0</v>
      </c>
      <c r="I597" t="s">
        <v>15</v>
      </c>
      <c r="J597" t="s">
        <v>28</v>
      </c>
      <c r="K597" t="s">
        <v>17</v>
      </c>
      <c r="L597">
        <f>F596*G596*(1-H596)</f>
        <v>998</v>
      </c>
    </row>
    <row r="598" spans="1:12">
      <c r="A598" t="s">
        <v>1044</v>
      </c>
      <c r="B598" s="1">
        <v>46078</v>
      </c>
      <c r="C598" t="s">
        <v>336</v>
      </c>
      <c r="D598" t="s">
        <v>78</v>
      </c>
      <c r="E598" t="s">
        <v>14</v>
      </c>
      <c r="F598">
        <v>1</v>
      </c>
      <c r="G598">
        <v>499</v>
      </c>
      <c r="H598">
        <v>0</v>
      </c>
      <c r="I598" t="s">
        <v>47</v>
      </c>
      <c r="J598" t="s">
        <v>16</v>
      </c>
      <c r="K598" t="s">
        <v>37</v>
      </c>
      <c r="L598">
        <f>F597*G597*(1-H597)</f>
        <v>24995</v>
      </c>
    </row>
    <row r="599" spans="1:12">
      <c r="A599" t="s">
        <v>1045</v>
      </c>
      <c r="B599" s="1">
        <v>46077</v>
      </c>
      <c r="C599" t="s">
        <v>1046</v>
      </c>
      <c r="D599" t="s">
        <v>31</v>
      </c>
      <c r="E599" t="s">
        <v>40</v>
      </c>
      <c r="F599">
        <v>3</v>
      </c>
      <c r="G599">
        <v>999</v>
      </c>
      <c r="H599">
        <v>0</v>
      </c>
      <c r="I599" t="s">
        <v>15</v>
      </c>
      <c r="J599" t="s">
        <v>51</v>
      </c>
      <c r="K599" t="s">
        <v>37</v>
      </c>
      <c r="L599">
        <f>F598*G598*(1-H598)</f>
        <v>499</v>
      </c>
    </row>
    <row r="600" spans="1:12">
      <c r="A600" t="s">
        <v>1047</v>
      </c>
      <c r="B600" s="1">
        <v>46223</v>
      </c>
      <c r="C600" t="s">
        <v>1048</v>
      </c>
      <c r="D600" t="s">
        <v>59</v>
      </c>
      <c r="E600" t="s">
        <v>35</v>
      </c>
      <c r="F600">
        <v>3</v>
      </c>
      <c r="G600">
        <v>1999</v>
      </c>
      <c r="H600">
        <v>0.15</v>
      </c>
      <c r="I600" t="s">
        <v>15</v>
      </c>
      <c r="J600" t="s">
        <v>16</v>
      </c>
      <c r="K600" t="s">
        <v>23</v>
      </c>
      <c r="L600">
        <f>F599*G599*(1-H599)</f>
        <v>2997</v>
      </c>
    </row>
    <row r="601" spans="1:12">
      <c r="A601" t="s">
        <v>1049</v>
      </c>
      <c r="B601" s="1">
        <v>46067</v>
      </c>
      <c r="C601" t="s">
        <v>1050</v>
      </c>
      <c r="D601" t="s">
        <v>31</v>
      </c>
      <c r="E601" t="s">
        <v>21</v>
      </c>
      <c r="F601">
        <v>2</v>
      </c>
      <c r="G601">
        <v>1299</v>
      </c>
      <c r="H601">
        <v>0.15</v>
      </c>
      <c r="I601" t="s">
        <v>44</v>
      </c>
      <c r="J601" t="s">
        <v>16</v>
      </c>
      <c r="K601" t="s">
        <v>17</v>
      </c>
      <c r="L601">
        <f>F600*G600*(1-H600)</f>
        <v>5097.45</v>
      </c>
    </row>
    <row r="602" spans="1:12">
      <c r="A602" t="s">
        <v>1051</v>
      </c>
      <c r="B602" s="1">
        <v>46054</v>
      </c>
      <c r="C602" t="s">
        <v>1052</v>
      </c>
      <c r="D602" t="s">
        <v>43</v>
      </c>
      <c r="E602" t="s">
        <v>27</v>
      </c>
      <c r="F602">
        <v>4</v>
      </c>
      <c r="G602">
        <v>499</v>
      </c>
      <c r="H602">
        <v>0.15</v>
      </c>
      <c r="I602" t="s">
        <v>44</v>
      </c>
      <c r="J602" t="s">
        <v>16</v>
      </c>
      <c r="K602" t="s">
        <v>37</v>
      </c>
      <c r="L602">
        <f>F601*G601*(1-H601)</f>
        <v>2208.2999999999997</v>
      </c>
    </row>
    <row r="603" spans="1:12">
      <c r="A603" t="s">
        <v>1053</v>
      </c>
      <c r="B603" s="1">
        <v>46034</v>
      </c>
      <c r="C603" t="s">
        <v>1054</v>
      </c>
      <c r="D603" t="s">
        <v>43</v>
      </c>
      <c r="E603" t="s">
        <v>35</v>
      </c>
      <c r="F603">
        <v>2</v>
      </c>
      <c r="G603">
        <v>499</v>
      </c>
      <c r="H603">
        <v>0.1</v>
      </c>
      <c r="I603" t="s">
        <v>44</v>
      </c>
      <c r="J603" t="s">
        <v>36</v>
      </c>
      <c r="K603" t="s">
        <v>17</v>
      </c>
      <c r="L603">
        <f>F602*G602*(1-H602)</f>
        <v>1696.6</v>
      </c>
    </row>
    <row r="604" spans="1:12">
      <c r="A604" t="s">
        <v>1055</v>
      </c>
      <c r="B604" s="1">
        <v>46089</v>
      </c>
      <c r="C604" t="s">
        <v>1056</v>
      </c>
      <c r="D604" t="s">
        <v>71</v>
      </c>
      <c r="E604" t="s">
        <v>14</v>
      </c>
      <c r="F604">
        <v>3</v>
      </c>
      <c r="G604">
        <v>7999</v>
      </c>
      <c r="H604">
        <v>0.1</v>
      </c>
      <c r="I604" t="s">
        <v>32</v>
      </c>
      <c r="J604" t="s">
        <v>36</v>
      </c>
      <c r="K604" t="s">
        <v>23</v>
      </c>
      <c r="L604">
        <f>F603*G603*(1-H603)</f>
        <v>898.2</v>
      </c>
    </row>
    <row r="605" spans="1:12">
      <c r="A605" t="s">
        <v>1057</v>
      </c>
      <c r="B605" s="1">
        <v>46158</v>
      </c>
      <c r="C605" t="s">
        <v>1058</v>
      </c>
      <c r="D605" t="s">
        <v>62</v>
      </c>
      <c r="E605" t="s">
        <v>21</v>
      </c>
      <c r="F605">
        <v>2</v>
      </c>
      <c r="G605">
        <v>7999</v>
      </c>
      <c r="H605">
        <v>0.15</v>
      </c>
      <c r="I605" t="s">
        <v>50</v>
      </c>
      <c r="J605" t="s">
        <v>28</v>
      </c>
      <c r="K605" t="s">
        <v>17</v>
      </c>
      <c r="L605">
        <f>F604*G604*(1-H604)</f>
        <v>21597.3</v>
      </c>
    </row>
    <row r="606" spans="1:12">
      <c r="A606" t="s">
        <v>1059</v>
      </c>
      <c r="B606" s="1">
        <v>46048</v>
      </c>
      <c r="C606" t="s">
        <v>343</v>
      </c>
      <c r="D606" t="s">
        <v>71</v>
      </c>
      <c r="E606" t="s">
        <v>14</v>
      </c>
      <c r="F606">
        <v>4</v>
      </c>
      <c r="G606">
        <v>2499</v>
      </c>
      <c r="H606">
        <v>0.05</v>
      </c>
      <c r="I606" t="s">
        <v>32</v>
      </c>
      <c r="J606" t="s">
        <v>16</v>
      </c>
      <c r="K606" t="s">
        <v>37</v>
      </c>
      <c r="L606">
        <f>F605*G605*(1-H605)</f>
        <v>13598.3</v>
      </c>
    </row>
    <row r="607" spans="1:12">
      <c r="A607" t="s">
        <v>1060</v>
      </c>
      <c r="B607" s="1">
        <v>46105</v>
      </c>
      <c r="C607" t="s">
        <v>304</v>
      </c>
      <c r="D607" t="s">
        <v>43</v>
      </c>
      <c r="E607" t="s">
        <v>14</v>
      </c>
      <c r="F607">
        <v>5</v>
      </c>
      <c r="G607">
        <v>4999</v>
      </c>
      <c r="H607">
        <v>0</v>
      </c>
      <c r="I607" t="s">
        <v>44</v>
      </c>
      <c r="J607" t="s">
        <v>28</v>
      </c>
      <c r="K607" t="s">
        <v>17</v>
      </c>
      <c r="L607">
        <f>F606*G606*(1-H606)</f>
        <v>9496.1999999999989</v>
      </c>
    </row>
    <row r="608" spans="1:12">
      <c r="A608" t="s">
        <v>1061</v>
      </c>
      <c r="B608" s="1">
        <v>46057</v>
      </c>
      <c r="C608" t="s">
        <v>1062</v>
      </c>
      <c r="D608" t="s">
        <v>59</v>
      </c>
      <c r="E608" t="s">
        <v>27</v>
      </c>
      <c r="F608">
        <v>4</v>
      </c>
      <c r="G608">
        <v>799</v>
      </c>
      <c r="H608">
        <v>0.05</v>
      </c>
      <c r="I608" t="s">
        <v>32</v>
      </c>
      <c r="J608" t="s">
        <v>28</v>
      </c>
      <c r="K608" t="s">
        <v>17</v>
      </c>
      <c r="L608">
        <f>F607*G607*(1-H607)</f>
        <v>24995</v>
      </c>
    </row>
    <row r="609" spans="1:12">
      <c r="A609" t="s">
        <v>1063</v>
      </c>
      <c r="B609" s="1">
        <v>46291</v>
      </c>
      <c r="C609" t="s">
        <v>530</v>
      </c>
      <c r="D609" t="s">
        <v>59</v>
      </c>
      <c r="E609" t="s">
        <v>27</v>
      </c>
      <c r="F609">
        <v>3</v>
      </c>
      <c r="G609">
        <v>999</v>
      </c>
      <c r="H609">
        <v>0.1</v>
      </c>
      <c r="I609" t="s">
        <v>50</v>
      </c>
      <c r="J609" t="s">
        <v>28</v>
      </c>
      <c r="K609" t="s">
        <v>17</v>
      </c>
      <c r="L609">
        <f>F608*G608*(1-H608)</f>
        <v>3036.2</v>
      </c>
    </row>
    <row r="610" spans="1:12">
      <c r="A610" t="s">
        <v>1064</v>
      </c>
      <c r="B610" s="1">
        <v>46149</v>
      </c>
      <c r="C610" t="s">
        <v>73</v>
      </c>
      <c r="D610" t="s">
        <v>13</v>
      </c>
      <c r="E610" t="s">
        <v>27</v>
      </c>
      <c r="F610">
        <v>5</v>
      </c>
      <c r="G610">
        <v>7999</v>
      </c>
      <c r="H610">
        <v>0</v>
      </c>
      <c r="I610" t="s">
        <v>47</v>
      </c>
      <c r="J610" t="s">
        <v>22</v>
      </c>
      <c r="K610" t="s">
        <v>17</v>
      </c>
      <c r="L610">
        <f>F609*G609*(1-H609)</f>
        <v>2697.3</v>
      </c>
    </row>
    <row r="611" spans="1:12">
      <c r="A611" t="s">
        <v>1065</v>
      </c>
      <c r="B611" s="1">
        <v>46253</v>
      </c>
      <c r="C611" t="s">
        <v>1066</v>
      </c>
      <c r="D611" t="s">
        <v>31</v>
      </c>
      <c r="E611" t="s">
        <v>21</v>
      </c>
      <c r="F611">
        <v>4</v>
      </c>
      <c r="G611">
        <v>1299</v>
      </c>
      <c r="H611">
        <v>0</v>
      </c>
      <c r="I611" t="s">
        <v>47</v>
      </c>
      <c r="J611" t="s">
        <v>36</v>
      </c>
      <c r="K611" t="s">
        <v>17</v>
      </c>
      <c r="L611">
        <f>F610*G610*(1-H610)</f>
        <v>39995</v>
      </c>
    </row>
    <row r="612" spans="1:12">
      <c r="A612" t="s">
        <v>1067</v>
      </c>
      <c r="B612" s="1">
        <v>46038</v>
      </c>
      <c r="C612" t="s">
        <v>1068</v>
      </c>
      <c r="D612" t="s">
        <v>56</v>
      </c>
      <c r="E612" t="s">
        <v>27</v>
      </c>
      <c r="F612">
        <v>1</v>
      </c>
      <c r="G612">
        <v>1499</v>
      </c>
      <c r="H612">
        <v>0</v>
      </c>
      <c r="I612" t="s">
        <v>15</v>
      </c>
      <c r="J612" t="s">
        <v>51</v>
      </c>
      <c r="K612" t="s">
        <v>37</v>
      </c>
      <c r="L612">
        <f>F611*G611*(1-H611)</f>
        <v>5196</v>
      </c>
    </row>
    <row r="613" spans="1:12">
      <c r="A613" t="s">
        <v>1069</v>
      </c>
      <c r="B613" s="1">
        <v>46140</v>
      </c>
      <c r="C613" t="s">
        <v>690</v>
      </c>
      <c r="D613" t="s">
        <v>20</v>
      </c>
      <c r="E613" t="s">
        <v>14</v>
      </c>
      <c r="F613">
        <v>5</v>
      </c>
      <c r="G613">
        <v>1999</v>
      </c>
      <c r="H613">
        <v>0.1</v>
      </c>
      <c r="I613" t="s">
        <v>47</v>
      </c>
      <c r="J613" t="s">
        <v>36</v>
      </c>
      <c r="K613" t="s">
        <v>37</v>
      </c>
      <c r="L613">
        <f>F612*G612*(1-H612)</f>
        <v>1499</v>
      </c>
    </row>
    <row r="614" spans="1:12">
      <c r="A614" t="s">
        <v>1070</v>
      </c>
      <c r="B614" s="1">
        <v>46286</v>
      </c>
      <c r="C614" t="s">
        <v>1071</v>
      </c>
      <c r="D614" t="s">
        <v>31</v>
      </c>
      <c r="E614" t="s">
        <v>40</v>
      </c>
      <c r="F614">
        <v>3</v>
      </c>
      <c r="G614">
        <v>499</v>
      </c>
      <c r="H614">
        <v>0.15</v>
      </c>
      <c r="I614" t="s">
        <v>32</v>
      </c>
      <c r="J614" t="s">
        <v>28</v>
      </c>
      <c r="K614" t="s">
        <v>17</v>
      </c>
      <c r="L614">
        <f>F613*G613*(1-H613)</f>
        <v>8995.5</v>
      </c>
    </row>
    <row r="615" spans="1:12">
      <c r="A615" t="s">
        <v>1072</v>
      </c>
      <c r="B615" s="1">
        <v>46040</v>
      </c>
      <c r="C615" t="s">
        <v>176</v>
      </c>
      <c r="D615" t="s">
        <v>78</v>
      </c>
      <c r="E615" t="s">
        <v>35</v>
      </c>
      <c r="F615">
        <v>4</v>
      </c>
      <c r="G615">
        <v>4999</v>
      </c>
      <c r="H615">
        <v>0</v>
      </c>
      <c r="I615" t="s">
        <v>15</v>
      </c>
      <c r="J615" t="s">
        <v>36</v>
      </c>
      <c r="K615" t="s">
        <v>17</v>
      </c>
      <c r="L615">
        <f>F614*G614*(1-H614)</f>
        <v>1272.45</v>
      </c>
    </row>
    <row r="616" spans="1:12">
      <c r="A616" t="s">
        <v>1073</v>
      </c>
      <c r="B616" s="1">
        <v>46105</v>
      </c>
      <c r="C616" t="s">
        <v>1074</v>
      </c>
      <c r="D616" t="s">
        <v>13</v>
      </c>
      <c r="E616" t="s">
        <v>27</v>
      </c>
      <c r="F616">
        <v>4</v>
      </c>
      <c r="G616">
        <v>999</v>
      </c>
      <c r="H616">
        <v>0.15</v>
      </c>
      <c r="I616" t="s">
        <v>15</v>
      </c>
      <c r="J616" t="s">
        <v>16</v>
      </c>
      <c r="K616" t="s">
        <v>17</v>
      </c>
      <c r="L616">
        <f>F615*G615*(1-H615)</f>
        <v>19996</v>
      </c>
    </row>
    <row r="617" spans="1:12">
      <c r="A617" t="s">
        <v>1075</v>
      </c>
      <c r="B617" s="1">
        <v>46173</v>
      </c>
      <c r="C617" t="s">
        <v>1038</v>
      </c>
      <c r="D617" t="s">
        <v>20</v>
      </c>
      <c r="E617" t="s">
        <v>27</v>
      </c>
      <c r="F617">
        <v>4</v>
      </c>
      <c r="G617">
        <v>1299</v>
      </c>
      <c r="H617">
        <v>0.15</v>
      </c>
      <c r="I617" t="s">
        <v>47</v>
      </c>
      <c r="J617" t="s">
        <v>36</v>
      </c>
      <c r="K617" t="s">
        <v>17</v>
      </c>
      <c r="L617">
        <f>F616*G616*(1-H616)</f>
        <v>3396.6</v>
      </c>
    </row>
    <row r="618" spans="1:12">
      <c r="A618" t="s">
        <v>1076</v>
      </c>
      <c r="B618" s="1">
        <v>46195</v>
      </c>
      <c r="C618" t="s">
        <v>1077</v>
      </c>
      <c r="D618" t="s">
        <v>56</v>
      </c>
      <c r="E618" t="s">
        <v>21</v>
      </c>
      <c r="F618">
        <v>3</v>
      </c>
      <c r="G618">
        <v>7999</v>
      </c>
      <c r="H618">
        <v>0.1</v>
      </c>
      <c r="I618" t="s">
        <v>50</v>
      </c>
      <c r="J618" t="s">
        <v>36</v>
      </c>
      <c r="K618" t="s">
        <v>17</v>
      </c>
      <c r="L618">
        <f>F617*G617*(1-H617)</f>
        <v>4416.5999999999995</v>
      </c>
    </row>
    <row r="619" spans="1:12">
      <c r="A619" t="s">
        <v>1078</v>
      </c>
      <c r="B619" s="1">
        <v>46047</v>
      </c>
      <c r="C619" t="s">
        <v>80</v>
      </c>
      <c r="D619" t="s">
        <v>59</v>
      </c>
      <c r="E619" t="s">
        <v>21</v>
      </c>
      <c r="F619">
        <v>4</v>
      </c>
      <c r="G619">
        <v>2499</v>
      </c>
      <c r="H619">
        <v>0</v>
      </c>
      <c r="I619" t="s">
        <v>50</v>
      </c>
      <c r="J619" t="s">
        <v>16</v>
      </c>
      <c r="K619" t="s">
        <v>37</v>
      </c>
      <c r="L619">
        <f>F618*G618*(1-H618)</f>
        <v>21597.3</v>
      </c>
    </row>
    <row r="620" spans="1:12">
      <c r="A620" t="s">
        <v>1079</v>
      </c>
      <c r="B620" s="1">
        <v>46295</v>
      </c>
      <c r="C620" t="s">
        <v>1080</v>
      </c>
      <c r="D620" t="s">
        <v>78</v>
      </c>
      <c r="E620" t="s">
        <v>40</v>
      </c>
      <c r="F620">
        <v>4</v>
      </c>
      <c r="G620">
        <v>499</v>
      </c>
      <c r="H620">
        <v>0</v>
      </c>
      <c r="I620" t="s">
        <v>50</v>
      </c>
      <c r="J620" t="s">
        <v>36</v>
      </c>
      <c r="K620" t="s">
        <v>17</v>
      </c>
      <c r="L620">
        <f>F619*G619*(1-H619)</f>
        <v>9996</v>
      </c>
    </row>
    <row r="621" spans="1:12">
      <c r="A621" t="s">
        <v>1081</v>
      </c>
      <c r="B621" s="1">
        <v>46205</v>
      </c>
      <c r="C621" t="s">
        <v>979</v>
      </c>
      <c r="D621" t="s">
        <v>56</v>
      </c>
      <c r="E621" t="s">
        <v>21</v>
      </c>
      <c r="F621">
        <v>1</v>
      </c>
      <c r="G621">
        <v>2499</v>
      </c>
      <c r="H621">
        <v>0.05</v>
      </c>
      <c r="I621" t="s">
        <v>47</v>
      </c>
      <c r="J621" t="s">
        <v>22</v>
      </c>
      <c r="K621" t="s">
        <v>17</v>
      </c>
      <c r="L621">
        <f>F620*G620*(1-H620)</f>
        <v>1996</v>
      </c>
    </row>
    <row r="622" spans="1:12">
      <c r="A622" t="s">
        <v>1082</v>
      </c>
      <c r="B622" s="1">
        <v>46072</v>
      </c>
      <c r="C622" t="s">
        <v>1083</v>
      </c>
      <c r="D622" t="s">
        <v>59</v>
      </c>
      <c r="E622" t="s">
        <v>40</v>
      </c>
      <c r="F622">
        <v>1</v>
      </c>
      <c r="G622">
        <v>1499</v>
      </c>
      <c r="H622">
        <v>0</v>
      </c>
      <c r="I622" t="s">
        <v>32</v>
      </c>
      <c r="J622" t="s">
        <v>36</v>
      </c>
      <c r="K622" t="s">
        <v>37</v>
      </c>
      <c r="L622">
        <f>F621*G621*(1-H621)</f>
        <v>2374.0499999999997</v>
      </c>
    </row>
    <row r="623" spans="1:12">
      <c r="A623" t="s">
        <v>1084</v>
      </c>
      <c r="B623" s="1">
        <v>46188</v>
      </c>
      <c r="C623" t="s">
        <v>1085</v>
      </c>
      <c r="D623" t="s">
        <v>26</v>
      </c>
      <c r="E623" t="s">
        <v>40</v>
      </c>
      <c r="F623">
        <v>1</v>
      </c>
      <c r="G623">
        <v>799</v>
      </c>
      <c r="H623">
        <v>0.1</v>
      </c>
      <c r="I623" t="s">
        <v>50</v>
      </c>
      <c r="J623" t="s">
        <v>36</v>
      </c>
      <c r="K623" t="s">
        <v>23</v>
      </c>
      <c r="L623">
        <f>F622*G622*(1-H622)</f>
        <v>1499</v>
      </c>
    </row>
    <row r="624" spans="1:12">
      <c r="A624" t="s">
        <v>1086</v>
      </c>
      <c r="B624" s="1">
        <v>46242</v>
      </c>
      <c r="C624" t="s">
        <v>1087</v>
      </c>
      <c r="D624" t="s">
        <v>78</v>
      </c>
      <c r="E624" t="s">
        <v>14</v>
      </c>
      <c r="F624">
        <v>4</v>
      </c>
      <c r="G624">
        <v>599</v>
      </c>
      <c r="H624">
        <v>0.05</v>
      </c>
      <c r="I624" t="s">
        <v>44</v>
      </c>
      <c r="J624" t="s">
        <v>16</v>
      </c>
      <c r="K624" t="s">
        <v>23</v>
      </c>
      <c r="L624">
        <f>F623*G623*(1-H623)</f>
        <v>719.1</v>
      </c>
    </row>
    <row r="625" spans="1:12">
      <c r="A625" t="s">
        <v>1088</v>
      </c>
      <c r="B625" s="1">
        <v>46091</v>
      </c>
      <c r="C625" t="s">
        <v>462</v>
      </c>
      <c r="D625" t="s">
        <v>13</v>
      </c>
      <c r="E625" t="s">
        <v>14</v>
      </c>
      <c r="F625">
        <v>2</v>
      </c>
      <c r="G625">
        <v>7999</v>
      </c>
      <c r="H625">
        <v>0.05</v>
      </c>
      <c r="I625" t="s">
        <v>47</v>
      </c>
      <c r="J625" t="s">
        <v>36</v>
      </c>
      <c r="K625" t="s">
        <v>17</v>
      </c>
      <c r="L625">
        <f>F624*G624*(1-H624)</f>
        <v>2276.1999999999998</v>
      </c>
    </row>
    <row r="626" spans="1:12">
      <c r="A626" t="s">
        <v>1089</v>
      </c>
      <c r="B626" s="1">
        <v>46238</v>
      </c>
      <c r="C626" t="s">
        <v>1090</v>
      </c>
      <c r="D626" t="s">
        <v>31</v>
      </c>
      <c r="E626" t="s">
        <v>27</v>
      </c>
      <c r="F626">
        <v>2</v>
      </c>
      <c r="G626">
        <v>4999</v>
      </c>
      <c r="H626">
        <v>0.1</v>
      </c>
      <c r="I626" t="s">
        <v>15</v>
      </c>
      <c r="J626" t="s">
        <v>36</v>
      </c>
      <c r="K626" t="s">
        <v>17</v>
      </c>
      <c r="L626">
        <f>F625*G625*(1-H625)</f>
        <v>15198.099999999999</v>
      </c>
    </row>
    <row r="627" spans="1:12">
      <c r="A627" t="s">
        <v>1091</v>
      </c>
      <c r="B627" s="1">
        <v>46069</v>
      </c>
      <c r="C627" t="s">
        <v>1074</v>
      </c>
      <c r="D627" t="s">
        <v>13</v>
      </c>
      <c r="E627" t="s">
        <v>40</v>
      </c>
      <c r="F627">
        <v>1</v>
      </c>
      <c r="G627">
        <v>599</v>
      </c>
      <c r="H627">
        <v>0.05</v>
      </c>
      <c r="I627" t="s">
        <v>50</v>
      </c>
      <c r="J627" t="s">
        <v>22</v>
      </c>
      <c r="K627" t="s">
        <v>23</v>
      </c>
      <c r="L627">
        <f>F626*G626*(1-H626)</f>
        <v>8998.2000000000007</v>
      </c>
    </row>
    <row r="628" spans="1:12">
      <c r="A628" t="s">
        <v>1092</v>
      </c>
      <c r="B628" s="1">
        <v>46291</v>
      </c>
      <c r="C628" t="s">
        <v>974</v>
      </c>
      <c r="D628" t="s">
        <v>26</v>
      </c>
      <c r="E628" t="s">
        <v>14</v>
      </c>
      <c r="F628">
        <v>5</v>
      </c>
      <c r="G628">
        <v>1999</v>
      </c>
      <c r="H628">
        <v>0.05</v>
      </c>
      <c r="I628" t="s">
        <v>32</v>
      </c>
      <c r="J628" t="s">
        <v>51</v>
      </c>
      <c r="K628" t="s">
        <v>17</v>
      </c>
      <c r="L628">
        <f>F627*G627*(1-H627)</f>
        <v>569.04999999999995</v>
      </c>
    </row>
    <row r="629" spans="1:12">
      <c r="A629" t="s">
        <v>1093</v>
      </c>
      <c r="B629" s="1">
        <v>46166</v>
      </c>
      <c r="C629" t="s">
        <v>1094</v>
      </c>
      <c r="D629" t="s">
        <v>78</v>
      </c>
      <c r="E629" t="s">
        <v>14</v>
      </c>
      <c r="F629">
        <v>5</v>
      </c>
      <c r="G629">
        <v>599</v>
      </c>
      <c r="H629">
        <v>0.1</v>
      </c>
      <c r="I629" t="s">
        <v>50</v>
      </c>
      <c r="J629" t="s">
        <v>28</v>
      </c>
      <c r="K629" t="s">
        <v>37</v>
      </c>
      <c r="L629">
        <f>F628*G628*(1-H628)</f>
        <v>9495.25</v>
      </c>
    </row>
    <row r="630" spans="1:12">
      <c r="A630" t="s">
        <v>1095</v>
      </c>
      <c r="B630" s="1">
        <v>46173</v>
      </c>
      <c r="C630" t="s">
        <v>412</v>
      </c>
      <c r="D630" t="s">
        <v>56</v>
      </c>
      <c r="E630" t="s">
        <v>27</v>
      </c>
      <c r="F630">
        <v>2</v>
      </c>
      <c r="G630">
        <v>1299</v>
      </c>
      <c r="H630">
        <v>0</v>
      </c>
      <c r="I630" t="s">
        <v>32</v>
      </c>
      <c r="J630" t="s">
        <v>51</v>
      </c>
      <c r="K630" t="s">
        <v>17</v>
      </c>
      <c r="L630">
        <f>F629*G629*(1-H629)</f>
        <v>2695.5</v>
      </c>
    </row>
    <row r="631" spans="1:12">
      <c r="A631" t="s">
        <v>1096</v>
      </c>
      <c r="B631" s="1">
        <v>46114</v>
      </c>
      <c r="C631" t="s">
        <v>1097</v>
      </c>
      <c r="D631" t="s">
        <v>56</v>
      </c>
      <c r="E631" t="s">
        <v>35</v>
      </c>
      <c r="F631">
        <v>1</v>
      </c>
      <c r="G631">
        <v>999</v>
      </c>
      <c r="H631">
        <v>0.15</v>
      </c>
      <c r="I631" t="s">
        <v>44</v>
      </c>
      <c r="J631" t="s">
        <v>16</v>
      </c>
      <c r="K631" t="s">
        <v>17</v>
      </c>
      <c r="L631">
        <f>F630*G630*(1-H630)</f>
        <v>2598</v>
      </c>
    </row>
    <row r="632" spans="1:12">
      <c r="A632" t="s">
        <v>1098</v>
      </c>
      <c r="B632" s="1">
        <v>46042</v>
      </c>
      <c r="C632" t="s">
        <v>837</v>
      </c>
      <c r="D632" t="s">
        <v>62</v>
      </c>
      <c r="E632" t="s">
        <v>21</v>
      </c>
      <c r="F632">
        <v>4</v>
      </c>
      <c r="G632">
        <v>2499</v>
      </c>
      <c r="H632">
        <v>0.15</v>
      </c>
      <c r="I632" t="s">
        <v>15</v>
      </c>
      <c r="J632" t="s">
        <v>51</v>
      </c>
      <c r="K632" t="s">
        <v>37</v>
      </c>
      <c r="L632">
        <f>F631*G631*(1-H631)</f>
        <v>849.15</v>
      </c>
    </row>
    <row r="633" spans="1:12">
      <c r="A633" t="s">
        <v>1099</v>
      </c>
      <c r="B633" s="1">
        <v>46048</v>
      </c>
      <c r="C633" t="s">
        <v>993</v>
      </c>
      <c r="D633" t="s">
        <v>62</v>
      </c>
      <c r="E633" t="s">
        <v>27</v>
      </c>
      <c r="F633">
        <v>3</v>
      </c>
      <c r="G633">
        <v>1999</v>
      </c>
      <c r="H633">
        <v>0.15</v>
      </c>
      <c r="I633" t="s">
        <v>32</v>
      </c>
      <c r="J633" t="s">
        <v>28</v>
      </c>
      <c r="K633" t="s">
        <v>23</v>
      </c>
      <c r="L633">
        <f>F632*G632*(1-H632)</f>
        <v>8496.6</v>
      </c>
    </row>
    <row r="634" spans="1:12">
      <c r="A634" t="s">
        <v>1100</v>
      </c>
      <c r="B634" s="1">
        <v>46106</v>
      </c>
      <c r="C634" t="s">
        <v>1101</v>
      </c>
      <c r="D634" t="s">
        <v>13</v>
      </c>
      <c r="E634" t="s">
        <v>21</v>
      </c>
      <c r="F634">
        <v>4</v>
      </c>
      <c r="G634">
        <v>1999</v>
      </c>
      <c r="H634">
        <v>0</v>
      </c>
      <c r="I634" t="s">
        <v>32</v>
      </c>
      <c r="J634" t="s">
        <v>36</v>
      </c>
      <c r="K634" t="s">
        <v>17</v>
      </c>
      <c r="L634">
        <f>F633*G633*(1-H633)</f>
        <v>5097.45</v>
      </c>
    </row>
    <row r="635" spans="1:12">
      <c r="A635" t="s">
        <v>1102</v>
      </c>
      <c r="B635" s="1">
        <v>46062</v>
      </c>
      <c r="C635" t="s">
        <v>1103</v>
      </c>
      <c r="D635" t="s">
        <v>13</v>
      </c>
      <c r="E635" t="s">
        <v>14</v>
      </c>
      <c r="F635">
        <v>2</v>
      </c>
      <c r="G635">
        <v>999</v>
      </c>
      <c r="H635">
        <v>0.15</v>
      </c>
      <c r="I635" t="s">
        <v>50</v>
      </c>
      <c r="J635" t="s">
        <v>16</v>
      </c>
      <c r="K635" t="s">
        <v>17</v>
      </c>
      <c r="L635">
        <f>F634*G634*(1-H634)</f>
        <v>7996</v>
      </c>
    </row>
    <row r="636" spans="1:12">
      <c r="A636" t="s">
        <v>1104</v>
      </c>
      <c r="B636" s="1">
        <v>46285</v>
      </c>
      <c r="C636" t="s">
        <v>1105</v>
      </c>
      <c r="D636" t="s">
        <v>59</v>
      </c>
      <c r="E636" t="s">
        <v>21</v>
      </c>
      <c r="F636">
        <v>5</v>
      </c>
      <c r="G636">
        <v>1999</v>
      </c>
      <c r="H636">
        <v>0.05</v>
      </c>
      <c r="I636" t="s">
        <v>32</v>
      </c>
      <c r="J636" t="s">
        <v>36</v>
      </c>
      <c r="K636" t="s">
        <v>17</v>
      </c>
      <c r="L636">
        <f>F635*G635*(1-H635)</f>
        <v>1698.3</v>
      </c>
    </row>
    <row r="637" spans="1:12">
      <c r="A637" t="s">
        <v>1106</v>
      </c>
      <c r="B637" s="1">
        <v>46161</v>
      </c>
      <c r="C637" t="s">
        <v>132</v>
      </c>
      <c r="D637" t="s">
        <v>62</v>
      </c>
      <c r="E637" t="s">
        <v>14</v>
      </c>
      <c r="F637">
        <v>5</v>
      </c>
      <c r="G637">
        <v>799</v>
      </c>
      <c r="H637">
        <v>0.1</v>
      </c>
      <c r="I637" t="s">
        <v>47</v>
      </c>
      <c r="J637" t="s">
        <v>36</v>
      </c>
      <c r="K637" t="s">
        <v>17</v>
      </c>
      <c r="L637">
        <f>F636*G636*(1-H636)</f>
        <v>9495.25</v>
      </c>
    </row>
    <row r="638" spans="1:12">
      <c r="A638" t="s">
        <v>1107</v>
      </c>
      <c r="B638" s="1">
        <v>46059</v>
      </c>
      <c r="C638" t="s">
        <v>519</v>
      </c>
      <c r="D638" t="s">
        <v>62</v>
      </c>
      <c r="E638" t="s">
        <v>21</v>
      </c>
      <c r="F638">
        <v>4</v>
      </c>
      <c r="G638">
        <v>1499</v>
      </c>
      <c r="H638">
        <v>0.15</v>
      </c>
      <c r="I638" t="s">
        <v>15</v>
      </c>
      <c r="J638" t="s">
        <v>36</v>
      </c>
      <c r="K638" t="s">
        <v>17</v>
      </c>
      <c r="L638">
        <f>F637*G637*(1-H637)</f>
        <v>3595.5</v>
      </c>
    </row>
    <row r="639" spans="1:12">
      <c r="A639" t="s">
        <v>1108</v>
      </c>
      <c r="B639" s="1">
        <v>46186</v>
      </c>
      <c r="C639" t="s">
        <v>637</v>
      </c>
      <c r="D639" t="s">
        <v>59</v>
      </c>
      <c r="E639" t="s">
        <v>14</v>
      </c>
      <c r="F639">
        <v>2</v>
      </c>
      <c r="G639">
        <v>1999</v>
      </c>
      <c r="H639">
        <v>0.05</v>
      </c>
      <c r="I639" t="s">
        <v>50</v>
      </c>
      <c r="J639" t="s">
        <v>28</v>
      </c>
      <c r="K639" t="s">
        <v>37</v>
      </c>
      <c r="L639">
        <f>F638*G638*(1-H638)</f>
        <v>5096.5999999999995</v>
      </c>
    </row>
    <row r="640" spans="1:12">
      <c r="A640" t="s">
        <v>1109</v>
      </c>
      <c r="B640" s="1">
        <v>46078</v>
      </c>
      <c r="C640" t="s">
        <v>1110</v>
      </c>
      <c r="D640" t="s">
        <v>20</v>
      </c>
      <c r="E640" t="s">
        <v>14</v>
      </c>
      <c r="F640">
        <v>5</v>
      </c>
      <c r="G640">
        <v>499</v>
      </c>
      <c r="H640">
        <v>0.05</v>
      </c>
      <c r="I640" t="s">
        <v>15</v>
      </c>
      <c r="J640" t="s">
        <v>51</v>
      </c>
      <c r="K640" t="s">
        <v>23</v>
      </c>
      <c r="L640">
        <f>F639*G639*(1-H639)</f>
        <v>3798.1</v>
      </c>
    </row>
    <row r="641" spans="1:12">
      <c r="A641" t="s">
        <v>1111</v>
      </c>
      <c r="B641" s="1">
        <v>46180</v>
      </c>
      <c r="C641" t="s">
        <v>1112</v>
      </c>
      <c r="D641" t="s">
        <v>26</v>
      </c>
      <c r="E641" t="s">
        <v>21</v>
      </c>
      <c r="F641">
        <v>2</v>
      </c>
      <c r="G641">
        <v>1999</v>
      </c>
      <c r="H641">
        <v>0</v>
      </c>
      <c r="I641" t="s">
        <v>32</v>
      </c>
      <c r="J641" t="s">
        <v>16</v>
      </c>
      <c r="K641" t="s">
        <v>23</v>
      </c>
      <c r="L641">
        <f>F640*G640*(1-H640)</f>
        <v>2370.25</v>
      </c>
    </row>
    <row r="642" spans="1:12">
      <c r="A642" t="s">
        <v>1113</v>
      </c>
      <c r="B642" s="1">
        <v>46034</v>
      </c>
      <c r="C642" t="s">
        <v>70</v>
      </c>
      <c r="D642" t="s">
        <v>20</v>
      </c>
      <c r="E642" t="s">
        <v>40</v>
      </c>
      <c r="F642">
        <v>1</v>
      </c>
      <c r="G642">
        <v>599</v>
      </c>
      <c r="H642">
        <v>0</v>
      </c>
      <c r="I642" t="s">
        <v>44</v>
      </c>
      <c r="J642" t="s">
        <v>28</v>
      </c>
      <c r="K642" t="s">
        <v>23</v>
      </c>
      <c r="L642">
        <f>F641*G641*(1-H641)</f>
        <v>3998</v>
      </c>
    </row>
    <row r="643" spans="1:12">
      <c r="A643" t="s">
        <v>1114</v>
      </c>
      <c r="B643" s="1">
        <v>46070</v>
      </c>
      <c r="C643" t="s">
        <v>1115</v>
      </c>
      <c r="D643" t="s">
        <v>78</v>
      </c>
      <c r="E643" t="s">
        <v>21</v>
      </c>
      <c r="F643">
        <v>2</v>
      </c>
      <c r="G643">
        <v>999</v>
      </c>
      <c r="H643">
        <v>0.15</v>
      </c>
      <c r="I643" t="s">
        <v>44</v>
      </c>
      <c r="J643" t="s">
        <v>16</v>
      </c>
      <c r="K643" t="s">
        <v>17</v>
      </c>
      <c r="L643">
        <f>F642*G642*(1-H642)</f>
        <v>599</v>
      </c>
    </row>
    <row r="644" spans="1:12">
      <c r="A644" t="s">
        <v>1116</v>
      </c>
      <c r="B644" s="1">
        <v>46061</v>
      </c>
      <c r="C644" t="s">
        <v>618</v>
      </c>
      <c r="D644" t="s">
        <v>78</v>
      </c>
      <c r="E644" t="s">
        <v>35</v>
      </c>
      <c r="F644">
        <v>2</v>
      </c>
      <c r="G644">
        <v>1299</v>
      </c>
      <c r="H644">
        <v>0</v>
      </c>
      <c r="I644" t="s">
        <v>47</v>
      </c>
      <c r="J644" t="s">
        <v>36</v>
      </c>
      <c r="K644" t="s">
        <v>23</v>
      </c>
      <c r="L644">
        <f>F643*G643*(1-H643)</f>
        <v>1698.3</v>
      </c>
    </row>
    <row r="645" spans="1:12">
      <c r="A645" t="s">
        <v>1117</v>
      </c>
      <c r="B645" s="1">
        <v>46215</v>
      </c>
      <c r="C645" t="s">
        <v>1118</v>
      </c>
      <c r="D645" t="s">
        <v>59</v>
      </c>
      <c r="E645" t="s">
        <v>40</v>
      </c>
      <c r="F645">
        <v>4</v>
      </c>
      <c r="G645">
        <v>799</v>
      </c>
      <c r="H645">
        <v>0.15</v>
      </c>
      <c r="I645" t="s">
        <v>15</v>
      </c>
      <c r="J645" t="s">
        <v>36</v>
      </c>
      <c r="K645" t="s">
        <v>37</v>
      </c>
      <c r="L645">
        <f>F644*G644*(1-H644)</f>
        <v>2598</v>
      </c>
    </row>
    <row r="646" spans="1:12">
      <c r="A646" t="s">
        <v>1119</v>
      </c>
      <c r="B646" s="1">
        <v>46236</v>
      </c>
      <c r="C646" t="s">
        <v>528</v>
      </c>
      <c r="D646" t="s">
        <v>26</v>
      </c>
      <c r="E646" t="s">
        <v>40</v>
      </c>
      <c r="F646">
        <v>4</v>
      </c>
      <c r="G646">
        <v>499</v>
      </c>
      <c r="H646">
        <v>0.1</v>
      </c>
      <c r="I646" t="s">
        <v>32</v>
      </c>
      <c r="J646" t="s">
        <v>28</v>
      </c>
      <c r="K646" t="s">
        <v>23</v>
      </c>
      <c r="L646">
        <f>F645*G645*(1-H645)</f>
        <v>2716.6</v>
      </c>
    </row>
    <row r="647" spans="1:12">
      <c r="A647" t="s">
        <v>1120</v>
      </c>
      <c r="B647" s="1">
        <v>46218</v>
      </c>
      <c r="C647" t="s">
        <v>1121</v>
      </c>
      <c r="D647" t="s">
        <v>71</v>
      </c>
      <c r="E647" t="s">
        <v>40</v>
      </c>
      <c r="F647">
        <v>5</v>
      </c>
      <c r="G647">
        <v>1999</v>
      </c>
      <c r="H647">
        <v>0.05</v>
      </c>
      <c r="I647" t="s">
        <v>47</v>
      </c>
      <c r="J647" t="s">
        <v>51</v>
      </c>
      <c r="K647" t="s">
        <v>37</v>
      </c>
      <c r="L647">
        <f>F646*G646*(1-H646)</f>
        <v>1796.4</v>
      </c>
    </row>
    <row r="648" spans="1:12">
      <c r="A648" t="s">
        <v>1122</v>
      </c>
      <c r="B648" s="1">
        <v>46269</v>
      </c>
      <c r="C648" t="s">
        <v>1062</v>
      </c>
      <c r="D648" t="s">
        <v>26</v>
      </c>
      <c r="E648" t="s">
        <v>35</v>
      </c>
      <c r="F648">
        <v>2</v>
      </c>
      <c r="G648">
        <v>1999</v>
      </c>
      <c r="H648">
        <v>0.1</v>
      </c>
      <c r="I648" t="s">
        <v>47</v>
      </c>
      <c r="J648" t="s">
        <v>51</v>
      </c>
      <c r="K648" t="s">
        <v>37</v>
      </c>
      <c r="L648">
        <f>F647*G647*(1-H647)</f>
        <v>9495.25</v>
      </c>
    </row>
    <row r="649" spans="1:12">
      <c r="A649" t="s">
        <v>1123</v>
      </c>
      <c r="B649" s="1">
        <v>46057</v>
      </c>
      <c r="C649" t="s">
        <v>90</v>
      </c>
      <c r="D649" t="s">
        <v>71</v>
      </c>
      <c r="E649" t="s">
        <v>40</v>
      </c>
      <c r="F649">
        <v>2</v>
      </c>
      <c r="G649">
        <v>2499</v>
      </c>
      <c r="H649">
        <v>0.05</v>
      </c>
      <c r="I649" t="s">
        <v>15</v>
      </c>
      <c r="J649" t="s">
        <v>36</v>
      </c>
      <c r="K649" t="s">
        <v>17</v>
      </c>
      <c r="L649">
        <f>F648*G648*(1-H648)</f>
        <v>3598.2000000000003</v>
      </c>
    </row>
    <row r="650" spans="1:12">
      <c r="A650" t="s">
        <v>1124</v>
      </c>
      <c r="B650" s="1">
        <v>46068</v>
      </c>
      <c r="C650" t="s">
        <v>1125</v>
      </c>
      <c r="D650" t="s">
        <v>26</v>
      </c>
      <c r="E650" t="s">
        <v>21</v>
      </c>
      <c r="F650">
        <v>3</v>
      </c>
      <c r="G650">
        <v>499</v>
      </c>
      <c r="H650">
        <v>0</v>
      </c>
      <c r="I650" t="s">
        <v>44</v>
      </c>
      <c r="J650" t="s">
        <v>51</v>
      </c>
      <c r="K650" t="s">
        <v>37</v>
      </c>
      <c r="L650">
        <f>F649*G649*(1-H649)</f>
        <v>4748.0999999999995</v>
      </c>
    </row>
    <row r="651" spans="1:12">
      <c r="A651" t="s">
        <v>1126</v>
      </c>
      <c r="B651" s="1">
        <v>46154</v>
      </c>
      <c r="C651" t="s">
        <v>419</v>
      </c>
      <c r="D651" t="s">
        <v>62</v>
      </c>
      <c r="E651" t="s">
        <v>21</v>
      </c>
      <c r="F651">
        <v>2</v>
      </c>
      <c r="G651">
        <v>4999</v>
      </c>
      <c r="H651">
        <v>0</v>
      </c>
      <c r="I651" t="s">
        <v>47</v>
      </c>
      <c r="J651" t="s">
        <v>28</v>
      </c>
      <c r="K651" t="s">
        <v>17</v>
      </c>
      <c r="L651">
        <f>F650*G650*(1-H650)</f>
        <v>1497</v>
      </c>
    </row>
    <row r="652" spans="1:12">
      <c r="A652" t="s">
        <v>1127</v>
      </c>
      <c r="B652" s="1">
        <v>46103</v>
      </c>
      <c r="C652" t="s">
        <v>1128</v>
      </c>
      <c r="D652" t="s">
        <v>71</v>
      </c>
      <c r="E652" t="s">
        <v>27</v>
      </c>
      <c r="F652">
        <v>2</v>
      </c>
      <c r="G652">
        <v>7999</v>
      </c>
      <c r="H652">
        <v>0.15</v>
      </c>
      <c r="I652" t="s">
        <v>47</v>
      </c>
      <c r="J652" t="s">
        <v>16</v>
      </c>
      <c r="K652" t="s">
        <v>17</v>
      </c>
      <c r="L652">
        <f>F651*G651*(1-H651)</f>
        <v>9998</v>
      </c>
    </row>
    <row r="653" spans="1:12">
      <c r="A653" t="s">
        <v>1129</v>
      </c>
      <c r="B653" s="1">
        <v>46157</v>
      </c>
      <c r="C653" t="s">
        <v>1130</v>
      </c>
      <c r="D653" t="s">
        <v>71</v>
      </c>
      <c r="E653" t="s">
        <v>35</v>
      </c>
      <c r="F653">
        <v>4</v>
      </c>
      <c r="G653">
        <v>599</v>
      </c>
      <c r="H653">
        <v>0</v>
      </c>
      <c r="I653" t="s">
        <v>47</v>
      </c>
      <c r="J653" t="s">
        <v>51</v>
      </c>
      <c r="K653" t="s">
        <v>37</v>
      </c>
      <c r="L653">
        <f>F652*G652*(1-H652)</f>
        <v>13598.3</v>
      </c>
    </row>
    <row r="654" spans="1:12">
      <c r="A654" t="s">
        <v>1131</v>
      </c>
      <c r="B654" s="1">
        <v>46067</v>
      </c>
      <c r="C654" t="s">
        <v>1132</v>
      </c>
      <c r="D654" t="s">
        <v>13</v>
      </c>
      <c r="E654" t="s">
        <v>21</v>
      </c>
      <c r="F654">
        <v>3</v>
      </c>
      <c r="G654">
        <v>999</v>
      </c>
      <c r="H654">
        <v>0.05</v>
      </c>
      <c r="I654" t="s">
        <v>44</v>
      </c>
      <c r="J654" t="s">
        <v>16</v>
      </c>
      <c r="K654" t="s">
        <v>17</v>
      </c>
      <c r="L654">
        <f>F653*G653*(1-H653)</f>
        <v>2396</v>
      </c>
    </row>
    <row r="655" spans="1:12">
      <c r="A655" t="s">
        <v>1133</v>
      </c>
      <c r="B655" s="1">
        <v>46157</v>
      </c>
      <c r="C655" t="s">
        <v>1134</v>
      </c>
      <c r="D655" t="s">
        <v>56</v>
      </c>
      <c r="E655" t="s">
        <v>14</v>
      </c>
      <c r="F655">
        <v>2</v>
      </c>
      <c r="G655">
        <v>1999</v>
      </c>
      <c r="H655">
        <v>0</v>
      </c>
      <c r="I655" t="s">
        <v>32</v>
      </c>
      <c r="J655" t="s">
        <v>16</v>
      </c>
      <c r="K655" t="s">
        <v>17</v>
      </c>
      <c r="L655">
        <f>F654*G654*(1-H654)</f>
        <v>2847.15</v>
      </c>
    </row>
    <row r="656" spans="1:12">
      <c r="A656" t="s">
        <v>1135</v>
      </c>
      <c r="B656" s="1">
        <v>46094</v>
      </c>
      <c r="C656" t="s">
        <v>1136</v>
      </c>
      <c r="D656" t="s">
        <v>56</v>
      </c>
      <c r="E656" t="s">
        <v>35</v>
      </c>
      <c r="F656">
        <v>5</v>
      </c>
      <c r="G656">
        <v>2499</v>
      </c>
      <c r="H656">
        <v>0.05</v>
      </c>
      <c r="I656" t="s">
        <v>50</v>
      </c>
      <c r="J656" t="s">
        <v>16</v>
      </c>
      <c r="K656" t="s">
        <v>17</v>
      </c>
      <c r="L656">
        <f>F655*G655*(1-H655)</f>
        <v>3998</v>
      </c>
    </row>
    <row r="657" spans="1:12">
      <c r="A657" t="s">
        <v>1137</v>
      </c>
      <c r="B657" s="1">
        <v>46123</v>
      </c>
      <c r="C657" t="s">
        <v>502</v>
      </c>
      <c r="D657" t="s">
        <v>78</v>
      </c>
      <c r="E657" t="s">
        <v>40</v>
      </c>
      <c r="F657">
        <v>5</v>
      </c>
      <c r="G657">
        <v>799</v>
      </c>
      <c r="H657">
        <v>0</v>
      </c>
      <c r="I657" t="s">
        <v>15</v>
      </c>
      <c r="J657" t="s">
        <v>16</v>
      </c>
      <c r="K657" t="s">
        <v>17</v>
      </c>
      <c r="L657">
        <f>F656*G656*(1-H656)</f>
        <v>11870.25</v>
      </c>
    </row>
    <row r="658" spans="1:12">
      <c r="A658" t="s">
        <v>1138</v>
      </c>
      <c r="B658" s="1">
        <v>46272</v>
      </c>
      <c r="C658" t="s">
        <v>174</v>
      </c>
      <c r="D658" t="s">
        <v>71</v>
      </c>
      <c r="E658" t="s">
        <v>27</v>
      </c>
      <c r="F658">
        <v>1</v>
      </c>
      <c r="G658">
        <v>2499</v>
      </c>
      <c r="H658">
        <v>0</v>
      </c>
      <c r="I658" t="s">
        <v>44</v>
      </c>
      <c r="J658" t="s">
        <v>16</v>
      </c>
      <c r="K658" t="s">
        <v>23</v>
      </c>
      <c r="L658">
        <f>F657*G657*(1-H657)</f>
        <v>3995</v>
      </c>
    </row>
    <row r="659" spans="1:12">
      <c r="A659" t="s">
        <v>1139</v>
      </c>
      <c r="B659" s="1">
        <v>46295</v>
      </c>
      <c r="C659" t="s">
        <v>287</v>
      </c>
      <c r="D659" t="s">
        <v>26</v>
      </c>
      <c r="E659" t="s">
        <v>21</v>
      </c>
      <c r="F659">
        <v>4</v>
      </c>
      <c r="G659">
        <v>2499</v>
      </c>
      <c r="H659">
        <v>0</v>
      </c>
      <c r="I659" t="s">
        <v>15</v>
      </c>
      <c r="J659" t="s">
        <v>36</v>
      </c>
      <c r="K659" t="s">
        <v>37</v>
      </c>
      <c r="L659">
        <f>F658*G658*(1-H658)</f>
        <v>2499</v>
      </c>
    </row>
    <row r="660" spans="1:12">
      <c r="A660" t="s">
        <v>1140</v>
      </c>
      <c r="B660" s="1">
        <v>46102</v>
      </c>
      <c r="C660" t="s">
        <v>545</v>
      </c>
      <c r="D660" t="s">
        <v>71</v>
      </c>
      <c r="E660" t="s">
        <v>14</v>
      </c>
      <c r="F660">
        <v>2</v>
      </c>
      <c r="G660">
        <v>499</v>
      </c>
      <c r="H660">
        <v>0.05</v>
      </c>
      <c r="I660" t="s">
        <v>15</v>
      </c>
      <c r="J660" t="s">
        <v>22</v>
      </c>
      <c r="K660" t="s">
        <v>17</v>
      </c>
      <c r="L660">
        <f>F659*G659*(1-H659)</f>
        <v>9996</v>
      </c>
    </row>
    <row r="661" spans="1:12">
      <c r="A661" t="s">
        <v>1141</v>
      </c>
      <c r="B661" s="1">
        <v>46142</v>
      </c>
      <c r="C661" t="s">
        <v>1142</v>
      </c>
      <c r="D661" t="s">
        <v>62</v>
      </c>
      <c r="E661" t="s">
        <v>27</v>
      </c>
      <c r="F661">
        <v>1</v>
      </c>
      <c r="G661">
        <v>1499</v>
      </c>
      <c r="H661">
        <v>0</v>
      </c>
      <c r="I661" t="s">
        <v>44</v>
      </c>
      <c r="J661" t="s">
        <v>28</v>
      </c>
      <c r="K661" t="s">
        <v>17</v>
      </c>
      <c r="L661">
        <f>F660*G660*(1-H660)</f>
        <v>948.09999999999991</v>
      </c>
    </row>
    <row r="662" spans="1:12">
      <c r="A662" t="s">
        <v>1143</v>
      </c>
      <c r="B662" s="1">
        <v>46121</v>
      </c>
      <c r="C662" t="s">
        <v>154</v>
      </c>
      <c r="D662" t="s">
        <v>13</v>
      </c>
      <c r="E662" t="s">
        <v>21</v>
      </c>
      <c r="F662">
        <v>5</v>
      </c>
      <c r="G662">
        <v>2499</v>
      </c>
      <c r="H662">
        <v>0.1</v>
      </c>
      <c r="I662" t="s">
        <v>44</v>
      </c>
      <c r="J662" t="s">
        <v>28</v>
      </c>
      <c r="K662" t="s">
        <v>37</v>
      </c>
      <c r="L662">
        <f>F661*G661*(1-H661)</f>
        <v>1499</v>
      </c>
    </row>
    <row r="663" spans="1:12">
      <c r="A663" t="s">
        <v>1144</v>
      </c>
      <c r="B663" s="1">
        <v>46285</v>
      </c>
      <c r="C663" t="s">
        <v>835</v>
      </c>
      <c r="D663" t="s">
        <v>56</v>
      </c>
      <c r="E663" t="s">
        <v>35</v>
      </c>
      <c r="F663">
        <v>2</v>
      </c>
      <c r="G663">
        <v>799</v>
      </c>
      <c r="H663">
        <v>0.1</v>
      </c>
      <c r="I663" t="s">
        <v>15</v>
      </c>
      <c r="J663" t="s">
        <v>22</v>
      </c>
      <c r="K663" t="s">
        <v>37</v>
      </c>
      <c r="L663">
        <f>F662*G662*(1-H662)</f>
        <v>11245.5</v>
      </c>
    </row>
    <row r="664" spans="1:12">
      <c r="A664" t="s">
        <v>1145</v>
      </c>
      <c r="B664" s="1">
        <v>46025</v>
      </c>
      <c r="C664" t="s">
        <v>1146</v>
      </c>
      <c r="D664" t="s">
        <v>59</v>
      </c>
      <c r="E664" t="s">
        <v>40</v>
      </c>
      <c r="F664">
        <v>3</v>
      </c>
      <c r="G664">
        <v>1499</v>
      </c>
      <c r="H664">
        <v>0.05</v>
      </c>
      <c r="I664" t="s">
        <v>32</v>
      </c>
      <c r="J664" t="s">
        <v>28</v>
      </c>
      <c r="K664" t="s">
        <v>23</v>
      </c>
      <c r="L664">
        <f>F663*G663*(1-H663)</f>
        <v>1438.2</v>
      </c>
    </row>
    <row r="665" spans="1:12">
      <c r="A665" t="s">
        <v>1147</v>
      </c>
      <c r="B665" s="1">
        <v>46059</v>
      </c>
      <c r="C665" t="s">
        <v>361</v>
      </c>
      <c r="D665" t="s">
        <v>26</v>
      </c>
      <c r="E665" t="s">
        <v>35</v>
      </c>
      <c r="F665">
        <v>1</v>
      </c>
      <c r="G665">
        <v>999</v>
      </c>
      <c r="H665">
        <v>0</v>
      </c>
      <c r="I665" t="s">
        <v>47</v>
      </c>
      <c r="J665" t="s">
        <v>51</v>
      </c>
      <c r="K665" t="s">
        <v>17</v>
      </c>
      <c r="L665">
        <f>F664*G664*(1-H664)</f>
        <v>4272.1499999999996</v>
      </c>
    </row>
    <row r="666" spans="1:12">
      <c r="A666" t="s">
        <v>1148</v>
      </c>
      <c r="B666" s="1">
        <v>46206</v>
      </c>
      <c r="C666" t="s">
        <v>626</v>
      </c>
      <c r="D666" t="s">
        <v>62</v>
      </c>
      <c r="E666" t="s">
        <v>21</v>
      </c>
      <c r="F666">
        <v>1</v>
      </c>
      <c r="G666">
        <v>2499</v>
      </c>
      <c r="H666">
        <v>0.15</v>
      </c>
      <c r="I666" t="s">
        <v>47</v>
      </c>
      <c r="J666" t="s">
        <v>51</v>
      </c>
      <c r="K666" t="s">
        <v>17</v>
      </c>
      <c r="L666">
        <f>F665*G665*(1-H665)</f>
        <v>999</v>
      </c>
    </row>
    <row r="667" spans="1:12">
      <c r="A667" t="s">
        <v>1149</v>
      </c>
      <c r="B667" s="1">
        <v>46112</v>
      </c>
      <c r="C667" t="s">
        <v>277</v>
      </c>
      <c r="D667" t="s">
        <v>43</v>
      </c>
      <c r="E667" t="s">
        <v>35</v>
      </c>
      <c r="F667">
        <v>1</v>
      </c>
      <c r="G667">
        <v>7999</v>
      </c>
      <c r="H667">
        <v>0</v>
      </c>
      <c r="I667" t="s">
        <v>47</v>
      </c>
      <c r="J667" t="s">
        <v>36</v>
      </c>
      <c r="K667" t="s">
        <v>17</v>
      </c>
      <c r="L667">
        <f>F666*G666*(1-H666)</f>
        <v>2124.15</v>
      </c>
    </row>
    <row r="668" spans="1:12">
      <c r="A668" t="s">
        <v>1150</v>
      </c>
      <c r="B668" s="1">
        <v>46038</v>
      </c>
      <c r="C668" t="s">
        <v>1151</v>
      </c>
      <c r="D668" t="s">
        <v>78</v>
      </c>
      <c r="E668" t="s">
        <v>35</v>
      </c>
      <c r="F668">
        <v>2</v>
      </c>
      <c r="G668">
        <v>1999</v>
      </c>
      <c r="H668">
        <v>0.15</v>
      </c>
      <c r="I668" t="s">
        <v>32</v>
      </c>
      <c r="J668" t="s">
        <v>22</v>
      </c>
      <c r="K668" t="s">
        <v>17</v>
      </c>
      <c r="L668">
        <f>F667*G667*(1-H667)</f>
        <v>7999</v>
      </c>
    </row>
    <row r="669" spans="1:12">
      <c r="A669" t="s">
        <v>1152</v>
      </c>
      <c r="B669" s="1">
        <v>46212</v>
      </c>
      <c r="C669" t="s">
        <v>1121</v>
      </c>
      <c r="D669" t="s">
        <v>20</v>
      </c>
      <c r="E669" t="s">
        <v>21</v>
      </c>
      <c r="F669">
        <v>3</v>
      </c>
      <c r="G669">
        <v>599</v>
      </c>
      <c r="H669">
        <v>0.15</v>
      </c>
      <c r="I669" t="s">
        <v>44</v>
      </c>
      <c r="J669" t="s">
        <v>36</v>
      </c>
      <c r="K669" t="s">
        <v>23</v>
      </c>
      <c r="L669">
        <f>F668*G668*(1-H668)</f>
        <v>3398.2999999999997</v>
      </c>
    </row>
    <row r="670" spans="1:12">
      <c r="A670" t="s">
        <v>1153</v>
      </c>
      <c r="B670" s="1">
        <v>46246</v>
      </c>
      <c r="C670" t="s">
        <v>1154</v>
      </c>
      <c r="D670" t="s">
        <v>26</v>
      </c>
      <c r="E670" t="s">
        <v>40</v>
      </c>
      <c r="F670">
        <v>1</v>
      </c>
      <c r="G670">
        <v>499</v>
      </c>
      <c r="H670">
        <v>0.15</v>
      </c>
      <c r="I670" t="s">
        <v>47</v>
      </c>
      <c r="J670" t="s">
        <v>51</v>
      </c>
      <c r="K670" t="s">
        <v>23</v>
      </c>
      <c r="L670">
        <f>F669*G669*(1-H669)</f>
        <v>1527.45</v>
      </c>
    </row>
    <row r="671" spans="1:12">
      <c r="A671" t="s">
        <v>1155</v>
      </c>
      <c r="B671" s="1">
        <v>46143</v>
      </c>
      <c r="C671" t="s">
        <v>1156</v>
      </c>
      <c r="D671" t="s">
        <v>62</v>
      </c>
      <c r="E671" t="s">
        <v>35</v>
      </c>
      <c r="F671">
        <v>2</v>
      </c>
      <c r="G671">
        <v>1299</v>
      </c>
      <c r="H671">
        <v>0</v>
      </c>
      <c r="I671" t="s">
        <v>47</v>
      </c>
      <c r="J671" t="s">
        <v>51</v>
      </c>
      <c r="K671" t="s">
        <v>17</v>
      </c>
      <c r="L671">
        <f>F670*G670*(1-H670)</f>
        <v>424.15</v>
      </c>
    </row>
    <row r="672" spans="1:12">
      <c r="A672" t="s">
        <v>1157</v>
      </c>
      <c r="B672" s="1">
        <v>46247</v>
      </c>
      <c r="C672" t="s">
        <v>88</v>
      </c>
      <c r="D672" t="s">
        <v>56</v>
      </c>
      <c r="E672" t="s">
        <v>14</v>
      </c>
      <c r="F672">
        <v>5</v>
      </c>
      <c r="G672">
        <v>1299</v>
      </c>
      <c r="H672">
        <v>0</v>
      </c>
      <c r="I672" t="s">
        <v>50</v>
      </c>
      <c r="J672" t="s">
        <v>22</v>
      </c>
      <c r="K672" t="s">
        <v>23</v>
      </c>
      <c r="L672">
        <f>F671*G671*(1-H671)</f>
        <v>2598</v>
      </c>
    </row>
    <row r="673" spans="1:12">
      <c r="A673" t="s">
        <v>1158</v>
      </c>
      <c r="B673" s="1">
        <v>46166</v>
      </c>
      <c r="C673" t="s">
        <v>213</v>
      </c>
      <c r="D673" t="s">
        <v>62</v>
      </c>
      <c r="E673" t="s">
        <v>35</v>
      </c>
      <c r="F673">
        <v>4</v>
      </c>
      <c r="G673">
        <v>1999</v>
      </c>
      <c r="H673">
        <v>0.15</v>
      </c>
      <c r="I673" t="s">
        <v>47</v>
      </c>
      <c r="J673" t="s">
        <v>22</v>
      </c>
      <c r="K673" t="s">
        <v>17</v>
      </c>
      <c r="L673">
        <f>F672*G672*(1-H672)</f>
        <v>6495</v>
      </c>
    </row>
    <row r="674" spans="1:12">
      <c r="A674" t="s">
        <v>1159</v>
      </c>
      <c r="B674" s="1">
        <v>46269</v>
      </c>
      <c r="C674" t="s">
        <v>1160</v>
      </c>
      <c r="D674" t="s">
        <v>71</v>
      </c>
      <c r="E674" t="s">
        <v>27</v>
      </c>
      <c r="F674">
        <v>5</v>
      </c>
      <c r="G674">
        <v>2499</v>
      </c>
      <c r="H674">
        <v>0.1</v>
      </c>
      <c r="I674" t="s">
        <v>32</v>
      </c>
      <c r="J674" t="s">
        <v>16</v>
      </c>
      <c r="K674" t="s">
        <v>17</v>
      </c>
      <c r="L674">
        <f>F673*G673*(1-H673)</f>
        <v>6796.5999999999995</v>
      </c>
    </row>
    <row r="675" spans="1:12">
      <c r="A675" t="s">
        <v>1161</v>
      </c>
      <c r="B675" s="1">
        <v>46140</v>
      </c>
      <c r="C675" t="s">
        <v>333</v>
      </c>
      <c r="D675" t="s">
        <v>78</v>
      </c>
      <c r="E675" t="s">
        <v>14</v>
      </c>
      <c r="F675">
        <v>4</v>
      </c>
      <c r="G675">
        <v>4999</v>
      </c>
      <c r="H675">
        <v>0</v>
      </c>
      <c r="I675" t="s">
        <v>47</v>
      </c>
      <c r="J675" t="s">
        <v>36</v>
      </c>
      <c r="K675" t="s">
        <v>37</v>
      </c>
      <c r="L675">
        <f>F674*G674*(1-H674)</f>
        <v>11245.5</v>
      </c>
    </row>
    <row r="676" spans="1:12">
      <c r="A676" t="s">
        <v>1162</v>
      </c>
      <c r="B676" s="1">
        <v>46290</v>
      </c>
      <c r="C676" t="s">
        <v>1163</v>
      </c>
      <c r="D676" t="s">
        <v>43</v>
      </c>
      <c r="E676" t="s">
        <v>27</v>
      </c>
      <c r="F676">
        <v>3</v>
      </c>
      <c r="G676">
        <v>799</v>
      </c>
      <c r="H676">
        <v>0.15</v>
      </c>
      <c r="I676" t="s">
        <v>47</v>
      </c>
      <c r="J676" t="s">
        <v>36</v>
      </c>
      <c r="K676" t="s">
        <v>23</v>
      </c>
      <c r="L676">
        <f>F675*G675*(1-H675)</f>
        <v>19996</v>
      </c>
    </row>
    <row r="677" spans="1:12">
      <c r="A677" t="s">
        <v>1164</v>
      </c>
      <c r="B677" s="1">
        <v>46083</v>
      </c>
      <c r="C677" t="s">
        <v>1165</v>
      </c>
      <c r="D677" t="s">
        <v>71</v>
      </c>
      <c r="E677" t="s">
        <v>35</v>
      </c>
      <c r="F677">
        <v>3</v>
      </c>
      <c r="G677">
        <v>1499</v>
      </c>
      <c r="H677">
        <v>0.15</v>
      </c>
      <c r="I677" t="s">
        <v>47</v>
      </c>
      <c r="J677" t="s">
        <v>22</v>
      </c>
      <c r="K677" t="s">
        <v>37</v>
      </c>
      <c r="L677">
        <f>F676*G676*(1-H676)</f>
        <v>2037.45</v>
      </c>
    </row>
    <row r="678" spans="1:12">
      <c r="A678" t="s">
        <v>1166</v>
      </c>
      <c r="B678" s="1">
        <v>46269</v>
      </c>
      <c r="C678" t="s">
        <v>1167</v>
      </c>
      <c r="D678" t="s">
        <v>56</v>
      </c>
      <c r="E678" t="s">
        <v>14</v>
      </c>
      <c r="F678">
        <v>1</v>
      </c>
      <c r="G678">
        <v>499</v>
      </c>
      <c r="H678">
        <v>0</v>
      </c>
      <c r="I678" t="s">
        <v>50</v>
      </c>
      <c r="J678" t="s">
        <v>28</v>
      </c>
      <c r="K678" t="s">
        <v>17</v>
      </c>
      <c r="L678">
        <f>F677*G677*(1-H677)</f>
        <v>3822.45</v>
      </c>
    </row>
    <row r="679" spans="1:12">
      <c r="A679" t="s">
        <v>1168</v>
      </c>
      <c r="B679" s="1">
        <v>46153</v>
      </c>
      <c r="C679" t="s">
        <v>1169</v>
      </c>
      <c r="D679" t="s">
        <v>43</v>
      </c>
      <c r="E679" t="s">
        <v>40</v>
      </c>
      <c r="F679">
        <v>4</v>
      </c>
      <c r="G679">
        <v>4999</v>
      </c>
      <c r="H679">
        <v>0</v>
      </c>
      <c r="I679" t="s">
        <v>32</v>
      </c>
      <c r="J679" t="s">
        <v>22</v>
      </c>
      <c r="K679" t="s">
        <v>17</v>
      </c>
      <c r="L679">
        <f>F678*G678*(1-H678)</f>
        <v>499</v>
      </c>
    </row>
    <row r="680" spans="1:12">
      <c r="A680" t="s">
        <v>1170</v>
      </c>
      <c r="B680" s="1">
        <v>46192</v>
      </c>
      <c r="C680" t="s">
        <v>1171</v>
      </c>
      <c r="D680" t="s">
        <v>43</v>
      </c>
      <c r="E680" t="s">
        <v>21</v>
      </c>
      <c r="F680">
        <v>3</v>
      </c>
      <c r="G680">
        <v>1999</v>
      </c>
      <c r="H680">
        <v>0.05</v>
      </c>
      <c r="I680" t="s">
        <v>47</v>
      </c>
      <c r="J680" t="s">
        <v>16</v>
      </c>
      <c r="K680" t="s">
        <v>17</v>
      </c>
      <c r="L680">
        <f>F679*G679*(1-H679)</f>
        <v>19996</v>
      </c>
    </row>
    <row r="681" spans="1:12">
      <c r="A681" t="s">
        <v>1172</v>
      </c>
      <c r="B681" s="1">
        <v>46221</v>
      </c>
      <c r="C681" t="s">
        <v>1173</v>
      </c>
      <c r="D681" t="s">
        <v>62</v>
      </c>
      <c r="E681" t="s">
        <v>14</v>
      </c>
      <c r="F681">
        <v>3</v>
      </c>
      <c r="G681">
        <v>1499</v>
      </c>
      <c r="H681">
        <v>0.1</v>
      </c>
      <c r="I681" t="s">
        <v>15</v>
      </c>
      <c r="J681" t="s">
        <v>51</v>
      </c>
      <c r="K681" t="s">
        <v>17</v>
      </c>
      <c r="L681">
        <f>F680*G680*(1-H680)</f>
        <v>5697.15</v>
      </c>
    </row>
    <row r="682" spans="1:12">
      <c r="A682" t="s">
        <v>1174</v>
      </c>
      <c r="B682" s="1">
        <v>46140</v>
      </c>
      <c r="C682" t="s">
        <v>573</v>
      </c>
      <c r="D682" t="s">
        <v>26</v>
      </c>
      <c r="E682" t="s">
        <v>40</v>
      </c>
      <c r="F682">
        <v>5</v>
      </c>
      <c r="G682">
        <v>4999</v>
      </c>
      <c r="H682">
        <v>0.15</v>
      </c>
      <c r="I682" t="s">
        <v>32</v>
      </c>
      <c r="J682" t="s">
        <v>36</v>
      </c>
      <c r="K682" t="s">
        <v>17</v>
      </c>
      <c r="L682">
        <f>F681*G681*(1-H681)</f>
        <v>4047.3</v>
      </c>
    </row>
    <row r="683" spans="1:12">
      <c r="A683" t="s">
        <v>1175</v>
      </c>
      <c r="B683" s="1">
        <v>46276</v>
      </c>
      <c r="C683" t="s">
        <v>1176</v>
      </c>
      <c r="D683" t="s">
        <v>59</v>
      </c>
      <c r="E683" t="s">
        <v>27</v>
      </c>
      <c r="F683">
        <v>5</v>
      </c>
      <c r="G683">
        <v>1999</v>
      </c>
      <c r="H683">
        <v>0</v>
      </c>
      <c r="I683" t="s">
        <v>44</v>
      </c>
      <c r="J683" t="s">
        <v>16</v>
      </c>
      <c r="K683" t="s">
        <v>23</v>
      </c>
      <c r="L683">
        <f>F682*G682*(1-H682)</f>
        <v>21245.75</v>
      </c>
    </row>
    <row r="684" spans="1:12">
      <c r="A684" t="s">
        <v>1177</v>
      </c>
      <c r="B684" s="1">
        <v>46076</v>
      </c>
      <c r="C684" t="s">
        <v>832</v>
      </c>
      <c r="D684" t="s">
        <v>56</v>
      </c>
      <c r="E684" t="s">
        <v>35</v>
      </c>
      <c r="F684">
        <v>3</v>
      </c>
      <c r="G684">
        <v>4999</v>
      </c>
      <c r="H684">
        <v>0</v>
      </c>
      <c r="I684" t="s">
        <v>50</v>
      </c>
      <c r="J684" t="s">
        <v>28</v>
      </c>
      <c r="K684" t="s">
        <v>17</v>
      </c>
      <c r="L684">
        <f>F683*G683*(1-H683)</f>
        <v>9995</v>
      </c>
    </row>
    <row r="685" spans="1:12">
      <c r="A685" t="s">
        <v>1178</v>
      </c>
      <c r="B685" s="1">
        <v>46109</v>
      </c>
      <c r="C685" t="s">
        <v>138</v>
      </c>
      <c r="D685" t="s">
        <v>71</v>
      </c>
      <c r="E685" t="s">
        <v>40</v>
      </c>
      <c r="F685">
        <v>5</v>
      </c>
      <c r="G685">
        <v>1999</v>
      </c>
      <c r="H685">
        <v>0</v>
      </c>
      <c r="I685" t="s">
        <v>50</v>
      </c>
      <c r="J685" t="s">
        <v>51</v>
      </c>
      <c r="K685" t="s">
        <v>17</v>
      </c>
      <c r="L685">
        <f>F684*G684*(1-H684)</f>
        <v>14997</v>
      </c>
    </row>
    <row r="686" spans="1:12">
      <c r="A686" t="s">
        <v>1179</v>
      </c>
      <c r="B686" s="1">
        <v>46233</v>
      </c>
      <c r="C686" t="s">
        <v>993</v>
      </c>
      <c r="D686" t="s">
        <v>20</v>
      </c>
      <c r="E686" t="s">
        <v>21</v>
      </c>
      <c r="F686">
        <v>4</v>
      </c>
      <c r="G686">
        <v>999</v>
      </c>
      <c r="H686">
        <v>0.05</v>
      </c>
      <c r="I686" t="s">
        <v>15</v>
      </c>
      <c r="J686" t="s">
        <v>51</v>
      </c>
      <c r="K686" t="s">
        <v>17</v>
      </c>
      <c r="L686">
        <f>F685*G685*(1-H685)</f>
        <v>9995</v>
      </c>
    </row>
    <row r="687" spans="1:12">
      <c r="A687" t="s">
        <v>1180</v>
      </c>
      <c r="B687" s="1">
        <v>46203</v>
      </c>
      <c r="C687" t="s">
        <v>883</v>
      </c>
      <c r="D687" t="s">
        <v>43</v>
      </c>
      <c r="E687" t="s">
        <v>14</v>
      </c>
      <c r="F687">
        <v>1</v>
      </c>
      <c r="G687">
        <v>2499</v>
      </c>
      <c r="H687">
        <v>0.1</v>
      </c>
      <c r="I687" t="s">
        <v>44</v>
      </c>
      <c r="J687" t="s">
        <v>22</v>
      </c>
      <c r="K687" t="s">
        <v>17</v>
      </c>
      <c r="L687">
        <f>F686*G686*(1-H686)</f>
        <v>3796.2</v>
      </c>
    </row>
    <row r="688" spans="1:12">
      <c r="A688" t="s">
        <v>1181</v>
      </c>
      <c r="B688" s="1">
        <v>46038</v>
      </c>
      <c r="C688" t="s">
        <v>935</v>
      </c>
      <c r="D688" t="s">
        <v>62</v>
      </c>
      <c r="E688" t="s">
        <v>21</v>
      </c>
      <c r="F688">
        <v>4</v>
      </c>
      <c r="G688">
        <v>499</v>
      </c>
      <c r="H688">
        <v>0</v>
      </c>
      <c r="I688" t="s">
        <v>50</v>
      </c>
      <c r="J688" t="s">
        <v>16</v>
      </c>
      <c r="K688" t="s">
        <v>37</v>
      </c>
      <c r="L688">
        <f>F687*G687*(1-H687)</f>
        <v>2249.1</v>
      </c>
    </row>
    <row r="689" spans="1:12">
      <c r="A689" t="s">
        <v>1182</v>
      </c>
      <c r="B689" s="1">
        <v>46258</v>
      </c>
      <c r="C689" t="s">
        <v>729</v>
      </c>
      <c r="D689" t="s">
        <v>59</v>
      </c>
      <c r="E689" t="s">
        <v>14</v>
      </c>
      <c r="F689">
        <v>4</v>
      </c>
      <c r="G689">
        <v>7999</v>
      </c>
      <c r="H689">
        <v>0</v>
      </c>
      <c r="I689" t="s">
        <v>50</v>
      </c>
      <c r="J689" t="s">
        <v>51</v>
      </c>
      <c r="K689" t="s">
        <v>17</v>
      </c>
      <c r="L689">
        <f>F688*G688*(1-H688)</f>
        <v>1996</v>
      </c>
    </row>
    <row r="690" spans="1:12">
      <c r="A690" t="s">
        <v>1183</v>
      </c>
      <c r="B690" s="1">
        <v>46095</v>
      </c>
      <c r="C690" t="s">
        <v>1184</v>
      </c>
      <c r="D690" t="s">
        <v>59</v>
      </c>
      <c r="E690" t="s">
        <v>35</v>
      </c>
      <c r="F690">
        <v>5</v>
      </c>
      <c r="G690">
        <v>499</v>
      </c>
      <c r="H690">
        <v>0.15</v>
      </c>
      <c r="I690" t="s">
        <v>44</v>
      </c>
      <c r="J690" t="s">
        <v>16</v>
      </c>
      <c r="K690" t="s">
        <v>17</v>
      </c>
      <c r="L690">
        <f>F689*G689*(1-H689)</f>
        <v>31996</v>
      </c>
    </row>
    <row r="691" spans="1:12">
      <c r="A691" t="s">
        <v>1185</v>
      </c>
      <c r="B691" s="1">
        <v>46211</v>
      </c>
      <c r="C691" t="s">
        <v>688</v>
      </c>
      <c r="D691" t="s">
        <v>78</v>
      </c>
      <c r="E691" t="s">
        <v>40</v>
      </c>
      <c r="F691">
        <v>3</v>
      </c>
      <c r="G691">
        <v>999</v>
      </c>
      <c r="H691">
        <v>0.05</v>
      </c>
      <c r="I691" t="s">
        <v>32</v>
      </c>
      <c r="J691" t="s">
        <v>16</v>
      </c>
      <c r="K691" t="s">
        <v>17</v>
      </c>
      <c r="L691">
        <f>F690*G690*(1-H690)</f>
        <v>2120.75</v>
      </c>
    </row>
    <row r="692" spans="1:12">
      <c r="A692" t="s">
        <v>1186</v>
      </c>
      <c r="B692" s="1">
        <v>46215</v>
      </c>
      <c r="C692" t="s">
        <v>460</v>
      </c>
      <c r="D692" t="s">
        <v>59</v>
      </c>
      <c r="E692" t="s">
        <v>27</v>
      </c>
      <c r="F692">
        <v>2</v>
      </c>
      <c r="G692">
        <v>599</v>
      </c>
      <c r="H692">
        <v>0.05</v>
      </c>
      <c r="I692" t="s">
        <v>44</v>
      </c>
      <c r="J692" t="s">
        <v>22</v>
      </c>
      <c r="K692" t="s">
        <v>17</v>
      </c>
      <c r="L692">
        <f>F691*G691*(1-H691)</f>
        <v>2847.15</v>
      </c>
    </row>
    <row r="693" spans="1:12">
      <c r="A693" t="s">
        <v>1187</v>
      </c>
      <c r="B693" s="1">
        <v>46223</v>
      </c>
      <c r="C693" t="s">
        <v>1188</v>
      </c>
      <c r="D693" t="s">
        <v>31</v>
      </c>
      <c r="E693" t="s">
        <v>14</v>
      </c>
      <c r="F693">
        <v>3</v>
      </c>
      <c r="G693">
        <v>2499</v>
      </c>
      <c r="H693">
        <v>0</v>
      </c>
      <c r="I693" t="s">
        <v>32</v>
      </c>
      <c r="J693" t="s">
        <v>51</v>
      </c>
      <c r="K693" t="s">
        <v>17</v>
      </c>
      <c r="L693">
        <f>F692*G692*(1-H692)</f>
        <v>1138.0999999999999</v>
      </c>
    </row>
    <row r="694" spans="1:12">
      <c r="A694" t="s">
        <v>1189</v>
      </c>
      <c r="B694" s="1">
        <v>46208</v>
      </c>
      <c r="C694" t="s">
        <v>539</v>
      </c>
      <c r="D694" t="s">
        <v>62</v>
      </c>
      <c r="E694" t="s">
        <v>35</v>
      </c>
      <c r="F694">
        <v>1</v>
      </c>
      <c r="G694">
        <v>7999</v>
      </c>
      <c r="H694">
        <v>0</v>
      </c>
      <c r="I694" t="s">
        <v>50</v>
      </c>
      <c r="J694" t="s">
        <v>16</v>
      </c>
      <c r="K694" t="s">
        <v>37</v>
      </c>
      <c r="L694">
        <f>F693*G693*(1-H693)</f>
        <v>7497</v>
      </c>
    </row>
    <row r="695" spans="1:12">
      <c r="A695" t="s">
        <v>1190</v>
      </c>
      <c r="B695" s="1">
        <v>46049</v>
      </c>
      <c r="C695" t="s">
        <v>851</v>
      </c>
      <c r="D695" t="s">
        <v>56</v>
      </c>
      <c r="E695" t="s">
        <v>21</v>
      </c>
      <c r="F695">
        <v>3</v>
      </c>
      <c r="G695">
        <v>1499</v>
      </c>
      <c r="H695">
        <v>0</v>
      </c>
      <c r="I695" t="s">
        <v>50</v>
      </c>
      <c r="J695" t="s">
        <v>22</v>
      </c>
      <c r="K695" t="s">
        <v>23</v>
      </c>
      <c r="L695">
        <f>F694*G694*(1-H694)</f>
        <v>7999</v>
      </c>
    </row>
    <row r="696" spans="1:12">
      <c r="A696" t="s">
        <v>1191</v>
      </c>
      <c r="B696" s="1">
        <v>46089</v>
      </c>
      <c r="C696" t="s">
        <v>600</v>
      </c>
      <c r="D696" t="s">
        <v>31</v>
      </c>
      <c r="E696" t="s">
        <v>14</v>
      </c>
      <c r="F696">
        <v>5</v>
      </c>
      <c r="G696">
        <v>4999</v>
      </c>
      <c r="H696">
        <v>0.05</v>
      </c>
      <c r="I696" t="s">
        <v>15</v>
      </c>
      <c r="J696" t="s">
        <v>36</v>
      </c>
      <c r="K696" t="s">
        <v>17</v>
      </c>
      <c r="L696">
        <f>F695*G695*(1-H695)</f>
        <v>4497</v>
      </c>
    </row>
    <row r="697" spans="1:12">
      <c r="A697" t="s">
        <v>1192</v>
      </c>
      <c r="B697" s="1">
        <v>46282</v>
      </c>
      <c r="C697" t="s">
        <v>189</v>
      </c>
      <c r="D697" t="s">
        <v>43</v>
      </c>
      <c r="E697" t="s">
        <v>21</v>
      </c>
      <c r="F697">
        <v>2</v>
      </c>
      <c r="G697">
        <v>499</v>
      </c>
      <c r="H697">
        <v>0.15</v>
      </c>
      <c r="I697" t="s">
        <v>50</v>
      </c>
      <c r="J697" t="s">
        <v>16</v>
      </c>
      <c r="K697" t="s">
        <v>17</v>
      </c>
      <c r="L697">
        <f>F696*G696*(1-H696)</f>
        <v>23745.25</v>
      </c>
    </row>
    <row r="698" spans="1:12">
      <c r="A698" t="s">
        <v>1193</v>
      </c>
      <c r="B698" s="1">
        <v>46039</v>
      </c>
      <c r="C698" t="s">
        <v>1194</v>
      </c>
      <c r="D698" t="s">
        <v>71</v>
      </c>
      <c r="E698" t="s">
        <v>14</v>
      </c>
      <c r="F698">
        <v>1</v>
      </c>
      <c r="G698">
        <v>1999</v>
      </c>
      <c r="H698">
        <v>0.15</v>
      </c>
      <c r="I698" t="s">
        <v>15</v>
      </c>
      <c r="J698" t="s">
        <v>28</v>
      </c>
      <c r="K698" t="s">
        <v>17</v>
      </c>
      <c r="L698">
        <f>F697*G697*(1-H697)</f>
        <v>848.3</v>
      </c>
    </row>
    <row r="699" spans="1:12">
      <c r="A699" t="s">
        <v>1195</v>
      </c>
      <c r="B699" s="1">
        <v>46110</v>
      </c>
      <c r="C699" t="s">
        <v>1196</v>
      </c>
      <c r="D699" t="s">
        <v>71</v>
      </c>
      <c r="E699" t="s">
        <v>35</v>
      </c>
      <c r="F699">
        <v>2</v>
      </c>
      <c r="G699">
        <v>499</v>
      </c>
      <c r="H699">
        <v>0</v>
      </c>
      <c r="I699" t="s">
        <v>50</v>
      </c>
      <c r="J699" t="s">
        <v>22</v>
      </c>
      <c r="K699" t="s">
        <v>17</v>
      </c>
      <c r="L699">
        <f>F698*G698*(1-H698)</f>
        <v>1699.1499999999999</v>
      </c>
    </row>
    <row r="700" spans="1:12">
      <c r="A700" t="s">
        <v>1197</v>
      </c>
      <c r="B700" s="1">
        <v>46116</v>
      </c>
      <c r="C700" t="s">
        <v>113</v>
      </c>
      <c r="D700" t="s">
        <v>31</v>
      </c>
      <c r="E700" t="s">
        <v>40</v>
      </c>
      <c r="F700">
        <v>4</v>
      </c>
      <c r="G700">
        <v>2499</v>
      </c>
      <c r="H700">
        <v>0</v>
      </c>
      <c r="I700" t="s">
        <v>47</v>
      </c>
      <c r="J700" t="s">
        <v>51</v>
      </c>
      <c r="K700" t="s">
        <v>17</v>
      </c>
      <c r="L700">
        <f>F699*G699*(1-H699)</f>
        <v>998</v>
      </c>
    </row>
    <row r="701" spans="1:12">
      <c r="A701" t="s">
        <v>1198</v>
      </c>
      <c r="B701" s="1">
        <v>46182</v>
      </c>
      <c r="C701" t="s">
        <v>667</v>
      </c>
      <c r="D701" t="s">
        <v>13</v>
      </c>
      <c r="E701" t="s">
        <v>27</v>
      </c>
      <c r="F701">
        <v>2</v>
      </c>
      <c r="G701">
        <v>499</v>
      </c>
      <c r="H701">
        <v>0.1</v>
      </c>
      <c r="I701" t="s">
        <v>47</v>
      </c>
      <c r="J701" t="s">
        <v>36</v>
      </c>
      <c r="K701" t="s">
        <v>17</v>
      </c>
      <c r="L701">
        <f>F700*G700*(1-H700)</f>
        <v>9996</v>
      </c>
    </row>
    <row r="702" spans="1:12">
      <c r="A702" t="s">
        <v>1199</v>
      </c>
      <c r="B702" s="1">
        <v>46283</v>
      </c>
      <c r="C702" t="s">
        <v>415</v>
      </c>
      <c r="D702" t="s">
        <v>20</v>
      </c>
      <c r="E702" t="s">
        <v>40</v>
      </c>
      <c r="F702">
        <v>2</v>
      </c>
      <c r="G702">
        <v>2499</v>
      </c>
      <c r="H702">
        <v>0.15</v>
      </c>
      <c r="I702" t="s">
        <v>32</v>
      </c>
      <c r="J702" t="s">
        <v>28</v>
      </c>
      <c r="K702" t="s">
        <v>17</v>
      </c>
      <c r="L702">
        <f>F701*G701*(1-H701)</f>
        <v>898.2</v>
      </c>
    </row>
    <row r="703" spans="1:12">
      <c r="A703" t="s">
        <v>1200</v>
      </c>
      <c r="B703" s="1">
        <v>46224</v>
      </c>
      <c r="C703" t="s">
        <v>1080</v>
      </c>
      <c r="D703" t="s">
        <v>71</v>
      </c>
      <c r="E703" t="s">
        <v>40</v>
      </c>
      <c r="F703">
        <v>4</v>
      </c>
      <c r="G703">
        <v>4999</v>
      </c>
      <c r="H703">
        <v>0</v>
      </c>
      <c r="I703" t="s">
        <v>47</v>
      </c>
      <c r="J703" t="s">
        <v>36</v>
      </c>
      <c r="K703" t="s">
        <v>37</v>
      </c>
      <c r="L703">
        <f>F702*G702*(1-H702)</f>
        <v>4248.3</v>
      </c>
    </row>
    <row r="704" spans="1:12">
      <c r="A704" t="s">
        <v>1201</v>
      </c>
      <c r="B704" s="1">
        <v>46050</v>
      </c>
      <c r="C704" t="s">
        <v>675</v>
      </c>
      <c r="D704" t="s">
        <v>13</v>
      </c>
      <c r="E704" t="s">
        <v>21</v>
      </c>
      <c r="F704">
        <v>1</v>
      </c>
      <c r="G704">
        <v>1299</v>
      </c>
      <c r="H704">
        <v>0.05</v>
      </c>
      <c r="I704" t="s">
        <v>15</v>
      </c>
      <c r="J704" t="s">
        <v>16</v>
      </c>
      <c r="K704" t="s">
        <v>17</v>
      </c>
      <c r="L704">
        <f>F703*G703*(1-H703)</f>
        <v>19996</v>
      </c>
    </row>
    <row r="705" spans="1:12">
      <c r="A705" t="s">
        <v>1202</v>
      </c>
      <c r="B705" s="1">
        <v>46207</v>
      </c>
      <c r="C705" t="s">
        <v>1203</v>
      </c>
      <c r="D705" t="s">
        <v>59</v>
      </c>
      <c r="E705" t="s">
        <v>40</v>
      </c>
      <c r="F705">
        <v>3</v>
      </c>
      <c r="G705">
        <v>7999</v>
      </c>
      <c r="H705">
        <v>0.1</v>
      </c>
      <c r="I705" t="s">
        <v>50</v>
      </c>
      <c r="J705" t="s">
        <v>16</v>
      </c>
      <c r="K705" t="s">
        <v>37</v>
      </c>
      <c r="L705">
        <f>F704*G704*(1-H704)</f>
        <v>1234.05</v>
      </c>
    </row>
    <row r="706" spans="1:12">
      <c r="A706" t="s">
        <v>1204</v>
      </c>
      <c r="B706" s="1">
        <v>46044</v>
      </c>
      <c r="C706" t="s">
        <v>1136</v>
      </c>
      <c r="D706" t="s">
        <v>56</v>
      </c>
      <c r="E706" t="s">
        <v>35</v>
      </c>
      <c r="F706">
        <v>5</v>
      </c>
      <c r="G706">
        <v>2499</v>
      </c>
      <c r="H706">
        <v>0.05</v>
      </c>
      <c r="I706" t="s">
        <v>47</v>
      </c>
      <c r="J706" t="s">
        <v>28</v>
      </c>
      <c r="K706" t="s">
        <v>17</v>
      </c>
      <c r="L706">
        <f>F705*G705*(1-H705)</f>
        <v>21597.3</v>
      </c>
    </row>
    <row r="707" spans="1:12">
      <c r="A707" t="s">
        <v>1205</v>
      </c>
      <c r="B707" s="1">
        <v>46203</v>
      </c>
      <c r="C707" t="s">
        <v>749</v>
      </c>
      <c r="D707" t="s">
        <v>20</v>
      </c>
      <c r="E707" t="s">
        <v>21</v>
      </c>
      <c r="F707">
        <v>1</v>
      </c>
      <c r="G707">
        <v>799</v>
      </c>
      <c r="H707">
        <v>0</v>
      </c>
      <c r="I707" t="s">
        <v>47</v>
      </c>
      <c r="J707" t="s">
        <v>22</v>
      </c>
      <c r="K707" t="s">
        <v>37</v>
      </c>
      <c r="L707">
        <f>F706*G706*(1-H706)</f>
        <v>11870.25</v>
      </c>
    </row>
    <row r="708" spans="1:12">
      <c r="A708" t="s">
        <v>1206</v>
      </c>
      <c r="B708" s="1">
        <v>46277</v>
      </c>
      <c r="C708" t="s">
        <v>1207</v>
      </c>
      <c r="D708" t="s">
        <v>78</v>
      </c>
      <c r="E708" t="s">
        <v>40</v>
      </c>
      <c r="F708">
        <v>1</v>
      </c>
      <c r="G708">
        <v>1999</v>
      </c>
      <c r="H708">
        <v>0.1</v>
      </c>
      <c r="I708" t="s">
        <v>15</v>
      </c>
      <c r="J708" t="s">
        <v>22</v>
      </c>
      <c r="K708" t="s">
        <v>17</v>
      </c>
      <c r="L708">
        <f>F707*G707*(1-H707)</f>
        <v>799</v>
      </c>
    </row>
    <row r="709" spans="1:12">
      <c r="A709" t="s">
        <v>1208</v>
      </c>
      <c r="B709" s="1">
        <v>46237</v>
      </c>
      <c r="C709" t="s">
        <v>1209</v>
      </c>
      <c r="D709" t="s">
        <v>59</v>
      </c>
      <c r="E709" t="s">
        <v>21</v>
      </c>
      <c r="F709">
        <v>3</v>
      </c>
      <c r="G709">
        <v>799</v>
      </c>
      <c r="H709">
        <v>0.15</v>
      </c>
      <c r="I709" t="s">
        <v>44</v>
      </c>
      <c r="J709" t="s">
        <v>36</v>
      </c>
      <c r="K709" t="s">
        <v>17</v>
      </c>
      <c r="L709">
        <f>F708*G708*(1-H708)</f>
        <v>1799.1000000000001</v>
      </c>
    </row>
    <row r="710" spans="1:12">
      <c r="A710" t="s">
        <v>1210</v>
      </c>
      <c r="B710" s="1">
        <v>46066</v>
      </c>
      <c r="C710" t="s">
        <v>1211</v>
      </c>
      <c r="D710" t="s">
        <v>31</v>
      </c>
      <c r="E710" t="s">
        <v>35</v>
      </c>
      <c r="F710">
        <v>2</v>
      </c>
      <c r="G710">
        <v>499</v>
      </c>
      <c r="H710">
        <v>0.15</v>
      </c>
      <c r="I710" t="s">
        <v>44</v>
      </c>
      <c r="J710" t="s">
        <v>16</v>
      </c>
      <c r="K710" t="s">
        <v>23</v>
      </c>
      <c r="L710">
        <f>F709*G709*(1-H709)</f>
        <v>2037.45</v>
      </c>
    </row>
    <row r="711" spans="1:12">
      <c r="A711" t="s">
        <v>1212</v>
      </c>
      <c r="B711" s="1">
        <v>46067</v>
      </c>
      <c r="C711" t="s">
        <v>1213</v>
      </c>
      <c r="D711" t="s">
        <v>31</v>
      </c>
      <c r="E711" t="s">
        <v>21</v>
      </c>
      <c r="F711">
        <v>3</v>
      </c>
      <c r="G711">
        <v>799</v>
      </c>
      <c r="H711">
        <v>0.1</v>
      </c>
      <c r="I711" t="s">
        <v>44</v>
      </c>
      <c r="J711" t="s">
        <v>36</v>
      </c>
      <c r="K711" t="s">
        <v>17</v>
      </c>
      <c r="L711">
        <f>F710*G710*(1-H710)</f>
        <v>848.3</v>
      </c>
    </row>
    <row r="712" spans="1:12">
      <c r="A712" t="s">
        <v>1214</v>
      </c>
      <c r="B712" s="1">
        <v>46176</v>
      </c>
      <c r="C712" t="s">
        <v>437</v>
      </c>
      <c r="D712" t="s">
        <v>62</v>
      </c>
      <c r="E712" t="s">
        <v>27</v>
      </c>
      <c r="F712">
        <v>3</v>
      </c>
      <c r="G712">
        <v>1999</v>
      </c>
      <c r="H712">
        <v>0.15</v>
      </c>
      <c r="I712" t="s">
        <v>50</v>
      </c>
      <c r="J712" t="s">
        <v>36</v>
      </c>
      <c r="K712" t="s">
        <v>23</v>
      </c>
      <c r="L712">
        <f>F711*G711*(1-H711)</f>
        <v>2157.3000000000002</v>
      </c>
    </row>
    <row r="713" spans="1:12">
      <c r="A713" t="s">
        <v>1215</v>
      </c>
      <c r="B713" s="1">
        <v>46070</v>
      </c>
      <c r="C713" t="s">
        <v>1216</v>
      </c>
      <c r="D713" t="s">
        <v>78</v>
      </c>
      <c r="E713" t="s">
        <v>14</v>
      </c>
      <c r="F713">
        <v>5</v>
      </c>
      <c r="G713">
        <v>1299</v>
      </c>
      <c r="H713">
        <v>0.1</v>
      </c>
      <c r="I713" t="s">
        <v>47</v>
      </c>
      <c r="J713" t="s">
        <v>28</v>
      </c>
      <c r="K713" t="s">
        <v>17</v>
      </c>
      <c r="L713">
        <f>F712*G712*(1-H712)</f>
        <v>5097.45</v>
      </c>
    </row>
    <row r="714" spans="1:12">
      <c r="A714" t="s">
        <v>1217</v>
      </c>
      <c r="B714" s="1">
        <v>46123</v>
      </c>
      <c r="C714" t="s">
        <v>1218</v>
      </c>
      <c r="D714" t="s">
        <v>43</v>
      </c>
      <c r="E714" t="s">
        <v>27</v>
      </c>
      <c r="F714">
        <v>4</v>
      </c>
      <c r="G714">
        <v>499</v>
      </c>
      <c r="H714">
        <v>0.05</v>
      </c>
      <c r="I714" t="s">
        <v>47</v>
      </c>
      <c r="J714" t="s">
        <v>36</v>
      </c>
      <c r="K714" t="s">
        <v>17</v>
      </c>
      <c r="L714">
        <f>F713*G713*(1-H713)</f>
        <v>5845.5</v>
      </c>
    </row>
    <row r="715" spans="1:12">
      <c r="A715" t="s">
        <v>1219</v>
      </c>
      <c r="B715" s="1">
        <v>46093</v>
      </c>
      <c r="C715" t="s">
        <v>1220</v>
      </c>
      <c r="D715" t="s">
        <v>56</v>
      </c>
      <c r="E715" t="s">
        <v>35</v>
      </c>
      <c r="F715">
        <v>2</v>
      </c>
      <c r="G715">
        <v>799</v>
      </c>
      <c r="H715">
        <v>0.1</v>
      </c>
      <c r="I715" t="s">
        <v>32</v>
      </c>
      <c r="J715" t="s">
        <v>51</v>
      </c>
      <c r="K715" t="s">
        <v>23</v>
      </c>
      <c r="L715">
        <f>F714*G714*(1-H714)</f>
        <v>1896.1999999999998</v>
      </c>
    </row>
    <row r="716" spans="1:12">
      <c r="A716" t="s">
        <v>1221</v>
      </c>
      <c r="B716" s="1">
        <v>46244</v>
      </c>
      <c r="C716" t="s">
        <v>1194</v>
      </c>
      <c r="D716" t="s">
        <v>13</v>
      </c>
      <c r="E716" t="s">
        <v>27</v>
      </c>
      <c r="F716">
        <v>2</v>
      </c>
      <c r="G716">
        <v>799</v>
      </c>
      <c r="H716">
        <v>0.05</v>
      </c>
      <c r="I716" t="s">
        <v>15</v>
      </c>
      <c r="J716" t="s">
        <v>36</v>
      </c>
      <c r="K716" t="s">
        <v>23</v>
      </c>
      <c r="L716">
        <f>F715*G715*(1-H715)</f>
        <v>1438.2</v>
      </c>
    </row>
    <row r="717" spans="1:12">
      <c r="A717" t="s">
        <v>1222</v>
      </c>
      <c r="B717" s="1">
        <v>46038</v>
      </c>
      <c r="C717" t="s">
        <v>325</v>
      </c>
      <c r="D717" t="s">
        <v>56</v>
      </c>
      <c r="E717" t="s">
        <v>21</v>
      </c>
      <c r="F717">
        <v>4</v>
      </c>
      <c r="G717">
        <v>1299</v>
      </c>
      <c r="H717">
        <v>0.1</v>
      </c>
      <c r="I717" t="s">
        <v>32</v>
      </c>
      <c r="J717" t="s">
        <v>36</v>
      </c>
      <c r="K717" t="s">
        <v>17</v>
      </c>
      <c r="L717">
        <f>F716*G716*(1-H716)</f>
        <v>1518.1</v>
      </c>
    </row>
    <row r="718" spans="1:12">
      <c r="A718" t="s">
        <v>1223</v>
      </c>
      <c r="B718" s="1">
        <v>46044</v>
      </c>
      <c r="C718" t="s">
        <v>1080</v>
      </c>
      <c r="D718" t="s">
        <v>56</v>
      </c>
      <c r="E718" t="s">
        <v>14</v>
      </c>
      <c r="F718">
        <v>2</v>
      </c>
      <c r="G718">
        <v>799</v>
      </c>
      <c r="H718">
        <v>0.05</v>
      </c>
      <c r="I718" t="s">
        <v>32</v>
      </c>
      <c r="J718" t="s">
        <v>28</v>
      </c>
      <c r="K718" t="s">
        <v>37</v>
      </c>
      <c r="L718">
        <f>F717*G717*(1-H717)</f>
        <v>4676.4000000000005</v>
      </c>
    </row>
    <row r="719" spans="1:12">
      <c r="A719" t="s">
        <v>1224</v>
      </c>
      <c r="B719" s="1">
        <v>46193</v>
      </c>
      <c r="C719" t="s">
        <v>1225</v>
      </c>
      <c r="D719" t="s">
        <v>31</v>
      </c>
      <c r="E719" t="s">
        <v>27</v>
      </c>
      <c r="F719">
        <v>5</v>
      </c>
      <c r="G719">
        <v>4999</v>
      </c>
      <c r="H719">
        <v>0.05</v>
      </c>
      <c r="I719" t="s">
        <v>32</v>
      </c>
      <c r="J719" t="s">
        <v>22</v>
      </c>
      <c r="K719" t="s">
        <v>17</v>
      </c>
      <c r="L719">
        <f>F718*G718*(1-H718)</f>
        <v>1518.1</v>
      </c>
    </row>
    <row r="720" spans="1:12">
      <c r="A720" t="s">
        <v>1226</v>
      </c>
      <c r="B720" s="1">
        <v>46158</v>
      </c>
      <c r="C720" t="s">
        <v>1227</v>
      </c>
      <c r="D720" t="s">
        <v>20</v>
      </c>
      <c r="E720" t="s">
        <v>40</v>
      </c>
      <c r="F720">
        <v>1</v>
      </c>
      <c r="G720">
        <v>7999</v>
      </c>
      <c r="H720">
        <v>0.1</v>
      </c>
      <c r="I720" t="s">
        <v>15</v>
      </c>
      <c r="J720" t="s">
        <v>16</v>
      </c>
      <c r="K720" t="s">
        <v>17</v>
      </c>
      <c r="L720">
        <f>F719*G719*(1-H719)</f>
        <v>23745.25</v>
      </c>
    </row>
    <row r="721" spans="1:12">
      <c r="A721" t="s">
        <v>1228</v>
      </c>
      <c r="B721" s="1">
        <v>46153</v>
      </c>
      <c r="C721" t="s">
        <v>1220</v>
      </c>
      <c r="D721" t="s">
        <v>71</v>
      </c>
      <c r="E721" t="s">
        <v>14</v>
      </c>
      <c r="F721">
        <v>4</v>
      </c>
      <c r="G721">
        <v>999</v>
      </c>
      <c r="H721">
        <v>0.1</v>
      </c>
      <c r="I721" t="s">
        <v>44</v>
      </c>
      <c r="J721" t="s">
        <v>28</v>
      </c>
      <c r="K721" t="s">
        <v>23</v>
      </c>
      <c r="L721">
        <f>F720*G720*(1-H720)</f>
        <v>7199.1</v>
      </c>
    </row>
    <row r="722" spans="1:12">
      <c r="A722" t="s">
        <v>1229</v>
      </c>
      <c r="B722" s="1">
        <v>46106</v>
      </c>
      <c r="C722" t="s">
        <v>952</v>
      </c>
      <c r="D722" t="s">
        <v>71</v>
      </c>
      <c r="E722" t="s">
        <v>35</v>
      </c>
      <c r="F722">
        <v>1</v>
      </c>
      <c r="G722">
        <v>499</v>
      </c>
      <c r="H722">
        <v>0.1</v>
      </c>
      <c r="I722" t="s">
        <v>32</v>
      </c>
      <c r="J722" t="s">
        <v>36</v>
      </c>
      <c r="K722" t="s">
        <v>17</v>
      </c>
      <c r="L722">
        <f>F721*G721*(1-H721)</f>
        <v>3596.4</v>
      </c>
    </row>
    <row r="723" spans="1:12">
      <c r="A723" t="s">
        <v>1230</v>
      </c>
      <c r="B723" s="1">
        <v>46220</v>
      </c>
      <c r="C723" t="s">
        <v>1050</v>
      </c>
      <c r="D723" t="s">
        <v>13</v>
      </c>
      <c r="E723" t="s">
        <v>14</v>
      </c>
      <c r="F723">
        <v>1</v>
      </c>
      <c r="G723">
        <v>1499</v>
      </c>
      <c r="H723">
        <v>0</v>
      </c>
      <c r="I723" t="s">
        <v>15</v>
      </c>
      <c r="J723" t="s">
        <v>51</v>
      </c>
      <c r="K723" t="s">
        <v>17</v>
      </c>
      <c r="L723">
        <f>F722*G722*(1-H722)</f>
        <v>449.1</v>
      </c>
    </row>
    <row r="724" spans="1:12">
      <c r="A724" t="s">
        <v>1231</v>
      </c>
      <c r="B724" s="1">
        <v>46293</v>
      </c>
      <c r="C724" t="s">
        <v>778</v>
      </c>
      <c r="D724" t="s">
        <v>78</v>
      </c>
      <c r="E724" t="s">
        <v>14</v>
      </c>
      <c r="F724">
        <v>1</v>
      </c>
      <c r="G724">
        <v>999</v>
      </c>
      <c r="H724">
        <v>0.1</v>
      </c>
      <c r="I724" t="s">
        <v>32</v>
      </c>
      <c r="J724" t="s">
        <v>22</v>
      </c>
      <c r="K724" t="s">
        <v>17</v>
      </c>
      <c r="L724">
        <f>F723*G723*(1-H723)</f>
        <v>1499</v>
      </c>
    </row>
    <row r="725" spans="1:12">
      <c r="A725" t="s">
        <v>1232</v>
      </c>
      <c r="B725" s="1">
        <v>46254</v>
      </c>
      <c r="C725" t="s">
        <v>1233</v>
      </c>
      <c r="D725" t="s">
        <v>59</v>
      </c>
      <c r="E725" t="s">
        <v>35</v>
      </c>
      <c r="F725">
        <v>5</v>
      </c>
      <c r="G725">
        <v>1299</v>
      </c>
      <c r="H725">
        <v>0.15</v>
      </c>
      <c r="I725" t="s">
        <v>15</v>
      </c>
      <c r="J725" t="s">
        <v>16</v>
      </c>
      <c r="K725" t="s">
        <v>17</v>
      </c>
      <c r="L725">
        <f>F724*G724*(1-H724)</f>
        <v>899.1</v>
      </c>
    </row>
    <row r="726" spans="1:12">
      <c r="A726" t="s">
        <v>1234</v>
      </c>
      <c r="B726" s="1">
        <v>46243</v>
      </c>
      <c r="C726" t="s">
        <v>1235</v>
      </c>
      <c r="D726" t="s">
        <v>78</v>
      </c>
      <c r="E726" t="s">
        <v>40</v>
      </c>
      <c r="F726">
        <v>4</v>
      </c>
      <c r="G726">
        <v>1999</v>
      </c>
      <c r="H726">
        <v>0</v>
      </c>
      <c r="I726" t="s">
        <v>50</v>
      </c>
      <c r="J726" t="s">
        <v>28</v>
      </c>
      <c r="K726" t="s">
        <v>17</v>
      </c>
      <c r="L726">
        <f>F725*G725*(1-H725)</f>
        <v>5520.75</v>
      </c>
    </row>
    <row r="727" spans="1:12">
      <c r="A727" t="s">
        <v>1236</v>
      </c>
      <c r="B727" s="1">
        <v>46276</v>
      </c>
      <c r="C727" t="s">
        <v>667</v>
      </c>
      <c r="D727" t="s">
        <v>78</v>
      </c>
      <c r="E727" t="s">
        <v>21</v>
      </c>
      <c r="F727">
        <v>4</v>
      </c>
      <c r="G727">
        <v>1499</v>
      </c>
      <c r="H727">
        <v>0.15</v>
      </c>
      <c r="I727" t="s">
        <v>50</v>
      </c>
      <c r="J727" t="s">
        <v>51</v>
      </c>
      <c r="K727" t="s">
        <v>37</v>
      </c>
      <c r="L727">
        <f>F726*G726*(1-H726)</f>
        <v>7996</v>
      </c>
    </row>
    <row r="728" spans="1:12">
      <c r="A728" t="s">
        <v>1237</v>
      </c>
      <c r="B728" s="1">
        <v>46257</v>
      </c>
      <c r="C728" t="s">
        <v>257</v>
      </c>
      <c r="D728" t="s">
        <v>31</v>
      </c>
      <c r="E728" t="s">
        <v>40</v>
      </c>
      <c r="F728">
        <v>3</v>
      </c>
      <c r="G728">
        <v>1299</v>
      </c>
      <c r="H728">
        <v>0.15</v>
      </c>
      <c r="I728" t="s">
        <v>32</v>
      </c>
      <c r="J728" t="s">
        <v>28</v>
      </c>
      <c r="K728" t="s">
        <v>23</v>
      </c>
      <c r="L728">
        <f>F727*G727*(1-H727)</f>
        <v>5096.5999999999995</v>
      </c>
    </row>
    <row r="729" spans="1:12">
      <c r="A729" t="s">
        <v>1238</v>
      </c>
      <c r="B729" s="1">
        <v>46036</v>
      </c>
      <c r="C729" t="s">
        <v>1239</v>
      </c>
      <c r="D729" t="s">
        <v>13</v>
      </c>
      <c r="E729" t="s">
        <v>35</v>
      </c>
      <c r="F729">
        <v>2</v>
      </c>
      <c r="G729">
        <v>2499</v>
      </c>
      <c r="H729">
        <v>0.05</v>
      </c>
      <c r="I729" t="s">
        <v>44</v>
      </c>
      <c r="J729" t="s">
        <v>16</v>
      </c>
      <c r="K729" t="s">
        <v>17</v>
      </c>
      <c r="L729">
        <f>F728*G728*(1-H728)</f>
        <v>3312.45</v>
      </c>
    </row>
    <row r="730" spans="1:12">
      <c r="A730" t="s">
        <v>1240</v>
      </c>
      <c r="B730" s="1">
        <v>46124</v>
      </c>
      <c r="C730" t="s">
        <v>606</v>
      </c>
      <c r="D730" t="s">
        <v>31</v>
      </c>
      <c r="E730" t="s">
        <v>40</v>
      </c>
      <c r="F730">
        <v>4</v>
      </c>
      <c r="G730">
        <v>799</v>
      </c>
      <c r="H730">
        <v>0</v>
      </c>
      <c r="I730" t="s">
        <v>32</v>
      </c>
      <c r="J730" t="s">
        <v>28</v>
      </c>
      <c r="K730" t="s">
        <v>37</v>
      </c>
      <c r="L730">
        <f>F729*G729*(1-H729)</f>
        <v>4748.0999999999995</v>
      </c>
    </row>
    <row r="731" spans="1:12">
      <c r="A731" t="s">
        <v>1241</v>
      </c>
      <c r="B731" s="1">
        <v>46203</v>
      </c>
      <c r="C731" t="s">
        <v>697</v>
      </c>
      <c r="D731" t="s">
        <v>43</v>
      </c>
      <c r="E731" t="s">
        <v>35</v>
      </c>
      <c r="F731">
        <v>5</v>
      </c>
      <c r="G731">
        <v>799</v>
      </c>
      <c r="H731">
        <v>0.15</v>
      </c>
      <c r="I731" t="s">
        <v>32</v>
      </c>
      <c r="J731" t="s">
        <v>28</v>
      </c>
      <c r="K731" t="s">
        <v>37</v>
      </c>
      <c r="L731">
        <f>F730*G730*(1-H730)</f>
        <v>3196</v>
      </c>
    </row>
    <row r="732" spans="1:12">
      <c r="A732" t="s">
        <v>1242</v>
      </c>
      <c r="B732" s="1">
        <v>46290</v>
      </c>
      <c r="C732" t="s">
        <v>372</v>
      </c>
      <c r="D732" t="s">
        <v>56</v>
      </c>
      <c r="E732" t="s">
        <v>14</v>
      </c>
      <c r="F732">
        <v>2</v>
      </c>
      <c r="G732">
        <v>1499</v>
      </c>
      <c r="H732">
        <v>0.05</v>
      </c>
      <c r="I732" t="s">
        <v>50</v>
      </c>
      <c r="J732" t="s">
        <v>36</v>
      </c>
      <c r="K732" t="s">
        <v>17</v>
      </c>
      <c r="L732">
        <f>F731*G731*(1-H731)</f>
        <v>3395.75</v>
      </c>
    </row>
    <row r="733" spans="1:12">
      <c r="A733" t="s">
        <v>1243</v>
      </c>
      <c r="B733" s="1">
        <v>46191</v>
      </c>
      <c r="C733" t="s">
        <v>1244</v>
      </c>
      <c r="D733" t="s">
        <v>56</v>
      </c>
      <c r="E733" t="s">
        <v>27</v>
      </c>
      <c r="F733">
        <v>4</v>
      </c>
      <c r="G733">
        <v>1499</v>
      </c>
      <c r="H733">
        <v>0</v>
      </c>
      <c r="I733" t="s">
        <v>44</v>
      </c>
      <c r="J733" t="s">
        <v>36</v>
      </c>
      <c r="K733" t="s">
        <v>17</v>
      </c>
      <c r="L733">
        <f>F732*G732*(1-H732)</f>
        <v>2848.1</v>
      </c>
    </row>
    <row r="734" spans="1:12">
      <c r="A734" t="s">
        <v>1245</v>
      </c>
      <c r="B734" s="1">
        <v>46242</v>
      </c>
      <c r="C734" t="s">
        <v>355</v>
      </c>
      <c r="D734" t="s">
        <v>43</v>
      </c>
      <c r="E734" t="s">
        <v>14</v>
      </c>
      <c r="F734">
        <v>2</v>
      </c>
      <c r="G734">
        <v>7999</v>
      </c>
      <c r="H734">
        <v>0</v>
      </c>
      <c r="I734" t="s">
        <v>47</v>
      </c>
      <c r="J734" t="s">
        <v>16</v>
      </c>
      <c r="K734" t="s">
        <v>17</v>
      </c>
      <c r="L734">
        <f>F733*G733*(1-H733)</f>
        <v>5996</v>
      </c>
    </row>
    <row r="735" spans="1:12">
      <c r="A735" t="s">
        <v>1246</v>
      </c>
      <c r="B735" s="1">
        <v>46101</v>
      </c>
      <c r="C735" t="s">
        <v>860</v>
      </c>
      <c r="D735" t="s">
        <v>78</v>
      </c>
      <c r="E735" t="s">
        <v>35</v>
      </c>
      <c r="F735">
        <v>5</v>
      </c>
      <c r="G735">
        <v>4999</v>
      </c>
      <c r="H735">
        <v>0</v>
      </c>
      <c r="I735" t="s">
        <v>15</v>
      </c>
      <c r="J735" t="s">
        <v>22</v>
      </c>
      <c r="K735" t="s">
        <v>17</v>
      </c>
      <c r="L735">
        <f>F734*G734*(1-H734)</f>
        <v>15998</v>
      </c>
    </row>
    <row r="736" spans="1:12">
      <c r="A736" t="s">
        <v>1247</v>
      </c>
      <c r="B736" s="1">
        <v>46187</v>
      </c>
      <c r="C736" t="s">
        <v>956</v>
      </c>
      <c r="D736" t="s">
        <v>59</v>
      </c>
      <c r="E736" t="s">
        <v>14</v>
      </c>
      <c r="F736">
        <v>1</v>
      </c>
      <c r="G736">
        <v>799</v>
      </c>
      <c r="H736">
        <v>0.05</v>
      </c>
      <c r="I736" t="s">
        <v>32</v>
      </c>
      <c r="J736" t="s">
        <v>51</v>
      </c>
      <c r="K736" t="s">
        <v>23</v>
      </c>
      <c r="L736">
        <f>F735*G735*(1-H735)</f>
        <v>24995</v>
      </c>
    </row>
    <row r="737" spans="1:12">
      <c r="A737" t="s">
        <v>1248</v>
      </c>
      <c r="B737" s="1">
        <v>46144</v>
      </c>
      <c r="C737" t="s">
        <v>1085</v>
      </c>
      <c r="D737" t="s">
        <v>13</v>
      </c>
      <c r="E737" t="s">
        <v>14</v>
      </c>
      <c r="F737">
        <v>1</v>
      </c>
      <c r="G737">
        <v>499</v>
      </c>
      <c r="H737">
        <v>0.15</v>
      </c>
      <c r="I737" t="s">
        <v>50</v>
      </c>
      <c r="J737" t="s">
        <v>51</v>
      </c>
      <c r="K737" t="s">
        <v>37</v>
      </c>
      <c r="L737">
        <f>F736*G736*(1-H736)</f>
        <v>759.05</v>
      </c>
    </row>
    <row r="738" spans="1:12">
      <c r="A738" t="s">
        <v>1249</v>
      </c>
      <c r="B738" s="1">
        <v>46272</v>
      </c>
      <c r="C738" t="s">
        <v>1250</v>
      </c>
      <c r="D738" t="s">
        <v>71</v>
      </c>
      <c r="E738" t="s">
        <v>21</v>
      </c>
      <c r="F738">
        <v>1</v>
      </c>
      <c r="G738">
        <v>7999</v>
      </c>
      <c r="H738">
        <v>0.05</v>
      </c>
      <c r="I738" t="s">
        <v>32</v>
      </c>
      <c r="J738" t="s">
        <v>51</v>
      </c>
      <c r="K738" t="s">
        <v>23</v>
      </c>
      <c r="L738">
        <f>F737*G737*(1-H737)</f>
        <v>424.15</v>
      </c>
    </row>
    <row r="739" spans="1:12">
      <c r="A739" t="s">
        <v>1251</v>
      </c>
      <c r="B739" s="1">
        <v>46191</v>
      </c>
      <c r="C739" t="s">
        <v>150</v>
      </c>
      <c r="D739" t="s">
        <v>20</v>
      </c>
      <c r="E739" t="s">
        <v>27</v>
      </c>
      <c r="F739">
        <v>2</v>
      </c>
      <c r="G739">
        <v>2499</v>
      </c>
      <c r="H739">
        <v>0</v>
      </c>
      <c r="I739" t="s">
        <v>44</v>
      </c>
      <c r="J739" t="s">
        <v>36</v>
      </c>
      <c r="K739" t="s">
        <v>37</v>
      </c>
      <c r="L739">
        <f>F738*G738*(1-H738)</f>
        <v>7599.0499999999993</v>
      </c>
    </row>
    <row r="740" spans="1:12">
      <c r="A740" t="s">
        <v>1252</v>
      </c>
      <c r="B740" s="1">
        <v>46077</v>
      </c>
      <c r="C740" t="s">
        <v>257</v>
      </c>
      <c r="D740" t="s">
        <v>71</v>
      </c>
      <c r="E740" t="s">
        <v>27</v>
      </c>
      <c r="F740">
        <v>5</v>
      </c>
      <c r="G740">
        <v>999</v>
      </c>
      <c r="H740">
        <v>0.15</v>
      </c>
      <c r="I740" t="s">
        <v>50</v>
      </c>
      <c r="J740" t="s">
        <v>22</v>
      </c>
      <c r="K740" t="s">
        <v>17</v>
      </c>
      <c r="L740">
        <f>F739*G739*(1-H739)</f>
        <v>4998</v>
      </c>
    </row>
    <row r="741" spans="1:12">
      <c r="A741" t="s">
        <v>1253</v>
      </c>
      <c r="B741" s="1">
        <v>46255</v>
      </c>
      <c r="C741" t="s">
        <v>174</v>
      </c>
      <c r="D741" t="s">
        <v>56</v>
      </c>
      <c r="E741" t="s">
        <v>14</v>
      </c>
      <c r="F741">
        <v>1</v>
      </c>
      <c r="G741">
        <v>1499</v>
      </c>
      <c r="H741">
        <v>0.1</v>
      </c>
      <c r="I741" t="s">
        <v>50</v>
      </c>
      <c r="J741" t="s">
        <v>16</v>
      </c>
      <c r="K741" t="s">
        <v>17</v>
      </c>
      <c r="L741">
        <f>F740*G740*(1-H740)</f>
        <v>4245.75</v>
      </c>
    </row>
    <row r="742" spans="1:12">
      <c r="A742" t="s">
        <v>1254</v>
      </c>
      <c r="B742" s="1">
        <v>46029</v>
      </c>
      <c r="C742" t="s">
        <v>1130</v>
      </c>
      <c r="D742" t="s">
        <v>62</v>
      </c>
      <c r="E742" t="s">
        <v>27</v>
      </c>
      <c r="F742">
        <v>5</v>
      </c>
      <c r="G742">
        <v>499</v>
      </c>
      <c r="H742">
        <v>0</v>
      </c>
      <c r="I742" t="s">
        <v>47</v>
      </c>
      <c r="J742" t="s">
        <v>36</v>
      </c>
      <c r="K742" t="s">
        <v>37</v>
      </c>
      <c r="L742">
        <f>F741*G741*(1-H741)</f>
        <v>1349.1000000000001</v>
      </c>
    </row>
    <row r="743" spans="1:12">
      <c r="A743" t="s">
        <v>1255</v>
      </c>
      <c r="B743" s="1">
        <v>46050</v>
      </c>
      <c r="C743" t="s">
        <v>513</v>
      </c>
      <c r="D743" t="s">
        <v>26</v>
      </c>
      <c r="E743" t="s">
        <v>35</v>
      </c>
      <c r="F743">
        <v>3</v>
      </c>
      <c r="G743">
        <v>1299</v>
      </c>
      <c r="H743">
        <v>0</v>
      </c>
      <c r="I743" t="s">
        <v>47</v>
      </c>
      <c r="J743" t="s">
        <v>22</v>
      </c>
      <c r="K743" t="s">
        <v>17</v>
      </c>
      <c r="L743">
        <f>F742*G742*(1-H742)</f>
        <v>2495</v>
      </c>
    </row>
    <row r="744" spans="1:12">
      <c r="A744" t="s">
        <v>1256</v>
      </c>
      <c r="B744" s="1">
        <v>46050</v>
      </c>
      <c r="C744" t="s">
        <v>1257</v>
      </c>
      <c r="D744" t="s">
        <v>20</v>
      </c>
      <c r="E744" t="s">
        <v>14</v>
      </c>
      <c r="F744">
        <v>1</v>
      </c>
      <c r="G744">
        <v>799</v>
      </c>
      <c r="H744">
        <v>0.15</v>
      </c>
      <c r="I744" t="s">
        <v>50</v>
      </c>
      <c r="J744" t="s">
        <v>36</v>
      </c>
      <c r="K744" t="s">
        <v>23</v>
      </c>
      <c r="L744">
        <f>F743*G743*(1-H743)</f>
        <v>3897</v>
      </c>
    </row>
    <row r="745" spans="1:12">
      <c r="A745" t="s">
        <v>1258</v>
      </c>
      <c r="B745" s="1">
        <v>46228</v>
      </c>
      <c r="C745" t="s">
        <v>1259</v>
      </c>
      <c r="D745" t="s">
        <v>26</v>
      </c>
      <c r="E745" t="s">
        <v>21</v>
      </c>
      <c r="F745">
        <v>1</v>
      </c>
      <c r="G745">
        <v>2499</v>
      </c>
      <c r="H745">
        <v>0.15</v>
      </c>
      <c r="I745" t="s">
        <v>15</v>
      </c>
      <c r="J745" t="s">
        <v>22</v>
      </c>
      <c r="K745" t="s">
        <v>17</v>
      </c>
      <c r="L745">
        <f>F744*G744*(1-H744)</f>
        <v>679.15</v>
      </c>
    </row>
    <row r="746" spans="1:12">
      <c r="A746" t="s">
        <v>1260</v>
      </c>
      <c r="B746" s="1">
        <v>46282</v>
      </c>
      <c r="C746" t="s">
        <v>1261</v>
      </c>
      <c r="D746" t="s">
        <v>62</v>
      </c>
      <c r="E746" t="s">
        <v>27</v>
      </c>
      <c r="F746">
        <v>4</v>
      </c>
      <c r="G746">
        <v>1299</v>
      </c>
      <c r="H746">
        <v>0</v>
      </c>
      <c r="I746" t="s">
        <v>44</v>
      </c>
      <c r="J746" t="s">
        <v>36</v>
      </c>
      <c r="K746" t="s">
        <v>37</v>
      </c>
      <c r="L746">
        <f>F745*G745*(1-H745)</f>
        <v>2124.15</v>
      </c>
    </row>
    <row r="747" spans="1:12">
      <c r="A747" t="s">
        <v>1262</v>
      </c>
      <c r="B747" s="1">
        <v>46165</v>
      </c>
      <c r="C747" t="s">
        <v>1263</v>
      </c>
      <c r="D747" t="s">
        <v>13</v>
      </c>
      <c r="E747" t="s">
        <v>27</v>
      </c>
      <c r="F747">
        <v>1</v>
      </c>
      <c r="G747">
        <v>7999</v>
      </c>
      <c r="H747">
        <v>0.05</v>
      </c>
      <c r="I747" t="s">
        <v>32</v>
      </c>
      <c r="J747" t="s">
        <v>36</v>
      </c>
      <c r="K747" t="s">
        <v>23</v>
      </c>
      <c r="L747">
        <f>F746*G746*(1-H746)</f>
        <v>5196</v>
      </c>
    </row>
    <row r="748" spans="1:12">
      <c r="A748" t="s">
        <v>1264</v>
      </c>
      <c r="B748" s="1">
        <v>46287</v>
      </c>
      <c r="C748" t="s">
        <v>55</v>
      </c>
      <c r="D748" t="s">
        <v>43</v>
      </c>
      <c r="E748" t="s">
        <v>27</v>
      </c>
      <c r="F748">
        <v>1</v>
      </c>
      <c r="G748">
        <v>1999</v>
      </c>
      <c r="H748">
        <v>0.15</v>
      </c>
      <c r="I748" t="s">
        <v>32</v>
      </c>
      <c r="J748" t="s">
        <v>22</v>
      </c>
      <c r="K748" t="s">
        <v>17</v>
      </c>
      <c r="L748">
        <f>F747*G747*(1-H747)</f>
        <v>7599.0499999999993</v>
      </c>
    </row>
    <row r="749" spans="1:12">
      <c r="A749" t="s">
        <v>1265</v>
      </c>
      <c r="B749" s="1">
        <v>46103</v>
      </c>
      <c r="C749" t="s">
        <v>384</v>
      </c>
      <c r="D749" t="s">
        <v>71</v>
      </c>
      <c r="E749" t="s">
        <v>14</v>
      </c>
      <c r="F749">
        <v>5</v>
      </c>
      <c r="G749">
        <v>4999</v>
      </c>
      <c r="H749">
        <v>0.1</v>
      </c>
      <c r="I749" t="s">
        <v>32</v>
      </c>
      <c r="J749" t="s">
        <v>28</v>
      </c>
      <c r="K749" t="s">
        <v>37</v>
      </c>
      <c r="L749">
        <f>F748*G748*(1-H748)</f>
        <v>1699.1499999999999</v>
      </c>
    </row>
    <row r="750" spans="1:12">
      <c r="A750" t="s">
        <v>1266</v>
      </c>
      <c r="B750" s="1">
        <v>46030</v>
      </c>
      <c r="C750" t="s">
        <v>136</v>
      </c>
      <c r="D750" t="s">
        <v>31</v>
      </c>
      <c r="E750" t="s">
        <v>27</v>
      </c>
      <c r="F750">
        <v>2</v>
      </c>
      <c r="G750">
        <v>599</v>
      </c>
      <c r="H750">
        <v>0.05</v>
      </c>
      <c r="I750" t="s">
        <v>32</v>
      </c>
      <c r="J750" t="s">
        <v>36</v>
      </c>
      <c r="K750" t="s">
        <v>17</v>
      </c>
      <c r="L750">
        <f>F749*G749*(1-H749)</f>
        <v>22495.5</v>
      </c>
    </row>
    <row r="751" spans="1:12">
      <c r="A751" t="s">
        <v>1267</v>
      </c>
      <c r="B751" s="1">
        <v>46167</v>
      </c>
      <c r="C751" t="s">
        <v>1268</v>
      </c>
      <c r="D751" t="s">
        <v>71</v>
      </c>
      <c r="E751" t="s">
        <v>35</v>
      </c>
      <c r="F751">
        <v>4</v>
      </c>
      <c r="G751">
        <v>499</v>
      </c>
      <c r="H751">
        <v>0.05</v>
      </c>
      <c r="I751" t="s">
        <v>44</v>
      </c>
      <c r="J751" t="s">
        <v>28</v>
      </c>
      <c r="K751" t="s">
        <v>23</v>
      </c>
      <c r="L751">
        <f>F750*G750*(1-H750)</f>
        <v>1138.0999999999999</v>
      </c>
    </row>
    <row r="752" spans="1:12">
      <c r="A752" t="s">
        <v>1269</v>
      </c>
      <c r="B752" s="1">
        <v>46099</v>
      </c>
      <c r="C752" t="s">
        <v>410</v>
      </c>
      <c r="D752" t="s">
        <v>78</v>
      </c>
      <c r="E752" t="s">
        <v>14</v>
      </c>
      <c r="F752">
        <v>1</v>
      </c>
      <c r="G752">
        <v>799</v>
      </c>
      <c r="H752">
        <v>0.05</v>
      </c>
      <c r="I752" t="s">
        <v>44</v>
      </c>
      <c r="J752" t="s">
        <v>22</v>
      </c>
      <c r="K752" t="s">
        <v>17</v>
      </c>
      <c r="L752">
        <f>F751*G751*(1-H751)</f>
        <v>1896.1999999999998</v>
      </c>
    </row>
    <row r="753" spans="1:12">
      <c r="A753" t="s">
        <v>1270</v>
      </c>
      <c r="B753" s="1">
        <v>46270</v>
      </c>
      <c r="C753" t="s">
        <v>406</v>
      </c>
      <c r="D753" t="s">
        <v>59</v>
      </c>
      <c r="E753" t="s">
        <v>21</v>
      </c>
      <c r="F753">
        <v>1</v>
      </c>
      <c r="G753">
        <v>499</v>
      </c>
      <c r="H753">
        <v>0.05</v>
      </c>
      <c r="I753" t="s">
        <v>50</v>
      </c>
      <c r="J753" t="s">
        <v>51</v>
      </c>
      <c r="K753" t="s">
        <v>17</v>
      </c>
      <c r="L753">
        <f>F752*G752*(1-H752)</f>
        <v>759.05</v>
      </c>
    </row>
    <row r="754" spans="1:12">
      <c r="A754" t="s">
        <v>1271</v>
      </c>
      <c r="B754" s="1">
        <v>46219</v>
      </c>
      <c r="C754" t="s">
        <v>1272</v>
      </c>
      <c r="D754" t="s">
        <v>26</v>
      </c>
      <c r="E754" t="s">
        <v>21</v>
      </c>
      <c r="F754">
        <v>3</v>
      </c>
      <c r="G754">
        <v>1299</v>
      </c>
      <c r="H754">
        <v>0.15</v>
      </c>
      <c r="I754" t="s">
        <v>44</v>
      </c>
      <c r="J754" t="s">
        <v>36</v>
      </c>
      <c r="K754" t="s">
        <v>17</v>
      </c>
      <c r="L754">
        <f>F753*G753*(1-H753)</f>
        <v>474.04999999999995</v>
      </c>
    </row>
    <row r="755" spans="1:12">
      <c r="A755" t="s">
        <v>1273</v>
      </c>
      <c r="B755" s="1">
        <v>46287</v>
      </c>
      <c r="C755" t="s">
        <v>597</v>
      </c>
      <c r="D755" t="s">
        <v>71</v>
      </c>
      <c r="E755" t="s">
        <v>27</v>
      </c>
      <c r="F755">
        <v>3</v>
      </c>
      <c r="G755">
        <v>4999</v>
      </c>
      <c r="H755">
        <v>0.15</v>
      </c>
      <c r="I755" t="s">
        <v>50</v>
      </c>
      <c r="J755" t="s">
        <v>16</v>
      </c>
      <c r="K755" t="s">
        <v>17</v>
      </c>
      <c r="L755">
        <f>F754*G754*(1-H754)</f>
        <v>3312.45</v>
      </c>
    </row>
    <row r="756" spans="1:12">
      <c r="A756" t="s">
        <v>1274</v>
      </c>
      <c r="B756" s="1">
        <v>46168</v>
      </c>
      <c r="C756" t="s">
        <v>308</v>
      </c>
      <c r="D756" t="s">
        <v>59</v>
      </c>
      <c r="E756" t="s">
        <v>27</v>
      </c>
      <c r="F756">
        <v>1</v>
      </c>
      <c r="G756">
        <v>499</v>
      </c>
      <c r="H756">
        <v>0.15</v>
      </c>
      <c r="I756" t="s">
        <v>32</v>
      </c>
      <c r="J756" t="s">
        <v>16</v>
      </c>
      <c r="K756" t="s">
        <v>17</v>
      </c>
      <c r="L756">
        <f>F755*G755*(1-H755)</f>
        <v>12747.449999999999</v>
      </c>
    </row>
    <row r="757" spans="1:12">
      <c r="A757" t="s">
        <v>1275</v>
      </c>
      <c r="B757" s="1">
        <v>46184</v>
      </c>
      <c r="C757" t="s">
        <v>1276</v>
      </c>
      <c r="D757" t="s">
        <v>78</v>
      </c>
      <c r="E757" t="s">
        <v>21</v>
      </c>
      <c r="F757">
        <v>1</v>
      </c>
      <c r="G757">
        <v>1999</v>
      </c>
      <c r="H757">
        <v>0.1</v>
      </c>
      <c r="I757" t="s">
        <v>15</v>
      </c>
      <c r="J757" t="s">
        <v>16</v>
      </c>
      <c r="K757" t="s">
        <v>23</v>
      </c>
      <c r="L757">
        <f>F756*G756*(1-H756)</f>
        <v>424.15</v>
      </c>
    </row>
    <row r="758" spans="1:12">
      <c r="A758" t="s">
        <v>1277</v>
      </c>
      <c r="B758" s="1">
        <v>46053</v>
      </c>
      <c r="C758" t="s">
        <v>1278</v>
      </c>
      <c r="D758" t="s">
        <v>71</v>
      </c>
      <c r="E758" t="s">
        <v>35</v>
      </c>
      <c r="F758">
        <v>1</v>
      </c>
      <c r="G758">
        <v>999</v>
      </c>
      <c r="H758">
        <v>0</v>
      </c>
      <c r="I758" t="s">
        <v>15</v>
      </c>
      <c r="J758" t="s">
        <v>36</v>
      </c>
      <c r="K758" t="s">
        <v>37</v>
      </c>
      <c r="L758">
        <f>F757*G757*(1-H757)</f>
        <v>1799.1000000000001</v>
      </c>
    </row>
    <row r="759" spans="1:12">
      <c r="A759" t="s">
        <v>1279</v>
      </c>
      <c r="B759" s="1">
        <v>46197</v>
      </c>
      <c r="C759" t="s">
        <v>1280</v>
      </c>
      <c r="D759" t="s">
        <v>62</v>
      </c>
      <c r="E759" t="s">
        <v>14</v>
      </c>
      <c r="F759">
        <v>1</v>
      </c>
      <c r="G759">
        <v>7999</v>
      </c>
      <c r="H759">
        <v>0.1</v>
      </c>
      <c r="I759" t="s">
        <v>15</v>
      </c>
      <c r="J759" t="s">
        <v>28</v>
      </c>
      <c r="K759" t="s">
        <v>17</v>
      </c>
      <c r="L759">
        <f>F758*G758*(1-H758)</f>
        <v>999</v>
      </c>
    </row>
    <row r="760" spans="1:12">
      <c r="A760" t="s">
        <v>1281</v>
      </c>
      <c r="B760" s="1">
        <v>46169</v>
      </c>
      <c r="C760" t="s">
        <v>462</v>
      </c>
      <c r="D760" t="s">
        <v>13</v>
      </c>
      <c r="E760" t="s">
        <v>14</v>
      </c>
      <c r="F760">
        <v>1</v>
      </c>
      <c r="G760">
        <v>1499</v>
      </c>
      <c r="H760">
        <v>0</v>
      </c>
      <c r="I760" t="s">
        <v>44</v>
      </c>
      <c r="J760" t="s">
        <v>36</v>
      </c>
      <c r="K760" t="s">
        <v>17</v>
      </c>
      <c r="L760">
        <f>F759*G759*(1-H759)</f>
        <v>7199.1</v>
      </c>
    </row>
    <row r="761" spans="1:12">
      <c r="A761" t="s">
        <v>1282</v>
      </c>
      <c r="B761" s="1">
        <v>46282</v>
      </c>
      <c r="C761" t="s">
        <v>921</v>
      </c>
      <c r="D761" t="s">
        <v>56</v>
      </c>
      <c r="E761" t="s">
        <v>14</v>
      </c>
      <c r="F761">
        <v>3</v>
      </c>
      <c r="G761">
        <v>1499</v>
      </c>
      <c r="H761">
        <v>0</v>
      </c>
      <c r="I761" t="s">
        <v>47</v>
      </c>
      <c r="J761" t="s">
        <v>51</v>
      </c>
      <c r="K761" t="s">
        <v>17</v>
      </c>
      <c r="L761">
        <f>F760*G760*(1-H760)</f>
        <v>1499</v>
      </c>
    </row>
    <row r="762" spans="1:12">
      <c r="A762" t="s">
        <v>1283</v>
      </c>
      <c r="B762" s="1">
        <v>46154</v>
      </c>
      <c r="C762" t="s">
        <v>269</v>
      </c>
      <c r="D762" t="s">
        <v>71</v>
      </c>
      <c r="E762" t="s">
        <v>40</v>
      </c>
      <c r="F762">
        <v>4</v>
      </c>
      <c r="G762">
        <v>1299</v>
      </c>
      <c r="H762">
        <v>0.1</v>
      </c>
      <c r="I762" t="s">
        <v>50</v>
      </c>
      <c r="J762" t="s">
        <v>51</v>
      </c>
      <c r="K762" t="s">
        <v>17</v>
      </c>
      <c r="L762">
        <f>F761*G761*(1-H761)</f>
        <v>4497</v>
      </c>
    </row>
    <row r="763" spans="1:12">
      <c r="A763" t="s">
        <v>1284</v>
      </c>
      <c r="B763" s="1">
        <v>46135</v>
      </c>
      <c r="C763" t="s">
        <v>121</v>
      </c>
      <c r="D763" t="s">
        <v>13</v>
      </c>
      <c r="E763" t="s">
        <v>14</v>
      </c>
      <c r="F763">
        <v>3</v>
      </c>
      <c r="G763">
        <v>1299</v>
      </c>
      <c r="H763">
        <v>0</v>
      </c>
      <c r="I763" t="s">
        <v>50</v>
      </c>
      <c r="J763" t="s">
        <v>22</v>
      </c>
      <c r="K763" t="s">
        <v>37</v>
      </c>
      <c r="L763">
        <f>F762*G762*(1-H762)</f>
        <v>4676.4000000000005</v>
      </c>
    </row>
    <row r="764" spans="1:12">
      <c r="A764" t="s">
        <v>1285</v>
      </c>
      <c r="B764" s="1">
        <v>46167</v>
      </c>
      <c r="C764" t="s">
        <v>1286</v>
      </c>
      <c r="D764" t="s">
        <v>78</v>
      </c>
      <c r="E764" t="s">
        <v>14</v>
      </c>
      <c r="F764">
        <v>2</v>
      </c>
      <c r="G764">
        <v>499</v>
      </c>
      <c r="H764">
        <v>0</v>
      </c>
      <c r="I764" t="s">
        <v>44</v>
      </c>
      <c r="J764" t="s">
        <v>51</v>
      </c>
      <c r="K764" t="s">
        <v>17</v>
      </c>
      <c r="L764">
        <f>F763*G763*(1-H763)</f>
        <v>3897</v>
      </c>
    </row>
    <row r="765" spans="1:12">
      <c r="A765" t="s">
        <v>1287</v>
      </c>
      <c r="B765" s="1">
        <v>46040</v>
      </c>
      <c r="C765" t="s">
        <v>1288</v>
      </c>
      <c r="D765" t="s">
        <v>43</v>
      </c>
      <c r="E765" t="s">
        <v>14</v>
      </c>
      <c r="F765">
        <v>4</v>
      </c>
      <c r="G765">
        <v>7999</v>
      </c>
      <c r="H765">
        <v>0</v>
      </c>
      <c r="I765" t="s">
        <v>50</v>
      </c>
      <c r="J765" t="s">
        <v>51</v>
      </c>
      <c r="K765" t="s">
        <v>17</v>
      </c>
      <c r="L765">
        <f>F764*G764*(1-H764)</f>
        <v>998</v>
      </c>
    </row>
    <row r="766" spans="1:12">
      <c r="A766" t="s">
        <v>1289</v>
      </c>
      <c r="B766" s="1">
        <v>46174</v>
      </c>
      <c r="C766" t="s">
        <v>504</v>
      </c>
      <c r="D766" t="s">
        <v>13</v>
      </c>
      <c r="E766" t="s">
        <v>27</v>
      </c>
      <c r="F766">
        <v>1</v>
      </c>
      <c r="G766">
        <v>499</v>
      </c>
      <c r="H766">
        <v>0.15</v>
      </c>
      <c r="I766" t="s">
        <v>44</v>
      </c>
      <c r="J766" t="s">
        <v>36</v>
      </c>
      <c r="K766" t="s">
        <v>17</v>
      </c>
      <c r="L766">
        <f>F765*G765*(1-H765)</f>
        <v>31996</v>
      </c>
    </row>
    <row r="767" spans="1:12">
      <c r="A767" t="s">
        <v>1290</v>
      </c>
      <c r="B767" s="1">
        <v>46164</v>
      </c>
      <c r="C767" t="s">
        <v>1291</v>
      </c>
      <c r="D767" t="s">
        <v>59</v>
      </c>
      <c r="E767" t="s">
        <v>14</v>
      </c>
      <c r="F767">
        <v>5</v>
      </c>
      <c r="G767">
        <v>7999</v>
      </c>
      <c r="H767">
        <v>0</v>
      </c>
      <c r="I767" t="s">
        <v>47</v>
      </c>
      <c r="J767" t="s">
        <v>28</v>
      </c>
      <c r="K767" t="s">
        <v>23</v>
      </c>
      <c r="L767">
        <f>F766*G766*(1-H766)</f>
        <v>424.15</v>
      </c>
    </row>
    <row r="768" spans="1:12">
      <c r="A768" t="s">
        <v>1292</v>
      </c>
      <c r="B768" s="1">
        <v>46211</v>
      </c>
      <c r="C768" t="s">
        <v>318</v>
      </c>
      <c r="D768" t="s">
        <v>31</v>
      </c>
      <c r="E768" t="s">
        <v>14</v>
      </c>
      <c r="F768">
        <v>4</v>
      </c>
      <c r="G768">
        <v>2499</v>
      </c>
      <c r="H768">
        <v>0</v>
      </c>
      <c r="I768" t="s">
        <v>50</v>
      </c>
      <c r="J768" t="s">
        <v>36</v>
      </c>
      <c r="K768" t="s">
        <v>17</v>
      </c>
      <c r="L768">
        <f>F767*G767*(1-H767)</f>
        <v>39995</v>
      </c>
    </row>
    <row r="769" spans="1:12">
      <c r="A769" t="s">
        <v>1293</v>
      </c>
      <c r="B769" s="1">
        <v>46073</v>
      </c>
      <c r="C769" t="s">
        <v>168</v>
      </c>
      <c r="D769" t="s">
        <v>31</v>
      </c>
      <c r="E769" t="s">
        <v>14</v>
      </c>
      <c r="F769">
        <v>1</v>
      </c>
      <c r="G769">
        <v>1299</v>
      </c>
      <c r="H769">
        <v>0.05</v>
      </c>
      <c r="I769" t="s">
        <v>47</v>
      </c>
      <c r="J769" t="s">
        <v>28</v>
      </c>
      <c r="K769" t="s">
        <v>23</v>
      </c>
      <c r="L769">
        <f>F768*G768*(1-H768)</f>
        <v>9996</v>
      </c>
    </row>
    <row r="770" spans="1:12">
      <c r="A770" t="s">
        <v>1294</v>
      </c>
      <c r="B770" s="1">
        <v>46166</v>
      </c>
      <c r="C770" t="s">
        <v>100</v>
      </c>
      <c r="D770" t="s">
        <v>78</v>
      </c>
      <c r="E770" t="s">
        <v>40</v>
      </c>
      <c r="F770">
        <v>2</v>
      </c>
      <c r="G770">
        <v>999</v>
      </c>
      <c r="H770">
        <v>0.15</v>
      </c>
      <c r="I770" t="s">
        <v>32</v>
      </c>
      <c r="J770" t="s">
        <v>36</v>
      </c>
      <c r="K770" t="s">
        <v>23</v>
      </c>
      <c r="L770">
        <f>F769*G769*(1-H769)</f>
        <v>1234.05</v>
      </c>
    </row>
    <row r="771" spans="1:12">
      <c r="A771" t="s">
        <v>1295</v>
      </c>
      <c r="B771" s="1">
        <v>46107</v>
      </c>
      <c r="C771" t="s">
        <v>993</v>
      </c>
      <c r="D771" t="s">
        <v>31</v>
      </c>
      <c r="E771" t="s">
        <v>40</v>
      </c>
      <c r="F771">
        <v>5</v>
      </c>
      <c r="G771">
        <v>1499</v>
      </c>
      <c r="H771">
        <v>0</v>
      </c>
      <c r="I771" t="s">
        <v>47</v>
      </c>
      <c r="J771" t="s">
        <v>16</v>
      </c>
      <c r="K771" t="s">
        <v>17</v>
      </c>
      <c r="L771">
        <f>F770*G770*(1-H770)</f>
        <v>1698.3</v>
      </c>
    </row>
    <row r="772" spans="1:12">
      <c r="A772" t="s">
        <v>1296</v>
      </c>
      <c r="B772" s="1">
        <v>46271</v>
      </c>
      <c r="C772" t="s">
        <v>1297</v>
      </c>
      <c r="D772" t="s">
        <v>71</v>
      </c>
      <c r="E772" t="s">
        <v>35</v>
      </c>
      <c r="F772">
        <v>1</v>
      </c>
      <c r="G772">
        <v>4999</v>
      </c>
      <c r="H772">
        <v>0.1</v>
      </c>
      <c r="I772" t="s">
        <v>44</v>
      </c>
      <c r="J772" t="s">
        <v>36</v>
      </c>
      <c r="K772" t="s">
        <v>37</v>
      </c>
      <c r="L772">
        <f>F771*G771*(1-H771)</f>
        <v>7495</v>
      </c>
    </row>
    <row r="773" spans="1:12">
      <c r="A773" t="s">
        <v>1298</v>
      </c>
      <c r="B773" s="1">
        <v>46052</v>
      </c>
      <c r="C773" t="s">
        <v>446</v>
      </c>
      <c r="D773" t="s">
        <v>59</v>
      </c>
      <c r="E773" t="s">
        <v>14</v>
      </c>
      <c r="F773">
        <v>5</v>
      </c>
      <c r="G773">
        <v>799</v>
      </c>
      <c r="H773">
        <v>0</v>
      </c>
      <c r="I773" t="s">
        <v>47</v>
      </c>
      <c r="J773" t="s">
        <v>16</v>
      </c>
      <c r="K773" t="s">
        <v>17</v>
      </c>
      <c r="L773">
        <f>F772*G772*(1-H772)</f>
        <v>4499.1000000000004</v>
      </c>
    </row>
    <row r="774" spans="1:12">
      <c r="A774" t="s">
        <v>1299</v>
      </c>
      <c r="B774" s="1">
        <v>46058</v>
      </c>
      <c r="C774" t="s">
        <v>982</v>
      </c>
      <c r="D774" t="s">
        <v>43</v>
      </c>
      <c r="E774" t="s">
        <v>21</v>
      </c>
      <c r="F774">
        <v>2</v>
      </c>
      <c r="G774">
        <v>1499</v>
      </c>
      <c r="H774">
        <v>0</v>
      </c>
      <c r="I774" t="s">
        <v>15</v>
      </c>
      <c r="J774" t="s">
        <v>16</v>
      </c>
      <c r="K774" t="s">
        <v>17</v>
      </c>
      <c r="L774">
        <f>F773*G773*(1-H773)</f>
        <v>3995</v>
      </c>
    </row>
    <row r="775" spans="1:12">
      <c r="A775" t="s">
        <v>1300</v>
      </c>
      <c r="B775" s="1">
        <v>46233</v>
      </c>
      <c r="C775" t="s">
        <v>434</v>
      </c>
      <c r="D775" t="s">
        <v>31</v>
      </c>
      <c r="E775" t="s">
        <v>35</v>
      </c>
      <c r="F775">
        <v>4</v>
      </c>
      <c r="G775">
        <v>1999</v>
      </c>
      <c r="H775">
        <v>0</v>
      </c>
      <c r="I775" t="s">
        <v>50</v>
      </c>
      <c r="J775" t="s">
        <v>36</v>
      </c>
      <c r="K775" t="s">
        <v>17</v>
      </c>
      <c r="L775">
        <f>F774*G774*(1-H774)</f>
        <v>2998</v>
      </c>
    </row>
    <row r="776" spans="1:12">
      <c r="A776" t="s">
        <v>1301</v>
      </c>
      <c r="B776" s="1">
        <v>46269</v>
      </c>
      <c r="C776" t="s">
        <v>1302</v>
      </c>
      <c r="D776" t="s">
        <v>31</v>
      </c>
      <c r="E776" t="s">
        <v>40</v>
      </c>
      <c r="F776">
        <v>4</v>
      </c>
      <c r="G776">
        <v>599</v>
      </c>
      <c r="H776">
        <v>0.15</v>
      </c>
      <c r="I776" t="s">
        <v>47</v>
      </c>
      <c r="J776" t="s">
        <v>36</v>
      </c>
      <c r="K776" t="s">
        <v>23</v>
      </c>
      <c r="L776">
        <f>F775*G775*(1-H775)</f>
        <v>7996</v>
      </c>
    </row>
    <row r="777" spans="1:12">
      <c r="A777" t="s">
        <v>1303</v>
      </c>
      <c r="B777" s="1">
        <v>46044</v>
      </c>
      <c r="C777" t="s">
        <v>952</v>
      </c>
      <c r="D777" t="s">
        <v>31</v>
      </c>
      <c r="E777" t="s">
        <v>14</v>
      </c>
      <c r="F777">
        <v>2</v>
      </c>
      <c r="G777">
        <v>799</v>
      </c>
      <c r="H777">
        <v>0.05</v>
      </c>
      <c r="I777" t="s">
        <v>32</v>
      </c>
      <c r="J777" t="s">
        <v>16</v>
      </c>
      <c r="K777" t="s">
        <v>17</v>
      </c>
      <c r="L777">
        <f>F776*G776*(1-H776)</f>
        <v>2036.6</v>
      </c>
    </row>
    <row r="778" spans="1:12">
      <c r="A778" t="s">
        <v>1304</v>
      </c>
      <c r="B778" s="1">
        <v>46146</v>
      </c>
      <c r="C778" t="s">
        <v>448</v>
      </c>
      <c r="D778" t="s">
        <v>78</v>
      </c>
      <c r="E778" t="s">
        <v>21</v>
      </c>
      <c r="F778">
        <v>5</v>
      </c>
      <c r="G778">
        <v>799</v>
      </c>
      <c r="H778">
        <v>0</v>
      </c>
      <c r="I778" t="s">
        <v>50</v>
      </c>
      <c r="J778" t="s">
        <v>36</v>
      </c>
      <c r="K778" t="s">
        <v>17</v>
      </c>
      <c r="L778">
        <f>F777*G777*(1-H777)</f>
        <v>1518.1</v>
      </c>
    </row>
    <row r="779" spans="1:12">
      <c r="A779" t="s">
        <v>1305</v>
      </c>
      <c r="B779" s="1">
        <v>46171</v>
      </c>
      <c r="C779" t="s">
        <v>1306</v>
      </c>
      <c r="D779" t="s">
        <v>31</v>
      </c>
      <c r="E779" t="s">
        <v>27</v>
      </c>
      <c r="F779">
        <v>2</v>
      </c>
      <c r="G779">
        <v>499</v>
      </c>
      <c r="H779">
        <v>0.05</v>
      </c>
      <c r="I779" t="s">
        <v>15</v>
      </c>
      <c r="J779" t="s">
        <v>16</v>
      </c>
      <c r="K779" t="s">
        <v>17</v>
      </c>
      <c r="L779">
        <f>F778*G778*(1-H778)</f>
        <v>3995</v>
      </c>
    </row>
    <row r="780" spans="1:12">
      <c r="A780" t="s">
        <v>1307</v>
      </c>
      <c r="B780" s="1">
        <v>46046</v>
      </c>
      <c r="C780" t="s">
        <v>1085</v>
      </c>
      <c r="D780" t="s">
        <v>20</v>
      </c>
      <c r="E780" t="s">
        <v>21</v>
      </c>
      <c r="F780">
        <v>1</v>
      </c>
      <c r="G780">
        <v>1299</v>
      </c>
      <c r="H780">
        <v>0</v>
      </c>
      <c r="I780" t="s">
        <v>15</v>
      </c>
      <c r="J780" t="s">
        <v>36</v>
      </c>
      <c r="K780" t="s">
        <v>17</v>
      </c>
      <c r="L780">
        <f>F779*G779*(1-H779)</f>
        <v>948.09999999999991</v>
      </c>
    </row>
    <row r="781" spans="1:12">
      <c r="A781" t="s">
        <v>1308</v>
      </c>
      <c r="B781" s="1">
        <v>46256</v>
      </c>
      <c r="C781" t="s">
        <v>209</v>
      </c>
      <c r="D781" t="s">
        <v>13</v>
      </c>
      <c r="E781" t="s">
        <v>27</v>
      </c>
      <c r="F781">
        <v>3</v>
      </c>
      <c r="G781">
        <v>1999</v>
      </c>
      <c r="H781">
        <v>0</v>
      </c>
      <c r="I781" t="s">
        <v>47</v>
      </c>
      <c r="J781" t="s">
        <v>22</v>
      </c>
      <c r="K781" t="s">
        <v>17</v>
      </c>
      <c r="L781">
        <f>F780*G780*(1-H780)</f>
        <v>1299</v>
      </c>
    </row>
    <row r="782" spans="1:12">
      <c r="A782" t="s">
        <v>1309</v>
      </c>
      <c r="B782" s="1">
        <v>46062</v>
      </c>
      <c r="C782" t="s">
        <v>1196</v>
      </c>
      <c r="D782" t="s">
        <v>43</v>
      </c>
      <c r="E782" t="s">
        <v>27</v>
      </c>
      <c r="F782">
        <v>5</v>
      </c>
      <c r="G782">
        <v>7999</v>
      </c>
      <c r="H782">
        <v>0</v>
      </c>
      <c r="I782" t="s">
        <v>47</v>
      </c>
      <c r="J782" t="s">
        <v>51</v>
      </c>
      <c r="K782" t="s">
        <v>17</v>
      </c>
      <c r="L782">
        <f>F781*G781*(1-H781)</f>
        <v>5997</v>
      </c>
    </row>
    <row r="783" spans="1:12">
      <c r="A783" t="s">
        <v>1310</v>
      </c>
      <c r="B783" s="1">
        <v>46055</v>
      </c>
      <c r="C783" t="s">
        <v>1188</v>
      </c>
      <c r="D783" t="s">
        <v>43</v>
      </c>
      <c r="E783" t="s">
        <v>21</v>
      </c>
      <c r="F783">
        <v>4</v>
      </c>
      <c r="G783">
        <v>7999</v>
      </c>
      <c r="H783">
        <v>0.15</v>
      </c>
      <c r="I783" t="s">
        <v>15</v>
      </c>
      <c r="J783" t="s">
        <v>28</v>
      </c>
      <c r="K783" t="s">
        <v>17</v>
      </c>
      <c r="L783">
        <f>F782*G782*(1-H782)</f>
        <v>39995</v>
      </c>
    </row>
    <row r="784" spans="1:12">
      <c r="A784" t="s">
        <v>1311</v>
      </c>
      <c r="B784" s="1">
        <v>46070</v>
      </c>
      <c r="C784" t="s">
        <v>736</v>
      </c>
      <c r="D784" t="s">
        <v>31</v>
      </c>
      <c r="E784" t="s">
        <v>27</v>
      </c>
      <c r="F784">
        <v>2</v>
      </c>
      <c r="G784">
        <v>7999</v>
      </c>
      <c r="H784">
        <v>0.1</v>
      </c>
      <c r="I784" t="s">
        <v>32</v>
      </c>
      <c r="J784" t="s">
        <v>22</v>
      </c>
      <c r="K784" t="s">
        <v>23</v>
      </c>
      <c r="L784">
        <f>F783*G783*(1-H783)</f>
        <v>27196.6</v>
      </c>
    </row>
    <row r="785" spans="1:12">
      <c r="A785" t="s">
        <v>1312</v>
      </c>
      <c r="B785" s="1">
        <v>46232</v>
      </c>
      <c r="C785" t="s">
        <v>683</v>
      </c>
      <c r="D785" t="s">
        <v>13</v>
      </c>
      <c r="E785" t="s">
        <v>27</v>
      </c>
      <c r="F785">
        <v>5</v>
      </c>
      <c r="G785">
        <v>799</v>
      </c>
      <c r="H785">
        <v>0.15</v>
      </c>
      <c r="I785" t="s">
        <v>44</v>
      </c>
      <c r="J785" t="s">
        <v>16</v>
      </c>
      <c r="K785" t="s">
        <v>23</v>
      </c>
      <c r="L785">
        <f>F784*G784*(1-H784)</f>
        <v>14398.2</v>
      </c>
    </row>
    <row r="786" spans="1:12">
      <c r="A786" t="s">
        <v>1313</v>
      </c>
      <c r="B786" s="1">
        <v>46140</v>
      </c>
      <c r="C786" t="s">
        <v>893</v>
      </c>
      <c r="D786" t="s">
        <v>13</v>
      </c>
      <c r="E786" t="s">
        <v>35</v>
      </c>
      <c r="F786">
        <v>5</v>
      </c>
      <c r="G786">
        <v>1299</v>
      </c>
      <c r="H786">
        <v>0</v>
      </c>
      <c r="I786" t="s">
        <v>32</v>
      </c>
      <c r="J786" t="s">
        <v>16</v>
      </c>
      <c r="K786" t="s">
        <v>37</v>
      </c>
      <c r="L786">
        <f>F785*G785*(1-H785)</f>
        <v>3395.75</v>
      </c>
    </row>
    <row r="787" spans="1:12">
      <c r="A787" t="s">
        <v>1314</v>
      </c>
      <c r="B787" s="1">
        <v>46067</v>
      </c>
      <c r="C787" t="s">
        <v>736</v>
      </c>
      <c r="D787" t="s">
        <v>78</v>
      </c>
      <c r="E787" t="s">
        <v>27</v>
      </c>
      <c r="F787">
        <v>3</v>
      </c>
      <c r="G787">
        <v>1999</v>
      </c>
      <c r="H787">
        <v>0.05</v>
      </c>
      <c r="I787" t="s">
        <v>44</v>
      </c>
      <c r="J787" t="s">
        <v>28</v>
      </c>
      <c r="K787" t="s">
        <v>17</v>
      </c>
      <c r="L787">
        <f>F786*G786*(1-H786)</f>
        <v>6495</v>
      </c>
    </row>
    <row r="788" spans="1:12">
      <c r="A788" t="s">
        <v>1315</v>
      </c>
      <c r="B788" s="1">
        <v>46202</v>
      </c>
      <c r="C788" t="s">
        <v>1316</v>
      </c>
      <c r="D788" t="s">
        <v>56</v>
      </c>
      <c r="E788" t="s">
        <v>35</v>
      </c>
      <c r="F788">
        <v>3</v>
      </c>
      <c r="G788">
        <v>1299</v>
      </c>
      <c r="H788">
        <v>0</v>
      </c>
      <c r="I788" t="s">
        <v>44</v>
      </c>
      <c r="J788" t="s">
        <v>22</v>
      </c>
      <c r="K788" t="s">
        <v>37</v>
      </c>
      <c r="L788">
        <f>F787*G787*(1-H787)</f>
        <v>5697.15</v>
      </c>
    </row>
    <row r="789" spans="1:12">
      <c r="A789" t="s">
        <v>1317</v>
      </c>
      <c r="B789" s="1">
        <v>46145</v>
      </c>
      <c r="C789" t="s">
        <v>1318</v>
      </c>
      <c r="D789" t="s">
        <v>71</v>
      </c>
      <c r="E789" t="s">
        <v>40</v>
      </c>
      <c r="F789">
        <v>1</v>
      </c>
      <c r="G789">
        <v>599</v>
      </c>
      <c r="H789">
        <v>0</v>
      </c>
      <c r="I789" t="s">
        <v>44</v>
      </c>
      <c r="J789" t="s">
        <v>51</v>
      </c>
      <c r="K789" t="s">
        <v>17</v>
      </c>
      <c r="L789">
        <f>F788*G788*(1-H788)</f>
        <v>3897</v>
      </c>
    </row>
    <row r="790" spans="1:12">
      <c r="A790" t="s">
        <v>1319</v>
      </c>
      <c r="B790" s="1">
        <v>46132</v>
      </c>
      <c r="C790" t="s">
        <v>1320</v>
      </c>
      <c r="D790" t="s">
        <v>26</v>
      </c>
      <c r="E790" t="s">
        <v>21</v>
      </c>
      <c r="F790">
        <v>5</v>
      </c>
      <c r="G790">
        <v>7999</v>
      </c>
      <c r="H790">
        <v>0.05</v>
      </c>
      <c r="I790" t="s">
        <v>50</v>
      </c>
      <c r="J790" t="s">
        <v>22</v>
      </c>
      <c r="K790" t="s">
        <v>17</v>
      </c>
      <c r="L790">
        <f>F789*G789*(1-H789)</f>
        <v>599</v>
      </c>
    </row>
    <row r="791" spans="1:12">
      <c r="A791" t="s">
        <v>1321</v>
      </c>
      <c r="B791" s="1">
        <v>46224</v>
      </c>
      <c r="C791" t="s">
        <v>30</v>
      </c>
      <c r="D791" t="s">
        <v>31</v>
      </c>
      <c r="E791" t="s">
        <v>40</v>
      </c>
      <c r="F791">
        <v>5</v>
      </c>
      <c r="G791">
        <v>599</v>
      </c>
      <c r="H791">
        <v>0</v>
      </c>
      <c r="I791" t="s">
        <v>44</v>
      </c>
      <c r="J791" t="s">
        <v>28</v>
      </c>
      <c r="K791" t="s">
        <v>17</v>
      </c>
      <c r="L791">
        <f>F790*G790*(1-H790)</f>
        <v>37995.25</v>
      </c>
    </row>
    <row r="792" spans="1:12">
      <c r="A792" t="s">
        <v>1322</v>
      </c>
      <c r="B792" s="1">
        <v>46218</v>
      </c>
      <c r="C792" t="s">
        <v>239</v>
      </c>
      <c r="D792" t="s">
        <v>59</v>
      </c>
      <c r="E792" t="s">
        <v>21</v>
      </c>
      <c r="F792">
        <v>2</v>
      </c>
      <c r="G792">
        <v>999</v>
      </c>
      <c r="H792">
        <v>0</v>
      </c>
      <c r="I792" t="s">
        <v>32</v>
      </c>
      <c r="J792" t="s">
        <v>28</v>
      </c>
      <c r="K792" t="s">
        <v>17</v>
      </c>
      <c r="L792">
        <f>F791*G791*(1-H791)</f>
        <v>2995</v>
      </c>
    </row>
    <row r="793" spans="1:12">
      <c r="A793" t="s">
        <v>1323</v>
      </c>
      <c r="B793" s="1">
        <v>46234</v>
      </c>
      <c r="C793" t="s">
        <v>1324</v>
      </c>
      <c r="D793" t="s">
        <v>13</v>
      </c>
      <c r="E793" t="s">
        <v>14</v>
      </c>
      <c r="F793">
        <v>3</v>
      </c>
      <c r="G793">
        <v>2499</v>
      </c>
      <c r="H793">
        <v>0.15</v>
      </c>
      <c r="I793" t="s">
        <v>15</v>
      </c>
      <c r="J793" t="s">
        <v>51</v>
      </c>
      <c r="K793" t="s">
        <v>17</v>
      </c>
      <c r="L793">
        <f>F792*G792*(1-H792)</f>
        <v>1998</v>
      </c>
    </row>
    <row r="794" spans="1:12">
      <c r="A794" t="s">
        <v>1325</v>
      </c>
      <c r="B794" s="1">
        <v>46125</v>
      </c>
      <c r="C794" t="s">
        <v>1326</v>
      </c>
      <c r="D794" t="s">
        <v>43</v>
      </c>
      <c r="E794" t="s">
        <v>35</v>
      </c>
      <c r="F794">
        <v>5</v>
      </c>
      <c r="G794">
        <v>499</v>
      </c>
      <c r="H794">
        <v>0.1</v>
      </c>
      <c r="I794" t="s">
        <v>15</v>
      </c>
      <c r="J794" t="s">
        <v>28</v>
      </c>
      <c r="K794" t="s">
        <v>17</v>
      </c>
      <c r="L794">
        <f>F793*G793*(1-H793)</f>
        <v>6372.45</v>
      </c>
    </row>
    <row r="795" spans="1:12">
      <c r="A795" t="s">
        <v>1327</v>
      </c>
      <c r="B795" s="1">
        <v>46033</v>
      </c>
      <c r="C795" t="s">
        <v>259</v>
      </c>
      <c r="D795" t="s">
        <v>26</v>
      </c>
      <c r="E795" t="s">
        <v>40</v>
      </c>
      <c r="F795">
        <v>4</v>
      </c>
      <c r="G795">
        <v>1299</v>
      </c>
      <c r="H795">
        <v>0.15</v>
      </c>
      <c r="I795" t="s">
        <v>44</v>
      </c>
      <c r="J795" t="s">
        <v>51</v>
      </c>
      <c r="K795" t="s">
        <v>17</v>
      </c>
      <c r="L795">
        <f>F794*G794*(1-H794)</f>
        <v>2245.5</v>
      </c>
    </row>
    <row r="796" spans="1:12">
      <c r="A796" t="s">
        <v>1328</v>
      </c>
      <c r="B796" s="1">
        <v>46206</v>
      </c>
      <c r="C796" t="s">
        <v>308</v>
      </c>
      <c r="D796" t="s">
        <v>71</v>
      </c>
      <c r="E796" t="s">
        <v>35</v>
      </c>
      <c r="F796">
        <v>5</v>
      </c>
      <c r="G796">
        <v>7999</v>
      </c>
      <c r="H796">
        <v>0.15</v>
      </c>
      <c r="I796" t="s">
        <v>44</v>
      </c>
      <c r="J796" t="s">
        <v>51</v>
      </c>
      <c r="K796" t="s">
        <v>37</v>
      </c>
      <c r="L796">
        <f>F795*G795*(1-H795)</f>
        <v>4416.5999999999995</v>
      </c>
    </row>
    <row r="797" spans="1:12">
      <c r="A797" t="s">
        <v>1329</v>
      </c>
      <c r="B797" s="1">
        <v>46023</v>
      </c>
      <c r="C797" t="s">
        <v>560</v>
      </c>
      <c r="D797" t="s">
        <v>78</v>
      </c>
      <c r="E797" t="s">
        <v>40</v>
      </c>
      <c r="F797">
        <v>4</v>
      </c>
      <c r="G797">
        <v>2499</v>
      </c>
      <c r="H797">
        <v>0</v>
      </c>
      <c r="I797" t="s">
        <v>15</v>
      </c>
      <c r="J797" t="s">
        <v>22</v>
      </c>
      <c r="K797" t="s">
        <v>23</v>
      </c>
      <c r="L797">
        <f>F796*G796*(1-H796)</f>
        <v>33995.75</v>
      </c>
    </row>
    <row r="798" spans="1:12">
      <c r="A798" t="s">
        <v>1330</v>
      </c>
      <c r="B798" s="1">
        <v>46217</v>
      </c>
      <c r="C798" t="s">
        <v>857</v>
      </c>
      <c r="D798" t="s">
        <v>26</v>
      </c>
      <c r="E798" t="s">
        <v>35</v>
      </c>
      <c r="F798">
        <v>2</v>
      </c>
      <c r="G798">
        <v>1999</v>
      </c>
      <c r="H798">
        <v>0.1</v>
      </c>
      <c r="I798" t="s">
        <v>50</v>
      </c>
      <c r="J798" t="s">
        <v>51</v>
      </c>
      <c r="K798" t="s">
        <v>17</v>
      </c>
      <c r="L798">
        <f>F797*G797*(1-H797)</f>
        <v>9996</v>
      </c>
    </row>
    <row r="799" spans="1:12">
      <c r="A799" t="s">
        <v>1331</v>
      </c>
      <c r="B799" s="1">
        <v>46049</v>
      </c>
      <c r="C799" t="s">
        <v>597</v>
      </c>
      <c r="D799" t="s">
        <v>59</v>
      </c>
      <c r="E799" t="s">
        <v>35</v>
      </c>
      <c r="F799">
        <v>5</v>
      </c>
      <c r="G799">
        <v>1999</v>
      </c>
      <c r="H799">
        <v>0.05</v>
      </c>
      <c r="I799" t="s">
        <v>15</v>
      </c>
      <c r="J799" t="s">
        <v>28</v>
      </c>
      <c r="K799" t="s">
        <v>17</v>
      </c>
      <c r="L799">
        <f>F798*G798*(1-H798)</f>
        <v>3598.2000000000003</v>
      </c>
    </row>
    <row r="800" spans="1:12">
      <c r="A800" t="s">
        <v>1332</v>
      </c>
      <c r="B800" s="1">
        <v>46221</v>
      </c>
      <c r="C800" t="s">
        <v>1333</v>
      </c>
      <c r="D800" t="s">
        <v>43</v>
      </c>
      <c r="E800" t="s">
        <v>27</v>
      </c>
      <c r="F800">
        <v>1</v>
      </c>
      <c r="G800">
        <v>7999</v>
      </c>
      <c r="H800">
        <v>0</v>
      </c>
      <c r="I800" t="s">
        <v>47</v>
      </c>
      <c r="J800" t="s">
        <v>51</v>
      </c>
      <c r="K800" t="s">
        <v>37</v>
      </c>
      <c r="L800">
        <f>F799*G799*(1-H799)</f>
        <v>9495.25</v>
      </c>
    </row>
    <row r="801" spans="1:12">
      <c r="A801" t="s">
        <v>1334</v>
      </c>
      <c r="B801" s="1">
        <v>46292</v>
      </c>
      <c r="C801" t="s">
        <v>481</v>
      </c>
      <c r="D801" t="s">
        <v>43</v>
      </c>
      <c r="E801" t="s">
        <v>21</v>
      </c>
      <c r="F801">
        <v>1</v>
      </c>
      <c r="G801">
        <v>4999</v>
      </c>
      <c r="H801">
        <v>0</v>
      </c>
      <c r="I801" t="s">
        <v>44</v>
      </c>
      <c r="J801" t="s">
        <v>36</v>
      </c>
      <c r="K801" t="s">
        <v>17</v>
      </c>
      <c r="L801">
        <f>F800*G800*(1-H800)</f>
        <v>7999</v>
      </c>
    </row>
    <row r="802" spans="1:12">
      <c r="A802" t="s">
        <v>1335</v>
      </c>
      <c r="B802" s="1">
        <v>46031</v>
      </c>
      <c r="C802" t="s">
        <v>304</v>
      </c>
      <c r="D802" t="s">
        <v>71</v>
      </c>
      <c r="E802" t="s">
        <v>27</v>
      </c>
      <c r="F802">
        <v>5</v>
      </c>
      <c r="G802">
        <v>599</v>
      </c>
      <c r="H802">
        <v>0.1</v>
      </c>
      <c r="I802" t="s">
        <v>32</v>
      </c>
      <c r="J802" t="s">
        <v>51</v>
      </c>
      <c r="K802" t="s">
        <v>17</v>
      </c>
      <c r="L802">
        <f>F801*G801*(1-H801)</f>
        <v>4999</v>
      </c>
    </row>
    <row r="803" spans="1:12">
      <c r="A803" t="s">
        <v>1336</v>
      </c>
      <c r="B803" s="1">
        <v>46132</v>
      </c>
      <c r="C803" t="s">
        <v>615</v>
      </c>
      <c r="D803" t="s">
        <v>43</v>
      </c>
      <c r="E803" t="s">
        <v>40</v>
      </c>
      <c r="F803">
        <v>4</v>
      </c>
      <c r="G803">
        <v>499</v>
      </c>
      <c r="H803">
        <v>0</v>
      </c>
      <c r="I803" t="s">
        <v>47</v>
      </c>
      <c r="J803" t="s">
        <v>36</v>
      </c>
      <c r="K803" t="s">
        <v>23</v>
      </c>
      <c r="L803">
        <f>F802*G802*(1-H802)</f>
        <v>2695.5</v>
      </c>
    </row>
    <row r="804" spans="1:12">
      <c r="A804" t="s">
        <v>1337</v>
      </c>
      <c r="B804" s="1">
        <v>46061</v>
      </c>
      <c r="C804" t="s">
        <v>602</v>
      </c>
      <c r="D804" t="s">
        <v>13</v>
      </c>
      <c r="E804" t="s">
        <v>40</v>
      </c>
      <c r="F804">
        <v>3</v>
      </c>
      <c r="G804">
        <v>999</v>
      </c>
      <c r="H804">
        <v>0</v>
      </c>
      <c r="I804" t="s">
        <v>32</v>
      </c>
      <c r="J804" t="s">
        <v>22</v>
      </c>
      <c r="K804" t="s">
        <v>17</v>
      </c>
      <c r="L804">
        <f>F803*G803*(1-H803)</f>
        <v>1996</v>
      </c>
    </row>
    <row r="805" spans="1:12">
      <c r="A805" t="s">
        <v>1338</v>
      </c>
      <c r="B805" s="1">
        <v>46067</v>
      </c>
      <c r="C805" t="s">
        <v>1196</v>
      </c>
      <c r="D805" t="s">
        <v>20</v>
      </c>
      <c r="E805" t="s">
        <v>40</v>
      </c>
      <c r="F805">
        <v>5</v>
      </c>
      <c r="G805">
        <v>7999</v>
      </c>
      <c r="H805">
        <v>0.15</v>
      </c>
      <c r="I805" t="s">
        <v>44</v>
      </c>
      <c r="J805" t="s">
        <v>51</v>
      </c>
      <c r="K805" t="s">
        <v>17</v>
      </c>
      <c r="L805">
        <f>F804*G804*(1-H804)</f>
        <v>2997</v>
      </c>
    </row>
    <row r="806" spans="1:12">
      <c r="A806" t="s">
        <v>1339</v>
      </c>
      <c r="B806" s="1">
        <v>46136</v>
      </c>
      <c r="C806" t="s">
        <v>1340</v>
      </c>
      <c r="D806" t="s">
        <v>43</v>
      </c>
      <c r="E806" t="s">
        <v>40</v>
      </c>
      <c r="F806">
        <v>2</v>
      </c>
      <c r="G806">
        <v>799</v>
      </c>
      <c r="H806">
        <v>0</v>
      </c>
      <c r="I806" t="s">
        <v>15</v>
      </c>
      <c r="J806" t="s">
        <v>36</v>
      </c>
      <c r="K806" t="s">
        <v>37</v>
      </c>
      <c r="L806">
        <f>F805*G805*(1-H805)</f>
        <v>33995.75</v>
      </c>
    </row>
    <row r="807" spans="1:12">
      <c r="A807" t="s">
        <v>1341</v>
      </c>
      <c r="B807" s="1">
        <v>46073</v>
      </c>
      <c r="C807" t="s">
        <v>86</v>
      </c>
      <c r="D807" t="s">
        <v>26</v>
      </c>
      <c r="E807" t="s">
        <v>27</v>
      </c>
      <c r="F807">
        <v>3</v>
      </c>
      <c r="G807">
        <v>1999</v>
      </c>
      <c r="H807">
        <v>0</v>
      </c>
      <c r="I807" t="s">
        <v>47</v>
      </c>
      <c r="J807" t="s">
        <v>28</v>
      </c>
      <c r="K807" t="s">
        <v>17</v>
      </c>
      <c r="L807">
        <f>F806*G806*(1-H806)</f>
        <v>1598</v>
      </c>
    </row>
    <row r="808" spans="1:12">
      <c r="A808" t="s">
        <v>1342</v>
      </c>
      <c r="B808" s="1">
        <v>46264</v>
      </c>
      <c r="C808" t="s">
        <v>751</v>
      </c>
      <c r="D808" t="s">
        <v>78</v>
      </c>
      <c r="E808" t="s">
        <v>40</v>
      </c>
      <c r="F808">
        <v>1</v>
      </c>
      <c r="G808">
        <v>7999</v>
      </c>
      <c r="H808">
        <v>0</v>
      </c>
      <c r="I808" t="s">
        <v>47</v>
      </c>
      <c r="J808" t="s">
        <v>28</v>
      </c>
      <c r="K808" t="s">
        <v>37</v>
      </c>
      <c r="L808">
        <f>F807*G807*(1-H807)</f>
        <v>5997</v>
      </c>
    </row>
    <row r="809" spans="1:12">
      <c r="A809" t="s">
        <v>1343</v>
      </c>
      <c r="B809" s="1">
        <v>46166</v>
      </c>
      <c r="C809" t="s">
        <v>1344</v>
      </c>
      <c r="D809" t="s">
        <v>59</v>
      </c>
      <c r="E809" t="s">
        <v>40</v>
      </c>
      <c r="F809">
        <v>5</v>
      </c>
      <c r="G809">
        <v>2499</v>
      </c>
      <c r="H809">
        <v>0.1</v>
      </c>
      <c r="I809" t="s">
        <v>15</v>
      </c>
      <c r="J809" t="s">
        <v>51</v>
      </c>
      <c r="K809" t="s">
        <v>37</v>
      </c>
      <c r="L809">
        <f>F808*G808*(1-H808)</f>
        <v>7999</v>
      </c>
    </row>
    <row r="810" spans="1:12">
      <c r="A810" t="s">
        <v>1345</v>
      </c>
      <c r="B810" s="1">
        <v>46261</v>
      </c>
      <c r="C810" t="s">
        <v>394</v>
      </c>
      <c r="D810" t="s">
        <v>31</v>
      </c>
      <c r="E810" t="s">
        <v>27</v>
      </c>
      <c r="F810">
        <v>3</v>
      </c>
      <c r="G810">
        <v>799</v>
      </c>
      <c r="H810">
        <v>0</v>
      </c>
      <c r="I810" t="s">
        <v>44</v>
      </c>
      <c r="J810" t="s">
        <v>51</v>
      </c>
      <c r="K810" t="s">
        <v>17</v>
      </c>
      <c r="L810">
        <f>F809*G809*(1-H809)</f>
        <v>11245.5</v>
      </c>
    </row>
    <row r="811" spans="1:12">
      <c r="A811" t="s">
        <v>1346</v>
      </c>
      <c r="B811" s="1">
        <v>46063</v>
      </c>
      <c r="C811" t="s">
        <v>1347</v>
      </c>
      <c r="D811" t="s">
        <v>78</v>
      </c>
      <c r="E811" t="s">
        <v>27</v>
      </c>
      <c r="F811">
        <v>2</v>
      </c>
      <c r="G811">
        <v>1499</v>
      </c>
      <c r="H811">
        <v>0.1</v>
      </c>
      <c r="I811" t="s">
        <v>44</v>
      </c>
      <c r="J811" t="s">
        <v>16</v>
      </c>
      <c r="K811" t="s">
        <v>17</v>
      </c>
      <c r="L811">
        <f>F810*G810*(1-H810)</f>
        <v>2397</v>
      </c>
    </row>
    <row r="812" spans="1:12">
      <c r="A812" t="s">
        <v>1348</v>
      </c>
      <c r="B812" s="1">
        <v>46145</v>
      </c>
      <c r="C812" t="s">
        <v>1349</v>
      </c>
      <c r="D812" t="s">
        <v>78</v>
      </c>
      <c r="E812" t="s">
        <v>27</v>
      </c>
      <c r="F812">
        <v>5</v>
      </c>
      <c r="G812">
        <v>499</v>
      </c>
      <c r="H812">
        <v>0</v>
      </c>
      <c r="I812" t="s">
        <v>50</v>
      </c>
      <c r="J812" t="s">
        <v>22</v>
      </c>
      <c r="K812" t="s">
        <v>17</v>
      </c>
      <c r="L812">
        <f>F811*G811*(1-H811)</f>
        <v>2698.2000000000003</v>
      </c>
    </row>
    <row r="813" spans="1:12">
      <c r="A813" t="s">
        <v>1350</v>
      </c>
      <c r="B813" s="1">
        <v>46252</v>
      </c>
      <c r="C813" t="s">
        <v>1351</v>
      </c>
      <c r="D813" t="s">
        <v>26</v>
      </c>
      <c r="E813" t="s">
        <v>27</v>
      </c>
      <c r="F813">
        <v>5</v>
      </c>
      <c r="G813">
        <v>599</v>
      </c>
      <c r="H813">
        <v>0.05</v>
      </c>
      <c r="I813" t="s">
        <v>44</v>
      </c>
      <c r="J813" t="s">
        <v>36</v>
      </c>
      <c r="K813" t="s">
        <v>37</v>
      </c>
      <c r="L813">
        <f>F812*G812*(1-H812)</f>
        <v>2495</v>
      </c>
    </row>
    <row r="814" spans="1:12">
      <c r="A814" t="s">
        <v>1352</v>
      </c>
      <c r="B814" s="1">
        <v>46110</v>
      </c>
      <c r="C814" t="s">
        <v>1353</v>
      </c>
      <c r="D814" t="s">
        <v>43</v>
      </c>
      <c r="E814" t="s">
        <v>21</v>
      </c>
      <c r="F814">
        <v>1</v>
      </c>
      <c r="G814">
        <v>1499</v>
      </c>
      <c r="H814">
        <v>0.1</v>
      </c>
      <c r="I814" t="s">
        <v>15</v>
      </c>
      <c r="J814" t="s">
        <v>16</v>
      </c>
      <c r="K814" t="s">
        <v>37</v>
      </c>
      <c r="L814">
        <f>F813*G813*(1-H813)</f>
        <v>2845.25</v>
      </c>
    </row>
    <row r="815" spans="1:12">
      <c r="A815" t="s">
        <v>1354</v>
      </c>
      <c r="B815" s="1">
        <v>46266</v>
      </c>
      <c r="C815" t="s">
        <v>1355</v>
      </c>
      <c r="D815" t="s">
        <v>31</v>
      </c>
      <c r="E815" t="s">
        <v>40</v>
      </c>
      <c r="F815">
        <v>5</v>
      </c>
      <c r="G815">
        <v>599</v>
      </c>
      <c r="H815">
        <v>0.15</v>
      </c>
      <c r="I815" t="s">
        <v>32</v>
      </c>
      <c r="J815" t="s">
        <v>36</v>
      </c>
      <c r="K815" t="s">
        <v>23</v>
      </c>
      <c r="L815">
        <f>F814*G814*(1-H814)</f>
        <v>1349.1000000000001</v>
      </c>
    </row>
    <row r="816" spans="1:12">
      <c r="A816" t="s">
        <v>1356</v>
      </c>
      <c r="B816" s="1">
        <v>46121</v>
      </c>
      <c r="C816" t="s">
        <v>1357</v>
      </c>
      <c r="D816" t="s">
        <v>26</v>
      </c>
      <c r="E816" t="s">
        <v>40</v>
      </c>
      <c r="F816">
        <v>5</v>
      </c>
      <c r="G816">
        <v>799</v>
      </c>
      <c r="H816">
        <v>0</v>
      </c>
      <c r="I816" t="s">
        <v>50</v>
      </c>
      <c r="J816" t="s">
        <v>51</v>
      </c>
      <c r="K816" t="s">
        <v>17</v>
      </c>
      <c r="L816">
        <f>F815*G815*(1-H815)</f>
        <v>2545.75</v>
      </c>
    </row>
    <row r="817" spans="1:12">
      <c r="A817" t="s">
        <v>1358</v>
      </c>
      <c r="B817" s="1">
        <v>46139</v>
      </c>
      <c r="C817" t="s">
        <v>1359</v>
      </c>
      <c r="D817" t="s">
        <v>78</v>
      </c>
      <c r="E817" t="s">
        <v>27</v>
      </c>
      <c r="F817">
        <v>3</v>
      </c>
      <c r="G817">
        <v>1499</v>
      </c>
      <c r="H817">
        <v>0</v>
      </c>
      <c r="I817" t="s">
        <v>44</v>
      </c>
      <c r="J817" t="s">
        <v>36</v>
      </c>
      <c r="K817" t="s">
        <v>17</v>
      </c>
      <c r="L817">
        <f>F816*G816*(1-H816)</f>
        <v>3995</v>
      </c>
    </row>
    <row r="818" spans="1:12">
      <c r="A818" t="s">
        <v>1360</v>
      </c>
      <c r="B818" s="1">
        <v>46131</v>
      </c>
      <c r="C818" t="s">
        <v>1156</v>
      </c>
      <c r="D818" t="s">
        <v>78</v>
      </c>
      <c r="E818" t="s">
        <v>27</v>
      </c>
      <c r="F818">
        <v>3</v>
      </c>
      <c r="G818">
        <v>799</v>
      </c>
      <c r="H818">
        <v>0.15</v>
      </c>
      <c r="I818" t="s">
        <v>32</v>
      </c>
      <c r="J818" t="s">
        <v>28</v>
      </c>
      <c r="K818" t="s">
        <v>17</v>
      </c>
      <c r="L818">
        <f>F817*G817*(1-H817)</f>
        <v>4497</v>
      </c>
    </row>
    <row r="819" spans="1:12">
      <c r="A819" t="s">
        <v>1361</v>
      </c>
      <c r="B819" s="1">
        <v>46048</v>
      </c>
      <c r="C819" t="s">
        <v>90</v>
      </c>
      <c r="D819" t="s">
        <v>26</v>
      </c>
      <c r="E819" t="s">
        <v>35</v>
      </c>
      <c r="F819">
        <v>4</v>
      </c>
      <c r="G819">
        <v>599</v>
      </c>
      <c r="H819">
        <v>0</v>
      </c>
      <c r="I819" t="s">
        <v>15</v>
      </c>
      <c r="J819" t="s">
        <v>36</v>
      </c>
      <c r="K819" t="s">
        <v>37</v>
      </c>
      <c r="L819">
        <f>F818*G818*(1-H818)</f>
        <v>2037.45</v>
      </c>
    </row>
    <row r="820" spans="1:12">
      <c r="A820" t="s">
        <v>1362</v>
      </c>
      <c r="B820" s="1">
        <v>46286</v>
      </c>
      <c r="C820" t="s">
        <v>1363</v>
      </c>
      <c r="D820" t="s">
        <v>31</v>
      </c>
      <c r="E820" t="s">
        <v>35</v>
      </c>
      <c r="F820">
        <v>4</v>
      </c>
      <c r="G820">
        <v>499</v>
      </c>
      <c r="H820">
        <v>0.15</v>
      </c>
      <c r="I820" t="s">
        <v>44</v>
      </c>
      <c r="J820" t="s">
        <v>22</v>
      </c>
      <c r="K820" t="s">
        <v>17</v>
      </c>
      <c r="L820">
        <f>F819*G819*(1-H819)</f>
        <v>2396</v>
      </c>
    </row>
    <row r="821" spans="1:12">
      <c r="A821" t="s">
        <v>1364</v>
      </c>
      <c r="B821" s="1">
        <v>46091</v>
      </c>
      <c r="C821" t="s">
        <v>1118</v>
      </c>
      <c r="D821" t="s">
        <v>43</v>
      </c>
      <c r="E821" t="s">
        <v>14</v>
      </c>
      <c r="F821">
        <v>1</v>
      </c>
      <c r="G821">
        <v>1999</v>
      </c>
      <c r="H821">
        <v>0.1</v>
      </c>
      <c r="I821" t="s">
        <v>15</v>
      </c>
      <c r="J821" t="s">
        <v>16</v>
      </c>
      <c r="K821" t="s">
        <v>17</v>
      </c>
      <c r="L821">
        <f>F820*G820*(1-H820)</f>
        <v>1696.6</v>
      </c>
    </row>
    <row r="822" spans="1:12">
      <c r="A822" t="s">
        <v>1365</v>
      </c>
      <c r="B822" s="1">
        <v>46059</v>
      </c>
      <c r="C822" t="s">
        <v>1261</v>
      </c>
      <c r="D822" t="s">
        <v>59</v>
      </c>
      <c r="E822" t="s">
        <v>35</v>
      </c>
      <c r="F822">
        <v>1</v>
      </c>
      <c r="G822">
        <v>1499</v>
      </c>
      <c r="H822">
        <v>0.15</v>
      </c>
      <c r="I822" t="s">
        <v>44</v>
      </c>
      <c r="J822" t="s">
        <v>36</v>
      </c>
      <c r="K822" t="s">
        <v>17</v>
      </c>
      <c r="L822">
        <f>F821*G821*(1-H821)</f>
        <v>1799.1000000000001</v>
      </c>
    </row>
    <row r="823" spans="1:12">
      <c r="A823" t="s">
        <v>1366</v>
      </c>
      <c r="B823" s="1">
        <v>46189</v>
      </c>
      <c r="C823" t="s">
        <v>1160</v>
      </c>
      <c r="D823" t="s">
        <v>62</v>
      </c>
      <c r="E823" t="s">
        <v>40</v>
      </c>
      <c r="F823">
        <v>4</v>
      </c>
      <c r="G823">
        <v>2499</v>
      </c>
      <c r="H823">
        <v>0.05</v>
      </c>
      <c r="I823" t="s">
        <v>15</v>
      </c>
      <c r="J823" t="s">
        <v>28</v>
      </c>
      <c r="K823" t="s">
        <v>17</v>
      </c>
      <c r="L823">
        <f>F822*G822*(1-H822)</f>
        <v>1274.1499999999999</v>
      </c>
    </row>
    <row r="824" spans="1:12">
      <c r="A824" t="s">
        <v>1367</v>
      </c>
      <c r="B824" s="1">
        <v>46214</v>
      </c>
      <c r="C824" t="s">
        <v>1368</v>
      </c>
      <c r="D824" t="s">
        <v>59</v>
      </c>
      <c r="E824" t="s">
        <v>21</v>
      </c>
      <c r="F824">
        <v>5</v>
      </c>
      <c r="G824">
        <v>2499</v>
      </c>
      <c r="H824">
        <v>0.05</v>
      </c>
      <c r="I824" t="s">
        <v>32</v>
      </c>
      <c r="J824" t="s">
        <v>16</v>
      </c>
      <c r="K824" t="s">
        <v>17</v>
      </c>
      <c r="L824">
        <f>F823*G823*(1-H823)</f>
        <v>9496.1999999999989</v>
      </c>
    </row>
    <row r="825" spans="1:12">
      <c r="A825" t="s">
        <v>1369</v>
      </c>
      <c r="B825" s="1">
        <v>46047</v>
      </c>
      <c r="C825" t="s">
        <v>1370</v>
      </c>
      <c r="D825" t="s">
        <v>13</v>
      </c>
      <c r="E825" t="s">
        <v>14</v>
      </c>
      <c r="F825">
        <v>2</v>
      </c>
      <c r="G825">
        <v>999</v>
      </c>
      <c r="H825">
        <v>0.1</v>
      </c>
      <c r="I825" t="s">
        <v>50</v>
      </c>
      <c r="J825" t="s">
        <v>22</v>
      </c>
      <c r="K825" t="s">
        <v>23</v>
      </c>
      <c r="L825">
        <f>F824*G824*(1-H824)</f>
        <v>11870.25</v>
      </c>
    </row>
    <row r="826" spans="1:12">
      <c r="A826" t="s">
        <v>1371</v>
      </c>
      <c r="B826" s="1">
        <v>46076</v>
      </c>
      <c r="C826" t="s">
        <v>1372</v>
      </c>
      <c r="D826" t="s">
        <v>31</v>
      </c>
      <c r="E826" t="s">
        <v>14</v>
      </c>
      <c r="F826">
        <v>2</v>
      </c>
      <c r="G826">
        <v>799</v>
      </c>
      <c r="H826">
        <v>0.05</v>
      </c>
      <c r="I826" t="s">
        <v>44</v>
      </c>
      <c r="J826" t="s">
        <v>51</v>
      </c>
      <c r="K826" t="s">
        <v>17</v>
      </c>
      <c r="L826">
        <f>F825*G825*(1-H825)</f>
        <v>1798.2</v>
      </c>
    </row>
    <row r="827" spans="1:12">
      <c r="A827" t="s">
        <v>1373</v>
      </c>
      <c r="B827" s="1">
        <v>46284</v>
      </c>
      <c r="C827" t="s">
        <v>1374</v>
      </c>
      <c r="D827" t="s">
        <v>59</v>
      </c>
      <c r="E827" t="s">
        <v>35</v>
      </c>
      <c r="F827">
        <v>2</v>
      </c>
      <c r="G827">
        <v>599</v>
      </c>
      <c r="H827">
        <v>0</v>
      </c>
      <c r="I827" t="s">
        <v>47</v>
      </c>
      <c r="J827" t="s">
        <v>16</v>
      </c>
      <c r="K827" t="s">
        <v>23</v>
      </c>
      <c r="L827">
        <f>F826*G826*(1-H826)</f>
        <v>1518.1</v>
      </c>
    </row>
    <row r="828" spans="1:12">
      <c r="A828" t="s">
        <v>1375</v>
      </c>
      <c r="B828" s="1">
        <v>46236</v>
      </c>
      <c r="C828" t="s">
        <v>205</v>
      </c>
      <c r="D828" t="s">
        <v>20</v>
      </c>
      <c r="E828" t="s">
        <v>35</v>
      </c>
      <c r="F828">
        <v>2</v>
      </c>
      <c r="G828">
        <v>999</v>
      </c>
      <c r="H828">
        <v>0</v>
      </c>
      <c r="I828" t="s">
        <v>47</v>
      </c>
      <c r="J828" t="s">
        <v>16</v>
      </c>
      <c r="K828" t="s">
        <v>17</v>
      </c>
      <c r="L828">
        <f>F827*G827*(1-H827)</f>
        <v>1198</v>
      </c>
    </row>
    <row r="829" spans="1:12">
      <c r="A829" t="s">
        <v>1376</v>
      </c>
      <c r="B829" s="1">
        <v>46117</v>
      </c>
      <c r="C829" t="s">
        <v>452</v>
      </c>
      <c r="D829" t="s">
        <v>78</v>
      </c>
      <c r="E829" t="s">
        <v>21</v>
      </c>
      <c r="F829">
        <v>2</v>
      </c>
      <c r="G829">
        <v>1999</v>
      </c>
      <c r="H829">
        <v>0</v>
      </c>
      <c r="I829" t="s">
        <v>44</v>
      </c>
      <c r="J829" t="s">
        <v>36</v>
      </c>
      <c r="K829" t="s">
        <v>17</v>
      </c>
      <c r="L829">
        <f>F828*G828*(1-H828)</f>
        <v>1998</v>
      </c>
    </row>
    <row r="830" spans="1:12">
      <c r="A830" t="s">
        <v>1377</v>
      </c>
      <c r="B830" s="1">
        <v>46133</v>
      </c>
      <c r="C830" t="s">
        <v>472</v>
      </c>
      <c r="D830" t="s">
        <v>78</v>
      </c>
      <c r="E830" t="s">
        <v>14</v>
      </c>
      <c r="F830">
        <v>4</v>
      </c>
      <c r="G830">
        <v>999</v>
      </c>
      <c r="H830">
        <v>0.15</v>
      </c>
      <c r="I830" t="s">
        <v>44</v>
      </c>
      <c r="J830" t="s">
        <v>28</v>
      </c>
      <c r="K830" t="s">
        <v>17</v>
      </c>
      <c r="L830">
        <f>F829*G829*(1-H829)</f>
        <v>3998</v>
      </c>
    </row>
    <row r="831" spans="1:12">
      <c r="A831" t="s">
        <v>1378</v>
      </c>
      <c r="B831" s="1">
        <v>46226</v>
      </c>
      <c r="C831" t="s">
        <v>90</v>
      </c>
      <c r="D831" t="s">
        <v>20</v>
      </c>
      <c r="E831" t="s">
        <v>27</v>
      </c>
      <c r="F831">
        <v>3</v>
      </c>
      <c r="G831">
        <v>1299</v>
      </c>
      <c r="H831">
        <v>0</v>
      </c>
      <c r="I831" t="s">
        <v>15</v>
      </c>
      <c r="J831" t="s">
        <v>28</v>
      </c>
      <c r="K831" t="s">
        <v>17</v>
      </c>
      <c r="L831">
        <f>F830*G830*(1-H830)</f>
        <v>3396.6</v>
      </c>
    </row>
    <row r="832" spans="1:12">
      <c r="A832" t="s">
        <v>1379</v>
      </c>
      <c r="B832" s="1">
        <v>46183</v>
      </c>
      <c r="C832" t="s">
        <v>117</v>
      </c>
      <c r="D832" t="s">
        <v>13</v>
      </c>
      <c r="E832" t="s">
        <v>40</v>
      </c>
      <c r="F832">
        <v>5</v>
      </c>
      <c r="G832">
        <v>4999</v>
      </c>
      <c r="H832">
        <v>0.05</v>
      </c>
      <c r="I832" t="s">
        <v>50</v>
      </c>
      <c r="J832" t="s">
        <v>51</v>
      </c>
      <c r="K832" t="s">
        <v>17</v>
      </c>
      <c r="L832">
        <f>F831*G831*(1-H831)</f>
        <v>3897</v>
      </c>
    </row>
    <row r="833" spans="1:12">
      <c r="A833" t="s">
        <v>1380</v>
      </c>
      <c r="B833" s="1">
        <v>46207</v>
      </c>
      <c r="C833" t="s">
        <v>1046</v>
      </c>
      <c r="D833" t="s">
        <v>71</v>
      </c>
      <c r="E833" t="s">
        <v>35</v>
      </c>
      <c r="F833">
        <v>3</v>
      </c>
      <c r="G833">
        <v>599</v>
      </c>
      <c r="H833">
        <v>0</v>
      </c>
      <c r="I833" t="s">
        <v>15</v>
      </c>
      <c r="J833" t="s">
        <v>36</v>
      </c>
      <c r="K833" t="s">
        <v>17</v>
      </c>
      <c r="L833">
        <f>F832*G832*(1-H832)</f>
        <v>23745.25</v>
      </c>
    </row>
    <row r="834" spans="1:12">
      <c r="A834" t="s">
        <v>1381</v>
      </c>
      <c r="B834" s="1">
        <v>46167</v>
      </c>
      <c r="C834" t="s">
        <v>1382</v>
      </c>
      <c r="D834" t="s">
        <v>56</v>
      </c>
      <c r="E834" t="s">
        <v>35</v>
      </c>
      <c r="F834">
        <v>4</v>
      </c>
      <c r="G834">
        <v>1299</v>
      </c>
      <c r="H834">
        <v>0</v>
      </c>
      <c r="I834" t="s">
        <v>32</v>
      </c>
      <c r="J834" t="s">
        <v>16</v>
      </c>
      <c r="K834" t="s">
        <v>17</v>
      </c>
      <c r="L834">
        <f>F833*G833*(1-H833)</f>
        <v>1797</v>
      </c>
    </row>
    <row r="835" spans="1:12">
      <c r="A835" t="s">
        <v>1383</v>
      </c>
      <c r="B835" s="1">
        <v>46201</v>
      </c>
      <c r="C835" t="s">
        <v>1384</v>
      </c>
      <c r="D835" t="s">
        <v>20</v>
      </c>
      <c r="E835" t="s">
        <v>35</v>
      </c>
      <c r="F835">
        <v>5</v>
      </c>
      <c r="G835">
        <v>999</v>
      </c>
      <c r="H835">
        <v>0</v>
      </c>
      <c r="I835" t="s">
        <v>50</v>
      </c>
      <c r="J835" t="s">
        <v>22</v>
      </c>
      <c r="K835" t="s">
        <v>17</v>
      </c>
      <c r="L835">
        <f>F834*G834*(1-H834)</f>
        <v>5196</v>
      </c>
    </row>
    <row r="836" spans="1:12">
      <c r="A836" t="s">
        <v>1385</v>
      </c>
      <c r="B836" s="1">
        <v>46076</v>
      </c>
      <c r="C836" t="s">
        <v>1203</v>
      </c>
      <c r="D836" t="s">
        <v>78</v>
      </c>
      <c r="E836" t="s">
        <v>40</v>
      </c>
      <c r="F836">
        <v>3</v>
      </c>
      <c r="G836">
        <v>1999</v>
      </c>
      <c r="H836">
        <v>0</v>
      </c>
      <c r="I836" t="s">
        <v>44</v>
      </c>
      <c r="J836" t="s">
        <v>16</v>
      </c>
      <c r="K836" t="s">
        <v>37</v>
      </c>
      <c r="L836">
        <f>F835*G835*(1-H835)</f>
        <v>4995</v>
      </c>
    </row>
    <row r="837" spans="1:12">
      <c r="A837" t="s">
        <v>1386</v>
      </c>
      <c r="B837" s="1">
        <v>46067</v>
      </c>
      <c r="C837" t="s">
        <v>1387</v>
      </c>
      <c r="D837" t="s">
        <v>59</v>
      </c>
      <c r="E837" t="s">
        <v>27</v>
      </c>
      <c r="F837">
        <v>3</v>
      </c>
      <c r="G837">
        <v>599</v>
      </c>
      <c r="H837">
        <v>0</v>
      </c>
      <c r="I837" t="s">
        <v>50</v>
      </c>
      <c r="J837" t="s">
        <v>22</v>
      </c>
      <c r="K837" t="s">
        <v>17</v>
      </c>
      <c r="L837">
        <f>F836*G836*(1-H836)</f>
        <v>5997</v>
      </c>
    </row>
    <row r="838" spans="1:12">
      <c r="A838" t="s">
        <v>1388</v>
      </c>
      <c r="B838" s="1">
        <v>46137</v>
      </c>
      <c r="C838" t="s">
        <v>741</v>
      </c>
      <c r="D838" t="s">
        <v>78</v>
      </c>
      <c r="E838" t="s">
        <v>40</v>
      </c>
      <c r="F838">
        <v>5</v>
      </c>
      <c r="G838">
        <v>1499</v>
      </c>
      <c r="H838">
        <v>0</v>
      </c>
      <c r="I838" t="s">
        <v>15</v>
      </c>
      <c r="J838" t="s">
        <v>51</v>
      </c>
      <c r="K838" t="s">
        <v>17</v>
      </c>
      <c r="L838">
        <f>F837*G837*(1-H837)</f>
        <v>1797</v>
      </c>
    </row>
    <row r="839" spans="1:12">
      <c r="A839" t="s">
        <v>1389</v>
      </c>
      <c r="B839" s="1">
        <v>46148</v>
      </c>
      <c r="C839" t="s">
        <v>1390</v>
      </c>
      <c r="D839" t="s">
        <v>62</v>
      </c>
      <c r="E839" t="s">
        <v>35</v>
      </c>
      <c r="F839">
        <v>2</v>
      </c>
      <c r="G839">
        <v>499</v>
      </c>
      <c r="H839">
        <v>0</v>
      </c>
      <c r="I839" t="s">
        <v>44</v>
      </c>
      <c r="J839" t="s">
        <v>51</v>
      </c>
      <c r="K839" t="s">
        <v>17</v>
      </c>
      <c r="L839">
        <f>F838*G838*(1-H838)</f>
        <v>7495</v>
      </c>
    </row>
    <row r="840" spans="1:12">
      <c r="A840" t="s">
        <v>1391</v>
      </c>
      <c r="B840" s="1">
        <v>46094</v>
      </c>
      <c r="C840" t="s">
        <v>477</v>
      </c>
      <c r="D840" t="s">
        <v>13</v>
      </c>
      <c r="E840" t="s">
        <v>27</v>
      </c>
      <c r="F840">
        <v>2</v>
      </c>
      <c r="G840">
        <v>4999</v>
      </c>
      <c r="H840">
        <v>0.15</v>
      </c>
      <c r="I840" t="s">
        <v>50</v>
      </c>
      <c r="J840" t="s">
        <v>28</v>
      </c>
      <c r="K840" t="s">
        <v>37</v>
      </c>
      <c r="L840">
        <f>F839*G839*(1-H839)</f>
        <v>998</v>
      </c>
    </row>
    <row r="841" spans="1:12">
      <c r="A841" t="s">
        <v>1392</v>
      </c>
      <c r="B841" s="1">
        <v>46157</v>
      </c>
      <c r="C841" t="s">
        <v>1393</v>
      </c>
      <c r="D841" t="s">
        <v>59</v>
      </c>
      <c r="E841" t="s">
        <v>40</v>
      </c>
      <c r="F841">
        <v>3</v>
      </c>
      <c r="G841">
        <v>1499</v>
      </c>
      <c r="H841">
        <v>0.15</v>
      </c>
      <c r="I841" t="s">
        <v>44</v>
      </c>
      <c r="J841" t="s">
        <v>36</v>
      </c>
      <c r="K841" t="s">
        <v>17</v>
      </c>
      <c r="L841">
        <f>F840*G840*(1-H840)</f>
        <v>8498.2999999999993</v>
      </c>
    </row>
    <row r="842" spans="1:12">
      <c r="A842" t="s">
        <v>1394</v>
      </c>
      <c r="B842" s="1">
        <v>46185</v>
      </c>
      <c r="C842" t="s">
        <v>1395</v>
      </c>
      <c r="D842" t="s">
        <v>56</v>
      </c>
      <c r="E842" t="s">
        <v>14</v>
      </c>
      <c r="F842">
        <v>5</v>
      </c>
      <c r="G842">
        <v>999</v>
      </c>
      <c r="H842">
        <v>0.1</v>
      </c>
      <c r="I842" t="s">
        <v>15</v>
      </c>
      <c r="J842" t="s">
        <v>22</v>
      </c>
      <c r="K842" t="s">
        <v>17</v>
      </c>
      <c r="L842">
        <f>F841*G841*(1-H841)</f>
        <v>3822.45</v>
      </c>
    </row>
    <row r="843" spans="1:12">
      <c r="A843" t="s">
        <v>1396</v>
      </c>
      <c r="B843" s="1">
        <v>46171</v>
      </c>
      <c r="C843" t="s">
        <v>108</v>
      </c>
      <c r="D843" t="s">
        <v>43</v>
      </c>
      <c r="E843" t="s">
        <v>14</v>
      </c>
      <c r="F843">
        <v>3</v>
      </c>
      <c r="G843">
        <v>799</v>
      </c>
      <c r="H843">
        <v>0.1</v>
      </c>
      <c r="I843" t="s">
        <v>15</v>
      </c>
      <c r="J843" t="s">
        <v>36</v>
      </c>
      <c r="K843" t="s">
        <v>17</v>
      </c>
      <c r="L843">
        <f>F842*G842*(1-H842)</f>
        <v>4495.5</v>
      </c>
    </row>
    <row r="844" spans="1:12">
      <c r="A844" t="s">
        <v>1397</v>
      </c>
      <c r="B844" s="1">
        <v>46194</v>
      </c>
      <c r="C844" t="s">
        <v>466</v>
      </c>
      <c r="D844" t="s">
        <v>78</v>
      </c>
      <c r="E844" t="s">
        <v>40</v>
      </c>
      <c r="F844">
        <v>3</v>
      </c>
      <c r="G844">
        <v>599</v>
      </c>
      <c r="H844">
        <v>0.1</v>
      </c>
      <c r="I844" t="s">
        <v>47</v>
      </c>
      <c r="J844" t="s">
        <v>28</v>
      </c>
      <c r="K844" t="s">
        <v>37</v>
      </c>
      <c r="L844">
        <f>F843*G843*(1-H843)</f>
        <v>2157.3000000000002</v>
      </c>
    </row>
    <row r="845" spans="1:12">
      <c r="A845" t="s">
        <v>1398</v>
      </c>
      <c r="B845" s="1">
        <v>46215</v>
      </c>
      <c r="C845" t="s">
        <v>709</v>
      </c>
      <c r="D845" t="s">
        <v>56</v>
      </c>
      <c r="E845" t="s">
        <v>14</v>
      </c>
      <c r="F845">
        <v>2</v>
      </c>
      <c r="G845">
        <v>7999</v>
      </c>
      <c r="H845">
        <v>0.05</v>
      </c>
      <c r="I845" t="s">
        <v>44</v>
      </c>
      <c r="J845" t="s">
        <v>36</v>
      </c>
      <c r="K845" t="s">
        <v>17</v>
      </c>
      <c r="L845">
        <f>F844*G844*(1-H844)</f>
        <v>1617.3</v>
      </c>
    </row>
    <row r="846" spans="1:12">
      <c r="A846" t="s">
        <v>1399</v>
      </c>
      <c r="B846" s="1">
        <v>46256</v>
      </c>
      <c r="C846" t="s">
        <v>1400</v>
      </c>
      <c r="D846" t="s">
        <v>59</v>
      </c>
      <c r="E846" t="s">
        <v>27</v>
      </c>
      <c r="F846">
        <v>3</v>
      </c>
      <c r="G846">
        <v>999</v>
      </c>
      <c r="H846">
        <v>0.1</v>
      </c>
      <c r="I846" t="s">
        <v>50</v>
      </c>
      <c r="J846" t="s">
        <v>16</v>
      </c>
      <c r="K846" t="s">
        <v>17</v>
      </c>
      <c r="L846">
        <f>F845*G845*(1-H845)</f>
        <v>15198.099999999999</v>
      </c>
    </row>
    <row r="847" spans="1:12">
      <c r="A847" t="s">
        <v>1401</v>
      </c>
      <c r="B847" s="1">
        <v>46161</v>
      </c>
      <c r="C847" t="s">
        <v>1278</v>
      </c>
      <c r="D847" t="s">
        <v>31</v>
      </c>
      <c r="E847" t="s">
        <v>14</v>
      </c>
      <c r="F847">
        <v>4</v>
      </c>
      <c r="G847">
        <v>599</v>
      </c>
      <c r="H847">
        <v>0</v>
      </c>
      <c r="I847" t="s">
        <v>47</v>
      </c>
      <c r="J847" t="s">
        <v>36</v>
      </c>
      <c r="K847" t="s">
        <v>23</v>
      </c>
      <c r="L847">
        <f>F846*G846*(1-H846)</f>
        <v>2697.3</v>
      </c>
    </row>
    <row r="848" spans="1:12">
      <c r="A848" t="s">
        <v>1402</v>
      </c>
      <c r="B848" s="1">
        <v>46035</v>
      </c>
      <c r="C848" t="s">
        <v>1353</v>
      </c>
      <c r="D848" t="s">
        <v>59</v>
      </c>
      <c r="E848" t="s">
        <v>35</v>
      </c>
      <c r="F848">
        <v>3</v>
      </c>
      <c r="G848">
        <v>4999</v>
      </c>
      <c r="H848">
        <v>0.05</v>
      </c>
      <c r="I848" t="s">
        <v>47</v>
      </c>
      <c r="J848" t="s">
        <v>16</v>
      </c>
      <c r="K848" t="s">
        <v>37</v>
      </c>
      <c r="L848">
        <f>F847*G847*(1-H847)</f>
        <v>2396</v>
      </c>
    </row>
    <row r="849" spans="1:12">
      <c r="A849" t="s">
        <v>1403</v>
      </c>
      <c r="B849" s="1">
        <v>46178</v>
      </c>
      <c r="C849" t="s">
        <v>349</v>
      </c>
      <c r="D849" t="s">
        <v>71</v>
      </c>
      <c r="E849" t="s">
        <v>40</v>
      </c>
      <c r="F849">
        <v>5</v>
      </c>
      <c r="G849">
        <v>7999</v>
      </c>
      <c r="H849">
        <v>0</v>
      </c>
      <c r="I849" t="s">
        <v>47</v>
      </c>
      <c r="J849" t="s">
        <v>36</v>
      </c>
      <c r="K849" t="s">
        <v>37</v>
      </c>
      <c r="L849">
        <f>F848*G848*(1-H848)</f>
        <v>14247.15</v>
      </c>
    </row>
    <row r="850" spans="1:12">
      <c r="A850" t="s">
        <v>1404</v>
      </c>
      <c r="B850" s="1">
        <v>46240</v>
      </c>
      <c r="C850" t="s">
        <v>1048</v>
      </c>
      <c r="D850" t="s">
        <v>78</v>
      </c>
      <c r="E850" t="s">
        <v>40</v>
      </c>
      <c r="F850">
        <v>5</v>
      </c>
      <c r="G850">
        <v>1999</v>
      </c>
      <c r="H850">
        <v>0.1</v>
      </c>
      <c r="I850" t="s">
        <v>50</v>
      </c>
      <c r="J850" t="s">
        <v>16</v>
      </c>
      <c r="K850" t="s">
        <v>37</v>
      </c>
      <c r="L850">
        <f>F849*G849*(1-H849)</f>
        <v>39995</v>
      </c>
    </row>
    <row r="851" spans="1:12">
      <c r="A851" t="s">
        <v>1405</v>
      </c>
      <c r="B851" s="1">
        <v>46191</v>
      </c>
      <c r="C851" t="s">
        <v>1406</v>
      </c>
      <c r="D851" t="s">
        <v>31</v>
      </c>
      <c r="E851" t="s">
        <v>27</v>
      </c>
      <c r="F851">
        <v>1</v>
      </c>
      <c r="G851">
        <v>799</v>
      </c>
      <c r="H851">
        <v>0.15</v>
      </c>
      <c r="I851" t="s">
        <v>47</v>
      </c>
      <c r="J851" t="s">
        <v>36</v>
      </c>
      <c r="K851" t="s">
        <v>17</v>
      </c>
      <c r="L851">
        <f>F850*G850*(1-H850)</f>
        <v>8995.5</v>
      </c>
    </row>
    <row r="852" spans="1:12">
      <c r="A852" t="s">
        <v>1407</v>
      </c>
      <c r="B852" s="1">
        <v>46081</v>
      </c>
      <c r="C852" t="s">
        <v>933</v>
      </c>
      <c r="D852" t="s">
        <v>56</v>
      </c>
      <c r="E852" t="s">
        <v>27</v>
      </c>
      <c r="F852">
        <v>5</v>
      </c>
      <c r="G852">
        <v>599</v>
      </c>
      <c r="H852">
        <v>0</v>
      </c>
      <c r="I852" t="s">
        <v>44</v>
      </c>
      <c r="J852" t="s">
        <v>22</v>
      </c>
      <c r="K852" t="s">
        <v>17</v>
      </c>
      <c r="L852">
        <f>F851*G851*(1-H851)</f>
        <v>679.15</v>
      </c>
    </row>
    <row r="853" spans="1:12">
      <c r="A853" t="s">
        <v>1408</v>
      </c>
      <c r="B853" s="1">
        <v>46209</v>
      </c>
      <c r="C853" t="s">
        <v>987</v>
      </c>
      <c r="D853" t="s">
        <v>56</v>
      </c>
      <c r="E853" t="s">
        <v>27</v>
      </c>
      <c r="F853">
        <v>2</v>
      </c>
      <c r="G853">
        <v>999</v>
      </c>
      <c r="H853">
        <v>0</v>
      </c>
      <c r="I853" t="s">
        <v>32</v>
      </c>
      <c r="J853" t="s">
        <v>16</v>
      </c>
      <c r="K853" t="s">
        <v>17</v>
      </c>
      <c r="L853">
        <f>F852*G852*(1-H852)</f>
        <v>2995</v>
      </c>
    </row>
    <row r="854" spans="1:12">
      <c r="A854" t="s">
        <v>1409</v>
      </c>
      <c r="B854" s="1">
        <v>46039</v>
      </c>
      <c r="C854" t="s">
        <v>883</v>
      </c>
      <c r="D854" t="s">
        <v>59</v>
      </c>
      <c r="E854" t="s">
        <v>35</v>
      </c>
      <c r="F854">
        <v>4</v>
      </c>
      <c r="G854">
        <v>1499</v>
      </c>
      <c r="H854">
        <v>0.1</v>
      </c>
      <c r="I854" t="s">
        <v>44</v>
      </c>
      <c r="J854" t="s">
        <v>28</v>
      </c>
      <c r="K854" t="s">
        <v>17</v>
      </c>
      <c r="L854">
        <f>F853*G853*(1-H853)</f>
        <v>1998</v>
      </c>
    </row>
    <row r="855" spans="1:12">
      <c r="A855" t="s">
        <v>1410</v>
      </c>
      <c r="B855" s="1">
        <v>46087</v>
      </c>
      <c r="C855" t="s">
        <v>458</v>
      </c>
      <c r="D855" t="s">
        <v>56</v>
      </c>
      <c r="E855" t="s">
        <v>21</v>
      </c>
      <c r="F855">
        <v>1</v>
      </c>
      <c r="G855">
        <v>1999</v>
      </c>
      <c r="H855">
        <v>0.15</v>
      </c>
      <c r="I855" t="s">
        <v>47</v>
      </c>
      <c r="J855" t="s">
        <v>22</v>
      </c>
      <c r="K855" t="s">
        <v>17</v>
      </c>
      <c r="L855">
        <f>F854*G854*(1-H854)</f>
        <v>5396.4000000000005</v>
      </c>
    </row>
    <row r="856" spans="1:12">
      <c r="A856" t="s">
        <v>1411</v>
      </c>
      <c r="B856" s="1">
        <v>46220</v>
      </c>
      <c r="C856" t="s">
        <v>1412</v>
      </c>
      <c r="D856" t="s">
        <v>62</v>
      </c>
      <c r="E856" t="s">
        <v>21</v>
      </c>
      <c r="F856">
        <v>1</v>
      </c>
      <c r="G856">
        <v>1999</v>
      </c>
      <c r="H856">
        <v>0.15</v>
      </c>
      <c r="I856" t="s">
        <v>15</v>
      </c>
      <c r="J856" t="s">
        <v>51</v>
      </c>
      <c r="K856" t="s">
        <v>17</v>
      </c>
      <c r="L856">
        <f>F855*G855*(1-H855)</f>
        <v>1699.1499999999999</v>
      </c>
    </row>
    <row r="857" spans="1:12">
      <c r="A857" t="s">
        <v>1413</v>
      </c>
      <c r="B857" s="1">
        <v>46051</v>
      </c>
      <c r="C857" t="s">
        <v>421</v>
      </c>
      <c r="D857" t="s">
        <v>71</v>
      </c>
      <c r="E857" t="s">
        <v>40</v>
      </c>
      <c r="F857">
        <v>1</v>
      </c>
      <c r="G857">
        <v>1999</v>
      </c>
      <c r="H857">
        <v>0</v>
      </c>
      <c r="I857" t="s">
        <v>50</v>
      </c>
      <c r="J857" t="s">
        <v>22</v>
      </c>
      <c r="K857" t="s">
        <v>17</v>
      </c>
      <c r="L857">
        <f>F856*G856*(1-H856)</f>
        <v>1699.1499999999999</v>
      </c>
    </row>
    <row r="858" spans="1:12">
      <c r="A858" t="s">
        <v>1414</v>
      </c>
      <c r="B858" s="1">
        <v>46251</v>
      </c>
      <c r="C858" t="s">
        <v>277</v>
      </c>
      <c r="D858" t="s">
        <v>78</v>
      </c>
      <c r="E858" t="s">
        <v>40</v>
      </c>
      <c r="F858">
        <v>2</v>
      </c>
      <c r="G858">
        <v>599</v>
      </c>
      <c r="H858">
        <v>0.1</v>
      </c>
      <c r="I858" t="s">
        <v>32</v>
      </c>
      <c r="J858" t="s">
        <v>36</v>
      </c>
      <c r="K858" t="s">
        <v>23</v>
      </c>
      <c r="L858">
        <f>F857*G857*(1-H857)</f>
        <v>1999</v>
      </c>
    </row>
    <row r="859" spans="1:12">
      <c r="A859" t="s">
        <v>1415</v>
      </c>
      <c r="B859" s="1">
        <v>46233</v>
      </c>
      <c r="C859" t="s">
        <v>1416</v>
      </c>
      <c r="D859" t="s">
        <v>43</v>
      </c>
      <c r="E859" t="s">
        <v>21</v>
      </c>
      <c r="F859">
        <v>1</v>
      </c>
      <c r="G859">
        <v>1999</v>
      </c>
      <c r="H859">
        <v>0</v>
      </c>
      <c r="I859" t="s">
        <v>15</v>
      </c>
      <c r="J859" t="s">
        <v>51</v>
      </c>
      <c r="K859" t="s">
        <v>37</v>
      </c>
      <c r="L859">
        <f>F858*G858*(1-H858)</f>
        <v>1078.2</v>
      </c>
    </row>
    <row r="860" spans="1:12">
      <c r="A860" t="s">
        <v>1417</v>
      </c>
      <c r="B860" s="1">
        <v>46251</v>
      </c>
      <c r="C860" t="s">
        <v>294</v>
      </c>
      <c r="D860" t="s">
        <v>26</v>
      </c>
      <c r="E860" t="s">
        <v>40</v>
      </c>
      <c r="F860">
        <v>4</v>
      </c>
      <c r="G860">
        <v>4999</v>
      </c>
      <c r="H860">
        <v>0.15</v>
      </c>
      <c r="I860" t="s">
        <v>47</v>
      </c>
      <c r="J860" t="s">
        <v>28</v>
      </c>
      <c r="K860" t="s">
        <v>37</v>
      </c>
      <c r="L860">
        <f>F859*G859*(1-H859)</f>
        <v>1999</v>
      </c>
    </row>
    <row r="861" spans="1:12">
      <c r="A861" t="s">
        <v>1418</v>
      </c>
      <c r="B861" s="1">
        <v>46244</v>
      </c>
      <c r="C861" t="s">
        <v>68</v>
      </c>
      <c r="D861" t="s">
        <v>43</v>
      </c>
      <c r="E861" t="s">
        <v>40</v>
      </c>
      <c r="F861">
        <v>2</v>
      </c>
      <c r="G861">
        <v>999</v>
      </c>
      <c r="H861">
        <v>0</v>
      </c>
      <c r="I861" t="s">
        <v>50</v>
      </c>
      <c r="J861" t="s">
        <v>16</v>
      </c>
      <c r="K861" t="s">
        <v>17</v>
      </c>
      <c r="L861">
        <f>F860*G860*(1-H860)</f>
        <v>16996.599999999999</v>
      </c>
    </row>
    <row r="862" spans="1:12">
      <c r="A862" t="s">
        <v>1419</v>
      </c>
      <c r="B862" s="1">
        <v>46054</v>
      </c>
      <c r="C862" t="s">
        <v>1420</v>
      </c>
      <c r="D862" t="s">
        <v>59</v>
      </c>
      <c r="E862" t="s">
        <v>35</v>
      </c>
      <c r="F862">
        <v>2</v>
      </c>
      <c r="G862">
        <v>1999</v>
      </c>
      <c r="H862">
        <v>0</v>
      </c>
      <c r="I862" t="s">
        <v>32</v>
      </c>
      <c r="J862" t="s">
        <v>36</v>
      </c>
      <c r="K862" t="s">
        <v>17</v>
      </c>
      <c r="L862">
        <f>F861*G861*(1-H861)</f>
        <v>1998</v>
      </c>
    </row>
    <row r="863" spans="1:12">
      <c r="A863" t="s">
        <v>1421</v>
      </c>
      <c r="B863" s="1">
        <v>46109</v>
      </c>
      <c r="C863" t="s">
        <v>205</v>
      </c>
      <c r="D863" t="s">
        <v>26</v>
      </c>
      <c r="E863" t="s">
        <v>35</v>
      </c>
      <c r="F863">
        <v>4</v>
      </c>
      <c r="G863">
        <v>1299</v>
      </c>
      <c r="H863">
        <v>0.15</v>
      </c>
      <c r="I863" t="s">
        <v>44</v>
      </c>
      <c r="J863" t="s">
        <v>51</v>
      </c>
      <c r="K863" t="s">
        <v>37</v>
      </c>
      <c r="L863">
        <f>F862*G862*(1-H862)</f>
        <v>3998</v>
      </c>
    </row>
    <row r="864" spans="1:12">
      <c r="A864" t="s">
        <v>1422</v>
      </c>
      <c r="B864" s="1">
        <v>46110</v>
      </c>
      <c r="C864" t="s">
        <v>935</v>
      </c>
      <c r="D864" t="s">
        <v>59</v>
      </c>
      <c r="E864" t="s">
        <v>14</v>
      </c>
      <c r="F864">
        <v>1</v>
      </c>
      <c r="G864">
        <v>599</v>
      </c>
      <c r="H864">
        <v>0.05</v>
      </c>
      <c r="I864" t="s">
        <v>47</v>
      </c>
      <c r="J864" t="s">
        <v>28</v>
      </c>
      <c r="K864" t="s">
        <v>17</v>
      </c>
      <c r="L864">
        <f>F863*G863*(1-H863)</f>
        <v>4416.5999999999995</v>
      </c>
    </row>
    <row r="865" spans="1:12">
      <c r="A865" t="s">
        <v>1423</v>
      </c>
      <c r="B865" s="1">
        <v>46218</v>
      </c>
      <c r="C865" t="s">
        <v>1115</v>
      </c>
      <c r="D865" t="s">
        <v>78</v>
      </c>
      <c r="E865" t="s">
        <v>35</v>
      </c>
      <c r="F865">
        <v>3</v>
      </c>
      <c r="G865">
        <v>1999</v>
      </c>
      <c r="H865">
        <v>0</v>
      </c>
      <c r="I865" t="s">
        <v>32</v>
      </c>
      <c r="J865" t="s">
        <v>22</v>
      </c>
      <c r="K865" t="s">
        <v>17</v>
      </c>
      <c r="L865">
        <f>F864*G864*(1-H864)</f>
        <v>569.04999999999995</v>
      </c>
    </row>
    <row r="866" spans="1:12">
      <c r="A866" t="s">
        <v>1424</v>
      </c>
      <c r="B866" s="1">
        <v>46087</v>
      </c>
      <c r="C866" t="s">
        <v>1272</v>
      </c>
      <c r="D866" t="s">
        <v>62</v>
      </c>
      <c r="E866" t="s">
        <v>21</v>
      </c>
      <c r="F866">
        <v>2</v>
      </c>
      <c r="G866">
        <v>999</v>
      </c>
      <c r="H866">
        <v>0</v>
      </c>
      <c r="I866" t="s">
        <v>15</v>
      </c>
      <c r="J866" t="s">
        <v>22</v>
      </c>
      <c r="K866" t="s">
        <v>17</v>
      </c>
      <c r="L866">
        <f>F865*G865*(1-H865)</f>
        <v>5997</v>
      </c>
    </row>
    <row r="867" spans="1:12">
      <c r="A867" t="s">
        <v>1425</v>
      </c>
      <c r="B867" s="1">
        <v>46265</v>
      </c>
      <c r="C867" t="s">
        <v>862</v>
      </c>
      <c r="D867" t="s">
        <v>62</v>
      </c>
      <c r="E867" t="s">
        <v>27</v>
      </c>
      <c r="F867">
        <v>3</v>
      </c>
      <c r="G867">
        <v>999</v>
      </c>
      <c r="H867">
        <v>0.1</v>
      </c>
      <c r="I867" t="s">
        <v>32</v>
      </c>
      <c r="J867" t="s">
        <v>28</v>
      </c>
      <c r="K867" t="s">
        <v>17</v>
      </c>
      <c r="L867">
        <f>F866*G866*(1-H866)</f>
        <v>1998</v>
      </c>
    </row>
    <row r="868" spans="1:12">
      <c r="A868" t="s">
        <v>1426</v>
      </c>
      <c r="B868" s="1">
        <v>46102</v>
      </c>
      <c r="C868" t="s">
        <v>477</v>
      </c>
      <c r="D868" t="s">
        <v>43</v>
      </c>
      <c r="E868" t="s">
        <v>35</v>
      </c>
      <c r="F868">
        <v>5</v>
      </c>
      <c r="G868">
        <v>799</v>
      </c>
      <c r="H868">
        <v>0.15</v>
      </c>
      <c r="I868" t="s">
        <v>47</v>
      </c>
      <c r="J868" t="s">
        <v>22</v>
      </c>
      <c r="K868" t="s">
        <v>17</v>
      </c>
      <c r="L868">
        <f>F867*G867*(1-H867)</f>
        <v>2697.3</v>
      </c>
    </row>
    <row r="869" spans="1:12">
      <c r="A869" t="s">
        <v>1427</v>
      </c>
      <c r="B869" s="1">
        <v>46159</v>
      </c>
      <c r="C869" t="s">
        <v>993</v>
      </c>
      <c r="D869" t="s">
        <v>31</v>
      </c>
      <c r="E869" t="s">
        <v>40</v>
      </c>
      <c r="F869">
        <v>4</v>
      </c>
      <c r="G869">
        <v>4999</v>
      </c>
      <c r="H869">
        <v>0</v>
      </c>
      <c r="I869" t="s">
        <v>50</v>
      </c>
      <c r="J869" t="s">
        <v>22</v>
      </c>
      <c r="K869" t="s">
        <v>37</v>
      </c>
      <c r="L869">
        <f>F868*G868*(1-H868)</f>
        <v>3395.75</v>
      </c>
    </row>
    <row r="870" spans="1:12">
      <c r="A870" t="s">
        <v>1428</v>
      </c>
      <c r="B870" s="1">
        <v>46108</v>
      </c>
      <c r="C870" t="s">
        <v>1132</v>
      </c>
      <c r="D870" t="s">
        <v>26</v>
      </c>
      <c r="E870" t="s">
        <v>21</v>
      </c>
      <c r="F870">
        <v>3</v>
      </c>
      <c r="G870">
        <v>7999</v>
      </c>
      <c r="H870">
        <v>0.15</v>
      </c>
      <c r="I870" t="s">
        <v>32</v>
      </c>
      <c r="J870" t="s">
        <v>28</v>
      </c>
      <c r="K870" t="s">
        <v>17</v>
      </c>
      <c r="L870">
        <f>F869*G869*(1-H869)</f>
        <v>19996</v>
      </c>
    </row>
    <row r="871" spans="1:12">
      <c r="A871" t="s">
        <v>1429</v>
      </c>
      <c r="B871" s="1">
        <v>46152</v>
      </c>
      <c r="C871" t="s">
        <v>138</v>
      </c>
      <c r="D871" t="s">
        <v>20</v>
      </c>
      <c r="E871" t="s">
        <v>21</v>
      </c>
      <c r="F871">
        <v>3</v>
      </c>
      <c r="G871">
        <v>4999</v>
      </c>
      <c r="H871">
        <v>0</v>
      </c>
      <c r="I871" t="s">
        <v>15</v>
      </c>
      <c r="J871" t="s">
        <v>51</v>
      </c>
      <c r="K871" t="s">
        <v>17</v>
      </c>
      <c r="L871">
        <f>F870*G870*(1-H870)</f>
        <v>20397.45</v>
      </c>
    </row>
    <row r="872" spans="1:12">
      <c r="A872" t="s">
        <v>1430</v>
      </c>
      <c r="B872" s="1">
        <v>46089</v>
      </c>
      <c r="C872" t="s">
        <v>193</v>
      </c>
      <c r="D872" t="s">
        <v>43</v>
      </c>
      <c r="E872" t="s">
        <v>27</v>
      </c>
      <c r="F872">
        <v>3</v>
      </c>
      <c r="G872">
        <v>1299</v>
      </c>
      <c r="H872">
        <v>0.1</v>
      </c>
      <c r="I872" t="s">
        <v>15</v>
      </c>
      <c r="J872" t="s">
        <v>22</v>
      </c>
      <c r="K872" t="s">
        <v>23</v>
      </c>
      <c r="L872">
        <f>F871*G871*(1-H871)</f>
        <v>14997</v>
      </c>
    </row>
    <row r="873" spans="1:12">
      <c r="A873" t="s">
        <v>1431</v>
      </c>
      <c r="B873" s="1">
        <v>46048</v>
      </c>
      <c r="C873" t="s">
        <v>1432</v>
      </c>
      <c r="D873" t="s">
        <v>20</v>
      </c>
      <c r="E873" t="s">
        <v>14</v>
      </c>
      <c r="F873">
        <v>3</v>
      </c>
      <c r="G873">
        <v>599</v>
      </c>
      <c r="H873">
        <v>0.05</v>
      </c>
      <c r="I873" t="s">
        <v>50</v>
      </c>
      <c r="J873" t="s">
        <v>16</v>
      </c>
      <c r="K873" t="s">
        <v>17</v>
      </c>
      <c r="L873">
        <f>F872*G872*(1-H872)</f>
        <v>3507.3</v>
      </c>
    </row>
    <row r="874" spans="1:12">
      <c r="A874" t="s">
        <v>1433</v>
      </c>
      <c r="B874" s="1">
        <v>46164</v>
      </c>
      <c r="C874" t="s">
        <v>1291</v>
      </c>
      <c r="D874" t="s">
        <v>71</v>
      </c>
      <c r="E874" t="s">
        <v>21</v>
      </c>
      <c r="F874">
        <v>5</v>
      </c>
      <c r="G874">
        <v>1299</v>
      </c>
      <c r="H874">
        <v>0</v>
      </c>
      <c r="I874" t="s">
        <v>32</v>
      </c>
      <c r="J874" t="s">
        <v>28</v>
      </c>
      <c r="K874" t="s">
        <v>17</v>
      </c>
      <c r="L874">
        <f>F873*G873*(1-H873)</f>
        <v>1707.1499999999999</v>
      </c>
    </row>
    <row r="875" spans="1:12">
      <c r="A875" t="s">
        <v>1434</v>
      </c>
      <c r="B875" s="1">
        <v>46050</v>
      </c>
      <c r="C875" t="s">
        <v>88</v>
      </c>
      <c r="D875" t="s">
        <v>43</v>
      </c>
      <c r="E875" t="s">
        <v>40</v>
      </c>
      <c r="F875">
        <v>4</v>
      </c>
      <c r="G875">
        <v>4999</v>
      </c>
      <c r="H875">
        <v>0.05</v>
      </c>
      <c r="I875" t="s">
        <v>44</v>
      </c>
      <c r="J875" t="s">
        <v>51</v>
      </c>
      <c r="K875" t="s">
        <v>23</v>
      </c>
      <c r="L875">
        <f>F874*G874*(1-H874)</f>
        <v>6495</v>
      </c>
    </row>
    <row r="876" spans="1:12">
      <c r="A876" t="s">
        <v>1435</v>
      </c>
      <c r="B876" s="1">
        <v>46295</v>
      </c>
      <c r="C876" t="s">
        <v>1203</v>
      </c>
      <c r="D876" t="s">
        <v>71</v>
      </c>
      <c r="E876" t="s">
        <v>40</v>
      </c>
      <c r="F876">
        <v>4</v>
      </c>
      <c r="G876">
        <v>799</v>
      </c>
      <c r="H876">
        <v>0</v>
      </c>
      <c r="I876" t="s">
        <v>32</v>
      </c>
      <c r="J876" t="s">
        <v>16</v>
      </c>
      <c r="K876" t="s">
        <v>17</v>
      </c>
      <c r="L876">
        <f>F875*G875*(1-H875)</f>
        <v>18996.2</v>
      </c>
    </row>
    <row r="877" spans="1:12">
      <c r="A877" t="s">
        <v>1436</v>
      </c>
      <c r="B877" s="1">
        <v>46063</v>
      </c>
      <c r="C877" t="s">
        <v>1437</v>
      </c>
      <c r="D877" t="s">
        <v>62</v>
      </c>
      <c r="E877" t="s">
        <v>21</v>
      </c>
      <c r="F877">
        <v>3</v>
      </c>
      <c r="G877">
        <v>499</v>
      </c>
      <c r="H877">
        <v>0.05</v>
      </c>
      <c r="I877" t="s">
        <v>32</v>
      </c>
      <c r="J877" t="s">
        <v>36</v>
      </c>
      <c r="K877" t="s">
        <v>37</v>
      </c>
      <c r="L877">
        <f>F876*G876*(1-H876)</f>
        <v>3196</v>
      </c>
    </row>
    <row r="878" spans="1:12">
      <c r="A878" t="s">
        <v>1438</v>
      </c>
      <c r="B878" s="1">
        <v>46047</v>
      </c>
      <c r="C878" t="s">
        <v>837</v>
      </c>
      <c r="D878" t="s">
        <v>31</v>
      </c>
      <c r="E878" t="s">
        <v>40</v>
      </c>
      <c r="F878">
        <v>2</v>
      </c>
      <c r="G878">
        <v>1499</v>
      </c>
      <c r="H878">
        <v>0.05</v>
      </c>
      <c r="I878" t="s">
        <v>47</v>
      </c>
      <c r="J878" t="s">
        <v>28</v>
      </c>
      <c r="K878" t="s">
        <v>37</v>
      </c>
      <c r="L878">
        <f>F877*G877*(1-H877)</f>
        <v>1422.1499999999999</v>
      </c>
    </row>
    <row r="879" spans="1:12">
      <c r="A879" t="s">
        <v>1439</v>
      </c>
      <c r="B879" s="1">
        <v>46250</v>
      </c>
      <c r="C879" t="s">
        <v>117</v>
      </c>
      <c r="D879" t="s">
        <v>26</v>
      </c>
      <c r="E879" t="s">
        <v>40</v>
      </c>
      <c r="F879">
        <v>2</v>
      </c>
      <c r="G879">
        <v>499</v>
      </c>
      <c r="H879">
        <v>0.15</v>
      </c>
      <c r="I879" t="s">
        <v>32</v>
      </c>
      <c r="J879" t="s">
        <v>51</v>
      </c>
      <c r="K879" t="s">
        <v>37</v>
      </c>
      <c r="L879">
        <f>F878*G878*(1-H878)</f>
        <v>2848.1</v>
      </c>
    </row>
    <row r="880" spans="1:12">
      <c r="A880" t="s">
        <v>1440</v>
      </c>
      <c r="B880" s="1">
        <v>46286</v>
      </c>
      <c r="C880" t="s">
        <v>597</v>
      </c>
      <c r="D880" t="s">
        <v>71</v>
      </c>
      <c r="E880" t="s">
        <v>21</v>
      </c>
      <c r="F880">
        <v>5</v>
      </c>
      <c r="G880">
        <v>4999</v>
      </c>
      <c r="H880">
        <v>0.1</v>
      </c>
      <c r="I880" t="s">
        <v>44</v>
      </c>
      <c r="J880" t="s">
        <v>28</v>
      </c>
      <c r="K880" t="s">
        <v>17</v>
      </c>
      <c r="L880">
        <f>F879*G879*(1-H879)</f>
        <v>848.3</v>
      </c>
    </row>
    <row r="881" spans="1:12">
      <c r="A881" t="s">
        <v>1441</v>
      </c>
      <c r="B881" s="1">
        <v>46231</v>
      </c>
      <c r="C881" t="s">
        <v>690</v>
      </c>
      <c r="D881" t="s">
        <v>78</v>
      </c>
      <c r="E881" t="s">
        <v>35</v>
      </c>
      <c r="F881">
        <v>3</v>
      </c>
      <c r="G881">
        <v>999</v>
      </c>
      <c r="H881">
        <v>0</v>
      </c>
      <c r="I881" t="s">
        <v>47</v>
      </c>
      <c r="J881" t="s">
        <v>51</v>
      </c>
      <c r="K881" t="s">
        <v>23</v>
      </c>
      <c r="L881">
        <f>F880*G880*(1-H880)</f>
        <v>22495.5</v>
      </c>
    </row>
    <row r="882" spans="1:12">
      <c r="A882" t="s">
        <v>1442</v>
      </c>
      <c r="B882" s="1">
        <v>46069</v>
      </c>
      <c r="C882" t="s">
        <v>88</v>
      </c>
      <c r="D882" t="s">
        <v>43</v>
      </c>
      <c r="E882" t="s">
        <v>21</v>
      </c>
      <c r="F882">
        <v>3</v>
      </c>
      <c r="G882">
        <v>4999</v>
      </c>
      <c r="H882">
        <v>0.05</v>
      </c>
      <c r="I882" t="s">
        <v>47</v>
      </c>
      <c r="J882" t="s">
        <v>51</v>
      </c>
      <c r="K882" t="s">
        <v>17</v>
      </c>
      <c r="L882">
        <f>F881*G881*(1-H881)</f>
        <v>2997</v>
      </c>
    </row>
    <row r="883" spans="1:12">
      <c r="A883" t="s">
        <v>1443</v>
      </c>
      <c r="B883" s="1">
        <v>46116</v>
      </c>
      <c r="C883" t="s">
        <v>1444</v>
      </c>
      <c r="D883" t="s">
        <v>71</v>
      </c>
      <c r="E883" t="s">
        <v>14</v>
      </c>
      <c r="F883">
        <v>4</v>
      </c>
      <c r="G883">
        <v>7999</v>
      </c>
      <c r="H883">
        <v>0.1</v>
      </c>
      <c r="I883" t="s">
        <v>15</v>
      </c>
      <c r="J883" t="s">
        <v>51</v>
      </c>
      <c r="K883" t="s">
        <v>17</v>
      </c>
      <c r="L883">
        <f>F882*G882*(1-H882)</f>
        <v>14247.15</v>
      </c>
    </row>
    <row r="884" spans="1:12">
      <c r="A884" t="s">
        <v>1445</v>
      </c>
      <c r="B884" s="1">
        <v>46085</v>
      </c>
      <c r="C884" t="s">
        <v>61</v>
      </c>
      <c r="D884" t="s">
        <v>78</v>
      </c>
      <c r="E884" t="s">
        <v>14</v>
      </c>
      <c r="F884">
        <v>1</v>
      </c>
      <c r="G884">
        <v>999</v>
      </c>
      <c r="H884">
        <v>0</v>
      </c>
      <c r="I884" t="s">
        <v>47</v>
      </c>
      <c r="J884" t="s">
        <v>16</v>
      </c>
      <c r="K884" t="s">
        <v>17</v>
      </c>
      <c r="L884">
        <f>F883*G883*(1-H883)</f>
        <v>28796.400000000001</v>
      </c>
    </row>
    <row r="885" spans="1:12">
      <c r="A885" t="s">
        <v>1446</v>
      </c>
      <c r="B885" s="1">
        <v>46225</v>
      </c>
      <c r="C885" t="s">
        <v>1009</v>
      </c>
      <c r="D885" t="s">
        <v>56</v>
      </c>
      <c r="E885" t="s">
        <v>14</v>
      </c>
      <c r="F885">
        <v>1</v>
      </c>
      <c r="G885">
        <v>599</v>
      </c>
      <c r="H885">
        <v>0.1</v>
      </c>
      <c r="I885" t="s">
        <v>47</v>
      </c>
      <c r="J885" t="s">
        <v>51</v>
      </c>
      <c r="K885" t="s">
        <v>37</v>
      </c>
      <c r="L885">
        <f>F884*G884*(1-H884)</f>
        <v>999</v>
      </c>
    </row>
    <row r="886" spans="1:12">
      <c r="A886" t="s">
        <v>1447</v>
      </c>
      <c r="B886" s="1">
        <v>46110</v>
      </c>
      <c r="C886" t="s">
        <v>1448</v>
      </c>
      <c r="D886" t="s">
        <v>13</v>
      </c>
      <c r="E886" t="s">
        <v>40</v>
      </c>
      <c r="F886">
        <v>5</v>
      </c>
      <c r="G886">
        <v>7999</v>
      </c>
      <c r="H886">
        <v>0.05</v>
      </c>
      <c r="I886" t="s">
        <v>15</v>
      </c>
      <c r="J886" t="s">
        <v>36</v>
      </c>
      <c r="K886" t="s">
        <v>37</v>
      </c>
      <c r="L886">
        <f>F885*G885*(1-H885)</f>
        <v>539.1</v>
      </c>
    </row>
    <row r="887" spans="1:12">
      <c r="A887" t="s">
        <v>1449</v>
      </c>
      <c r="B887" s="1">
        <v>46282</v>
      </c>
      <c r="C887" t="s">
        <v>583</v>
      </c>
      <c r="D887" t="s">
        <v>20</v>
      </c>
      <c r="E887" t="s">
        <v>21</v>
      </c>
      <c r="F887">
        <v>5</v>
      </c>
      <c r="G887">
        <v>1499</v>
      </c>
      <c r="H887">
        <v>0.05</v>
      </c>
      <c r="I887" t="s">
        <v>50</v>
      </c>
      <c r="J887" t="s">
        <v>16</v>
      </c>
      <c r="K887" t="s">
        <v>17</v>
      </c>
      <c r="L887">
        <f>F886*G886*(1-H886)</f>
        <v>37995.25</v>
      </c>
    </row>
    <row r="888" spans="1:12">
      <c r="A888" t="s">
        <v>1450</v>
      </c>
      <c r="B888" s="1">
        <v>46228</v>
      </c>
      <c r="C888" t="s">
        <v>235</v>
      </c>
      <c r="D888" t="s">
        <v>43</v>
      </c>
      <c r="E888" t="s">
        <v>35</v>
      </c>
      <c r="F888">
        <v>3</v>
      </c>
      <c r="G888">
        <v>1299</v>
      </c>
      <c r="H888">
        <v>0</v>
      </c>
      <c r="I888" t="s">
        <v>44</v>
      </c>
      <c r="J888" t="s">
        <v>51</v>
      </c>
      <c r="K888" t="s">
        <v>23</v>
      </c>
      <c r="L888">
        <f>F887*G887*(1-H887)</f>
        <v>7120.25</v>
      </c>
    </row>
    <row r="889" spans="1:12">
      <c r="A889" t="s">
        <v>1451</v>
      </c>
      <c r="B889" s="1">
        <v>46144</v>
      </c>
      <c r="C889" t="s">
        <v>883</v>
      </c>
      <c r="D889" t="s">
        <v>43</v>
      </c>
      <c r="E889" t="s">
        <v>35</v>
      </c>
      <c r="F889">
        <v>2</v>
      </c>
      <c r="G889">
        <v>1299</v>
      </c>
      <c r="H889">
        <v>0</v>
      </c>
      <c r="I889" t="s">
        <v>47</v>
      </c>
      <c r="J889" t="s">
        <v>51</v>
      </c>
      <c r="K889" t="s">
        <v>17</v>
      </c>
      <c r="L889">
        <f>F888*G888*(1-H888)</f>
        <v>3897</v>
      </c>
    </row>
    <row r="890" spans="1:12">
      <c r="A890" t="s">
        <v>1452</v>
      </c>
      <c r="B890" s="1">
        <v>46087</v>
      </c>
      <c r="C890" t="s">
        <v>287</v>
      </c>
      <c r="D890" t="s">
        <v>43</v>
      </c>
      <c r="E890" t="s">
        <v>21</v>
      </c>
      <c r="F890">
        <v>2</v>
      </c>
      <c r="G890">
        <v>599</v>
      </c>
      <c r="H890">
        <v>0</v>
      </c>
      <c r="I890" t="s">
        <v>47</v>
      </c>
      <c r="J890" t="s">
        <v>28</v>
      </c>
      <c r="K890" t="s">
        <v>37</v>
      </c>
      <c r="L890">
        <f>F889*G889*(1-H889)</f>
        <v>2598</v>
      </c>
    </row>
    <row r="891" spans="1:12">
      <c r="A891" t="s">
        <v>1453</v>
      </c>
      <c r="B891" s="1">
        <v>46063</v>
      </c>
      <c r="C891" t="s">
        <v>1454</v>
      </c>
      <c r="D891" t="s">
        <v>59</v>
      </c>
      <c r="E891" t="s">
        <v>27</v>
      </c>
      <c r="F891">
        <v>3</v>
      </c>
      <c r="G891">
        <v>599</v>
      </c>
      <c r="H891">
        <v>0</v>
      </c>
      <c r="I891" t="s">
        <v>32</v>
      </c>
      <c r="J891" t="s">
        <v>16</v>
      </c>
      <c r="K891" t="s">
        <v>17</v>
      </c>
      <c r="L891">
        <f>F890*G890*(1-H890)</f>
        <v>1198</v>
      </c>
    </row>
    <row r="892" spans="1:12">
      <c r="A892" t="s">
        <v>1455</v>
      </c>
      <c r="B892" s="1">
        <v>46201</v>
      </c>
      <c r="C892" t="s">
        <v>1456</v>
      </c>
      <c r="D892" t="s">
        <v>71</v>
      </c>
      <c r="E892" t="s">
        <v>40</v>
      </c>
      <c r="F892">
        <v>3</v>
      </c>
      <c r="G892">
        <v>1499</v>
      </c>
      <c r="H892">
        <v>0.15</v>
      </c>
      <c r="I892" t="s">
        <v>32</v>
      </c>
      <c r="J892" t="s">
        <v>22</v>
      </c>
      <c r="K892" t="s">
        <v>17</v>
      </c>
      <c r="L892">
        <f>F891*G891*(1-H891)</f>
        <v>1797</v>
      </c>
    </row>
    <row r="893" spans="1:12">
      <c r="A893" t="s">
        <v>1457</v>
      </c>
      <c r="B893" s="1">
        <v>46198</v>
      </c>
      <c r="C893" t="s">
        <v>66</v>
      </c>
      <c r="D893" t="s">
        <v>71</v>
      </c>
      <c r="E893" t="s">
        <v>21</v>
      </c>
      <c r="F893">
        <v>5</v>
      </c>
      <c r="G893">
        <v>1499</v>
      </c>
      <c r="H893">
        <v>0</v>
      </c>
      <c r="I893" t="s">
        <v>44</v>
      </c>
      <c r="J893" t="s">
        <v>51</v>
      </c>
      <c r="K893" t="s">
        <v>23</v>
      </c>
      <c r="L893">
        <f>F892*G892*(1-H892)</f>
        <v>3822.45</v>
      </c>
    </row>
    <row r="894" spans="1:12">
      <c r="A894" t="s">
        <v>1458</v>
      </c>
      <c r="B894" s="1">
        <v>46236</v>
      </c>
      <c r="C894" t="s">
        <v>741</v>
      </c>
      <c r="D894" t="s">
        <v>13</v>
      </c>
      <c r="E894" t="s">
        <v>14</v>
      </c>
      <c r="F894">
        <v>4</v>
      </c>
      <c r="G894">
        <v>7999</v>
      </c>
      <c r="H894">
        <v>0.15</v>
      </c>
      <c r="I894" t="s">
        <v>32</v>
      </c>
      <c r="J894" t="s">
        <v>22</v>
      </c>
      <c r="K894" t="s">
        <v>17</v>
      </c>
      <c r="L894">
        <f>F893*G893*(1-H893)</f>
        <v>7495</v>
      </c>
    </row>
    <row r="895" spans="1:12">
      <c r="A895" t="s">
        <v>1459</v>
      </c>
      <c r="B895" s="1">
        <v>46047</v>
      </c>
      <c r="C895" t="s">
        <v>1318</v>
      </c>
      <c r="D895" t="s">
        <v>56</v>
      </c>
      <c r="E895" t="s">
        <v>40</v>
      </c>
      <c r="F895">
        <v>4</v>
      </c>
      <c r="G895">
        <v>999</v>
      </c>
      <c r="H895">
        <v>0</v>
      </c>
      <c r="I895" t="s">
        <v>15</v>
      </c>
      <c r="J895" t="s">
        <v>28</v>
      </c>
      <c r="K895" t="s">
        <v>23</v>
      </c>
      <c r="L895">
        <f>F894*G894*(1-H894)</f>
        <v>27196.6</v>
      </c>
    </row>
    <row r="896" spans="1:12">
      <c r="A896" t="s">
        <v>1460</v>
      </c>
      <c r="B896" s="1">
        <v>46059</v>
      </c>
      <c r="C896" t="s">
        <v>64</v>
      </c>
      <c r="D896" t="s">
        <v>31</v>
      </c>
      <c r="E896" t="s">
        <v>27</v>
      </c>
      <c r="F896">
        <v>3</v>
      </c>
      <c r="G896">
        <v>999</v>
      </c>
      <c r="H896">
        <v>0.15</v>
      </c>
      <c r="I896" t="s">
        <v>50</v>
      </c>
      <c r="J896" t="s">
        <v>22</v>
      </c>
      <c r="K896" t="s">
        <v>17</v>
      </c>
      <c r="L896">
        <f>F895*G895*(1-H895)</f>
        <v>3996</v>
      </c>
    </row>
    <row r="897" spans="1:12">
      <c r="A897" t="s">
        <v>1461</v>
      </c>
      <c r="B897" s="1">
        <v>46086</v>
      </c>
      <c r="C897" t="s">
        <v>1462</v>
      </c>
      <c r="D897" t="s">
        <v>43</v>
      </c>
      <c r="E897" t="s">
        <v>40</v>
      </c>
      <c r="F897">
        <v>2</v>
      </c>
      <c r="G897">
        <v>499</v>
      </c>
      <c r="H897">
        <v>0.1</v>
      </c>
      <c r="I897" t="s">
        <v>47</v>
      </c>
      <c r="J897" t="s">
        <v>16</v>
      </c>
      <c r="K897" t="s">
        <v>37</v>
      </c>
      <c r="L897">
        <f>F896*G896*(1-H896)</f>
        <v>2547.4499999999998</v>
      </c>
    </row>
    <row r="898" spans="1:12">
      <c r="A898" t="s">
        <v>1463</v>
      </c>
      <c r="B898" s="1">
        <v>46171</v>
      </c>
      <c r="C898" t="s">
        <v>320</v>
      </c>
      <c r="D898" t="s">
        <v>71</v>
      </c>
      <c r="E898" t="s">
        <v>14</v>
      </c>
      <c r="F898">
        <v>4</v>
      </c>
      <c r="G898">
        <v>799</v>
      </c>
      <c r="H898">
        <v>0</v>
      </c>
      <c r="I898" t="s">
        <v>32</v>
      </c>
      <c r="J898" t="s">
        <v>28</v>
      </c>
      <c r="K898" t="s">
        <v>37</v>
      </c>
      <c r="L898">
        <f>F897*G897*(1-H897)</f>
        <v>898.2</v>
      </c>
    </row>
    <row r="899" spans="1:12">
      <c r="A899" t="s">
        <v>1464</v>
      </c>
      <c r="B899" s="1">
        <v>46083</v>
      </c>
      <c r="C899" t="s">
        <v>1465</v>
      </c>
      <c r="D899" t="s">
        <v>62</v>
      </c>
      <c r="E899" t="s">
        <v>14</v>
      </c>
      <c r="F899">
        <v>5</v>
      </c>
      <c r="G899">
        <v>499</v>
      </c>
      <c r="H899">
        <v>0</v>
      </c>
      <c r="I899" t="s">
        <v>32</v>
      </c>
      <c r="J899" t="s">
        <v>22</v>
      </c>
      <c r="K899" t="s">
        <v>17</v>
      </c>
      <c r="L899">
        <f>F898*G898*(1-H898)</f>
        <v>3196</v>
      </c>
    </row>
    <row r="900" spans="1:12">
      <c r="A900" t="s">
        <v>1466</v>
      </c>
      <c r="B900" s="1">
        <v>46141</v>
      </c>
      <c r="C900" t="s">
        <v>1467</v>
      </c>
      <c r="D900" t="s">
        <v>56</v>
      </c>
      <c r="E900" t="s">
        <v>27</v>
      </c>
      <c r="F900">
        <v>1</v>
      </c>
      <c r="G900">
        <v>1499</v>
      </c>
      <c r="H900">
        <v>0.1</v>
      </c>
      <c r="I900" t="s">
        <v>44</v>
      </c>
      <c r="J900" t="s">
        <v>16</v>
      </c>
      <c r="K900" t="s">
        <v>17</v>
      </c>
      <c r="L900">
        <f>F899*G899*(1-H899)</f>
        <v>2495</v>
      </c>
    </row>
    <row r="901" spans="1:12">
      <c r="A901" t="s">
        <v>1468</v>
      </c>
      <c r="B901" s="1">
        <v>46031</v>
      </c>
      <c r="C901" t="s">
        <v>1469</v>
      </c>
      <c r="D901" t="s">
        <v>78</v>
      </c>
      <c r="E901" t="s">
        <v>27</v>
      </c>
      <c r="F901">
        <v>3</v>
      </c>
      <c r="G901">
        <v>799</v>
      </c>
      <c r="H901">
        <v>0</v>
      </c>
      <c r="I901" t="s">
        <v>32</v>
      </c>
      <c r="J901" t="s">
        <v>36</v>
      </c>
      <c r="K901" t="s">
        <v>17</v>
      </c>
      <c r="L901">
        <f>F900*G900*(1-H900)</f>
        <v>1349.1000000000001</v>
      </c>
    </row>
    <row r="902" spans="1:12">
      <c r="A902" t="s">
        <v>1470</v>
      </c>
      <c r="B902" s="1">
        <v>46084</v>
      </c>
      <c r="C902" t="s">
        <v>1471</v>
      </c>
      <c r="D902" t="s">
        <v>56</v>
      </c>
      <c r="E902" t="s">
        <v>21</v>
      </c>
      <c r="F902">
        <v>2</v>
      </c>
      <c r="G902">
        <v>999</v>
      </c>
      <c r="H902">
        <v>0.15</v>
      </c>
      <c r="I902" t="s">
        <v>44</v>
      </c>
      <c r="J902" t="s">
        <v>16</v>
      </c>
      <c r="K902" t="s">
        <v>37</v>
      </c>
      <c r="L902">
        <f>F901*G901*(1-H901)</f>
        <v>2397</v>
      </c>
    </row>
    <row r="903" spans="1:12">
      <c r="A903" t="s">
        <v>1472</v>
      </c>
      <c r="B903" s="1">
        <v>46185</v>
      </c>
      <c r="C903" t="s">
        <v>528</v>
      </c>
      <c r="D903" t="s">
        <v>20</v>
      </c>
      <c r="E903" t="s">
        <v>21</v>
      </c>
      <c r="F903">
        <v>3</v>
      </c>
      <c r="G903">
        <v>1299</v>
      </c>
      <c r="H903">
        <v>0.15</v>
      </c>
      <c r="I903" t="s">
        <v>15</v>
      </c>
      <c r="J903" t="s">
        <v>36</v>
      </c>
      <c r="K903" t="s">
        <v>23</v>
      </c>
      <c r="L903">
        <f>F902*G902*(1-H902)</f>
        <v>1698.3</v>
      </c>
    </row>
    <row r="904" spans="1:12">
      <c r="A904" t="s">
        <v>1473</v>
      </c>
      <c r="B904" s="1">
        <v>46207</v>
      </c>
      <c r="C904" t="s">
        <v>753</v>
      </c>
      <c r="D904" t="s">
        <v>31</v>
      </c>
      <c r="E904" t="s">
        <v>21</v>
      </c>
      <c r="F904">
        <v>1</v>
      </c>
      <c r="G904">
        <v>1999</v>
      </c>
      <c r="H904">
        <v>0.15</v>
      </c>
      <c r="I904" t="s">
        <v>47</v>
      </c>
      <c r="J904" t="s">
        <v>51</v>
      </c>
      <c r="K904" t="s">
        <v>17</v>
      </c>
      <c r="L904">
        <f>F903*G903*(1-H903)</f>
        <v>3312.45</v>
      </c>
    </row>
    <row r="905" spans="1:12">
      <c r="A905" t="s">
        <v>1474</v>
      </c>
      <c r="B905" s="1">
        <v>46108</v>
      </c>
      <c r="C905" t="s">
        <v>1475</v>
      </c>
      <c r="D905" t="s">
        <v>31</v>
      </c>
      <c r="E905" t="s">
        <v>40</v>
      </c>
      <c r="F905">
        <v>3</v>
      </c>
      <c r="G905">
        <v>1499</v>
      </c>
      <c r="H905">
        <v>0</v>
      </c>
      <c r="I905" t="s">
        <v>32</v>
      </c>
      <c r="J905" t="s">
        <v>22</v>
      </c>
      <c r="K905" t="s">
        <v>17</v>
      </c>
      <c r="L905">
        <f>F904*G904*(1-H904)</f>
        <v>1699.1499999999999</v>
      </c>
    </row>
    <row r="906" spans="1:12">
      <c r="A906" t="s">
        <v>1476</v>
      </c>
      <c r="B906" s="1">
        <v>46222</v>
      </c>
      <c r="C906" t="s">
        <v>481</v>
      </c>
      <c r="D906" t="s">
        <v>62</v>
      </c>
      <c r="E906" t="s">
        <v>40</v>
      </c>
      <c r="F906">
        <v>4</v>
      </c>
      <c r="G906">
        <v>1299</v>
      </c>
      <c r="H906">
        <v>0.05</v>
      </c>
      <c r="I906" t="s">
        <v>47</v>
      </c>
      <c r="J906" t="s">
        <v>51</v>
      </c>
      <c r="K906" t="s">
        <v>17</v>
      </c>
      <c r="L906">
        <f>F905*G905*(1-H905)</f>
        <v>4497</v>
      </c>
    </row>
    <row r="907" spans="1:12">
      <c r="A907" t="s">
        <v>1477</v>
      </c>
      <c r="B907" s="1">
        <v>46193</v>
      </c>
      <c r="C907" t="s">
        <v>489</v>
      </c>
      <c r="D907" t="s">
        <v>56</v>
      </c>
      <c r="E907" t="s">
        <v>21</v>
      </c>
      <c r="F907">
        <v>5</v>
      </c>
      <c r="G907">
        <v>1299</v>
      </c>
      <c r="H907">
        <v>0.1</v>
      </c>
      <c r="I907" t="s">
        <v>15</v>
      </c>
      <c r="J907" t="s">
        <v>51</v>
      </c>
      <c r="K907" t="s">
        <v>17</v>
      </c>
      <c r="L907">
        <f>F906*G906*(1-H906)</f>
        <v>4936.2</v>
      </c>
    </row>
    <row r="908" spans="1:12">
      <c r="A908" t="s">
        <v>1478</v>
      </c>
      <c r="B908" s="1">
        <v>46164</v>
      </c>
      <c r="C908" t="s">
        <v>653</v>
      </c>
      <c r="D908" t="s">
        <v>26</v>
      </c>
      <c r="E908" t="s">
        <v>35</v>
      </c>
      <c r="F908">
        <v>4</v>
      </c>
      <c r="G908">
        <v>7999</v>
      </c>
      <c r="H908">
        <v>0</v>
      </c>
      <c r="I908" t="s">
        <v>15</v>
      </c>
      <c r="J908" t="s">
        <v>51</v>
      </c>
      <c r="K908" t="s">
        <v>23</v>
      </c>
      <c r="L908">
        <f>F907*G907*(1-H907)</f>
        <v>5845.5</v>
      </c>
    </row>
    <row r="909" spans="1:12">
      <c r="A909" t="s">
        <v>1479</v>
      </c>
      <c r="B909" s="1">
        <v>46114</v>
      </c>
      <c r="C909" t="s">
        <v>338</v>
      </c>
      <c r="D909" t="s">
        <v>43</v>
      </c>
      <c r="E909" t="s">
        <v>21</v>
      </c>
      <c r="F909">
        <v>5</v>
      </c>
      <c r="G909">
        <v>499</v>
      </c>
      <c r="H909">
        <v>0.1</v>
      </c>
      <c r="I909" t="s">
        <v>47</v>
      </c>
      <c r="J909" t="s">
        <v>28</v>
      </c>
      <c r="K909" t="s">
        <v>17</v>
      </c>
      <c r="L909">
        <f>F908*G908*(1-H908)</f>
        <v>31996</v>
      </c>
    </row>
    <row r="910" spans="1:12">
      <c r="A910" t="s">
        <v>1480</v>
      </c>
      <c r="B910" s="1">
        <v>46143</v>
      </c>
      <c r="C910" t="s">
        <v>1261</v>
      </c>
      <c r="D910" t="s">
        <v>59</v>
      </c>
      <c r="E910" t="s">
        <v>35</v>
      </c>
      <c r="F910">
        <v>3</v>
      </c>
      <c r="G910">
        <v>2499</v>
      </c>
      <c r="H910">
        <v>0.15</v>
      </c>
      <c r="I910" t="s">
        <v>44</v>
      </c>
      <c r="J910" t="s">
        <v>16</v>
      </c>
      <c r="K910" t="s">
        <v>37</v>
      </c>
      <c r="L910">
        <f>F909*G909*(1-H909)</f>
        <v>2245.5</v>
      </c>
    </row>
    <row r="911" spans="1:12">
      <c r="A911" t="s">
        <v>1481</v>
      </c>
      <c r="B911" s="1">
        <v>46259</v>
      </c>
      <c r="C911" t="s">
        <v>961</v>
      </c>
      <c r="D911" t="s">
        <v>56</v>
      </c>
      <c r="E911" t="s">
        <v>27</v>
      </c>
      <c r="F911">
        <v>1</v>
      </c>
      <c r="G911">
        <v>499</v>
      </c>
      <c r="H911">
        <v>0.15</v>
      </c>
      <c r="I911" t="s">
        <v>44</v>
      </c>
      <c r="J911" t="s">
        <v>28</v>
      </c>
      <c r="K911" t="s">
        <v>37</v>
      </c>
      <c r="L911">
        <f>F910*G910*(1-H910)</f>
        <v>6372.45</v>
      </c>
    </row>
    <row r="912" spans="1:12">
      <c r="A912" t="s">
        <v>1482</v>
      </c>
      <c r="B912" s="1">
        <v>46148</v>
      </c>
      <c r="C912" t="s">
        <v>209</v>
      </c>
      <c r="D912" t="s">
        <v>26</v>
      </c>
      <c r="E912" t="s">
        <v>14</v>
      </c>
      <c r="F912">
        <v>1</v>
      </c>
      <c r="G912">
        <v>1499</v>
      </c>
      <c r="H912">
        <v>0.05</v>
      </c>
      <c r="I912" t="s">
        <v>15</v>
      </c>
      <c r="J912" t="s">
        <v>36</v>
      </c>
      <c r="K912" t="s">
        <v>17</v>
      </c>
      <c r="L912">
        <f>F911*G911*(1-H911)</f>
        <v>424.15</v>
      </c>
    </row>
    <row r="913" spans="1:12">
      <c r="A913" t="s">
        <v>1483</v>
      </c>
      <c r="B913" s="1">
        <v>46173</v>
      </c>
      <c r="C913" t="s">
        <v>767</v>
      </c>
      <c r="D913" t="s">
        <v>13</v>
      </c>
      <c r="E913" t="s">
        <v>14</v>
      </c>
      <c r="F913">
        <v>4</v>
      </c>
      <c r="G913">
        <v>4999</v>
      </c>
      <c r="H913">
        <v>0.05</v>
      </c>
      <c r="I913" t="s">
        <v>47</v>
      </c>
      <c r="J913" t="s">
        <v>28</v>
      </c>
      <c r="K913" t="s">
        <v>23</v>
      </c>
      <c r="L913">
        <f>F912*G912*(1-H912)</f>
        <v>1424.05</v>
      </c>
    </row>
    <row r="914" spans="1:12">
      <c r="A914" t="s">
        <v>1484</v>
      </c>
      <c r="B914" s="1">
        <v>46273</v>
      </c>
      <c r="C914" t="s">
        <v>755</v>
      </c>
      <c r="D914" t="s">
        <v>31</v>
      </c>
      <c r="E914" t="s">
        <v>35</v>
      </c>
      <c r="F914">
        <v>1</v>
      </c>
      <c r="G914">
        <v>799</v>
      </c>
      <c r="H914">
        <v>0.15</v>
      </c>
      <c r="I914" t="s">
        <v>44</v>
      </c>
      <c r="J914" t="s">
        <v>36</v>
      </c>
      <c r="K914" t="s">
        <v>17</v>
      </c>
      <c r="L914">
        <f>F913*G913*(1-H913)</f>
        <v>18996.2</v>
      </c>
    </row>
    <row r="915" spans="1:12">
      <c r="A915" t="s">
        <v>1485</v>
      </c>
      <c r="B915" s="1">
        <v>46189</v>
      </c>
      <c r="C915" t="s">
        <v>1486</v>
      </c>
      <c r="D915" t="s">
        <v>78</v>
      </c>
      <c r="E915" t="s">
        <v>35</v>
      </c>
      <c r="F915">
        <v>4</v>
      </c>
      <c r="G915">
        <v>1499</v>
      </c>
      <c r="H915">
        <v>0.1</v>
      </c>
      <c r="I915" t="s">
        <v>44</v>
      </c>
      <c r="J915" t="s">
        <v>16</v>
      </c>
      <c r="K915" t="s">
        <v>17</v>
      </c>
      <c r="L915">
        <f>F914*G914*(1-H914)</f>
        <v>679.15</v>
      </c>
    </row>
    <row r="916" spans="1:12">
      <c r="A916" t="s">
        <v>1487</v>
      </c>
      <c r="B916" s="1">
        <v>46028</v>
      </c>
      <c r="C916" t="s">
        <v>1276</v>
      </c>
      <c r="D916" t="s">
        <v>62</v>
      </c>
      <c r="E916" t="s">
        <v>14</v>
      </c>
      <c r="F916">
        <v>1</v>
      </c>
      <c r="G916">
        <v>1499</v>
      </c>
      <c r="H916">
        <v>0.05</v>
      </c>
      <c r="I916" t="s">
        <v>44</v>
      </c>
      <c r="J916" t="s">
        <v>16</v>
      </c>
      <c r="K916" t="s">
        <v>23</v>
      </c>
      <c r="L916">
        <f>F915*G915*(1-H915)</f>
        <v>5396.4000000000005</v>
      </c>
    </row>
    <row r="917" spans="1:12">
      <c r="A917" t="s">
        <v>1488</v>
      </c>
      <c r="B917" s="1">
        <v>46275</v>
      </c>
      <c r="C917" t="s">
        <v>1489</v>
      </c>
      <c r="D917" t="s">
        <v>43</v>
      </c>
      <c r="E917" t="s">
        <v>35</v>
      </c>
      <c r="F917">
        <v>1</v>
      </c>
      <c r="G917">
        <v>999</v>
      </c>
      <c r="H917">
        <v>0.1</v>
      </c>
      <c r="I917" t="s">
        <v>47</v>
      </c>
      <c r="J917" t="s">
        <v>36</v>
      </c>
      <c r="K917" t="s">
        <v>37</v>
      </c>
      <c r="L917">
        <f>F916*G916*(1-H916)</f>
        <v>1424.05</v>
      </c>
    </row>
    <row r="918" spans="1:12">
      <c r="A918" t="s">
        <v>1490</v>
      </c>
      <c r="B918" s="1">
        <v>46241</v>
      </c>
      <c r="C918" t="s">
        <v>1040</v>
      </c>
      <c r="D918" t="s">
        <v>20</v>
      </c>
      <c r="E918" t="s">
        <v>35</v>
      </c>
      <c r="F918">
        <v>4</v>
      </c>
      <c r="G918">
        <v>999</v>
      </c>
      <c r="H918">
        <v>0.05</v>
      </c>
      <c r="I918" t="s">
        <v>15</v>
      </c>
      <c r="J918" t="s">
        <v>36</v>
      </c>
      <c r="K918" t="s">
        <v>17</v>
      </c>
      <c r="L918">
        <f>F917*G917*(1-H917)</f>
        <v>899.1</v>
      </c>
    </row>
    <row r="919" spans="1:12">
      <c r="A919" t="s">
        <v>1491</v>
      </c>
      <c r="B919" s="1">
        <v>46202</v>
      </c>
      <c r="C919" t="s">
        <v>489</v>
      </c>
      <c r="D919" t="s">
        <v>59</v>
      </c>
      <c r="E919" t="s">
        <v>40</v>
      </c>
      <c r="F919">
        <v>5</v>
      </c>
      <c r="G919">
        <v>1499</v>
      </c>
      <c r="H919">
        <v>0.15</v>
      </c>
      <c r="I919" t="s">
        <v>50</v>
      </c>
      <c r="J919" t="s">
        <v>28</v>
      </c>
      <c r="K919" t="s">
        <v>17</v>
      </c>
      <c r="L919">
        <f>F918*G918*(1-H918)</f>
        <v>3796.2</v>
      </c>
    </row>
    <row r="920" spans="1:12">
      <c r="A920" t="s">
        <v>1492</v>
      </c>
      <c r="B920" s="1">
        <v>46053</v>
      </c>
      <c r="C920" t="s">
        <v>1493</v>
      </c>
      <c r="D920" t="s">
        <v>20</v>
      </c>
      <c r="E920" t="s">
        <v>35</v>
      </c>
      <c r="F920">
        <v>5</v>
      </c>
      <c r="G920">
        <v>799</v>
      </c>
      <c r="H920">
        <v>0</v>
      </c>
      <c r="I920" t="s">
        <v>44</v>
      </c>
      <c r="J920" t="s">
        <v>36</v>
      </c>
      <c r="K920" t="s">
        <v>17</v>
      </c>
      <c r="L920">
        <f>F919*G919*(1-H919)</f>
        <v>6370.75</v>
      </c>
    </row>
    <row r="921" spans="1:12">
      <c r="A921" t="s">
        <v>1494</v>
      </c>
      <c r="B921" s="1">
        <v>46139</v>
      </c>
      <c r="C921" t="s">
        <v>1495</v>
      </c>
      <c r="D921" t="s">
        <v>13</v>
      </c>
      <c r="E921" t="s">
        <v>27</v>
      </c>
      <c r="F921">
        <v>3</v>
      </c>
      <c r="G921">
        <v>799</v>
      </c>
      <c r="H921">
        <v>0.1</v>
      </c>
      <c r="I921" t="s">
        <v>50</v>
      </c>
      <c r="J921" t="s">
        <v>51</v>
      </c>
      <c r="K921" t="s">
        <v>17</v>
      </c>
      <c r="L921">
        <f>F920*G920*(1-H920)</f>
        <v>3995</v>
      </c>
    </row>
    <row r="922" spans="1:12">
      <c r="A922" t="s">
        <v>1496</v>
      </c>
      <c r="B922" s="1">
        <v>46070</v>
      </c>
      <c r="C922" t="s">
        <v>1497</v>
      </c>
      <c r="D922" t="s">
        <v>56</v>
      </c>
      <c r="E922" t="s">
        <v>14</v>
      </c>
      <c r="F922">
        <v>1</v>
      </c>
      <c r="G922">
        <v>7999</v>
      </c>
      <c r="H922">
        <v>0</v>
      </c>
      <c r="I922" t="s">
        <v>44</v>
      </c>
      <c r="J922" t="s">
        <v>36</v>
      </c>
      <c r="K922" t="s">
        <v>17</v>
      </c>
      <c r="L922">
        <f>F921*G921*(1-H921)</f>
        <v>2157.3000000000002</v>
      </c>
    </row>
    <row r="923" spans="1:12">
      <c r="A923" t="s">
        <v>1498</v>
      </c>
      <c r="B923" s="1">
        <v>46175</v>
      </c>
      <c r="C923" t="s">
        <v>1499</v>
      </c>
      <c r="D923" t="s">
        <v>43</v>
      </c>
      <c r="E923" t="s">
        <v>21</v>
      </c>
      <c r="F923">
        <v>2</v>
      </c>
      <c r="G923">
        <v>499</v>
      </c>
      <c r="H923">
        <v>0.15</v>
      </c>
      <c r="I923" t="s">
        <v>15</v>
      </c>
      <c r="J923" t="s">
        <v>28</v>
      </c>
      <c r="K923" t="s">
        <v>37</v>
      </c>
      <c r="L923">
        <f>F922*G922*(1-H922)</f>
        <v>7999</v>
      </c>
    </row>
    <row r="924" spans="1:12">
      <c r="A924" t="s">
        <v>1500</v>
      </c>
      <c r="B924" s="1">
        <v>46084</v>
      </c>
      <c r="C924" t="s">
        <v>432</v>
      </c>
      <c r="D924" t="s">
        <v>43</v>
      </c>
      <c r="E924" t="s">
        <v>27</v>
      </c>
      <c r="F924">
        <v>2</v>
      </c>
      <c r="G924">
        <v>2499</v>
      </c>
      <c r="H924">
        <v>0</v>
      </c>
      <c r="I924" t="s">
        <v>44</v>
      </c>
      <c r="J924" t="s">
        <v>36</v>
      </c>
      <c r="K924" t="s">
        <v>17</v>
      </c>
      <c r="L924">
        <f>F923*G923*(1-H923)</f>
        <v>848.3</v>
      </c>
    </row>
    <row r="925" spans="1:12">
      <c r="A925" t="s">
        <v>1501</v>
      </c>
      <c r="B925" s="1">
        <v>46202</v>
      </c>
      <c r="C925" t="s">
        <v>1276</v>
      </c>
      <c r="D925" t="s">
        <v>43</v>
      </c>
      <c r="E925" t="s">
        <v>35</v>
      </c>
      <c r="F925">
        <v>4</v>
      </c>
      <c r="G925">
        <v>1999</v>
      </c>
      <c r="H925">
        <v>0</v>
      </c>
      <c r="I925" t="s">
        <v>50</v>
      </c>
      <c r="J925" t="s">
        <v>28</v>
      </c>
      <c r="K925" t="s">
        <v>17</v>
      </c>
      <c r="L925">
        <f>F924*G924*(1-H924)</f>
        <v>4998</v>
      </c>
    </row>
    <row r="926" spans="1:12">
      <c r="A926" t="s">
        <v>1502</v>
      </c>
      <c r="B926" s="1">
        <v>46132</v>
      </c>
      <c r="C926" t="s">
        <v>333</v>
      </c>
      <c r="D926" t="s">
        <v>31</v>
      </c>
      <c r="E926" t="s">
        <v>14</v>
      </c>
      <c r="F926">
        <v>5</v>
      </c>
      <c r="G926">
        <v>1299</v>
      </c>
      <c r="H926">
        <v>0.1</v>
      </c>
      <c r="I926" t="s">
        <v>32</v>
      </c>
      <c r="J926" t="s">
        <v>36</v>
      </c>
      <c r="K926" t="s">
        <v>23</v>
      </c>
      <c r="L926">
        <f>F925*G925*(1-H925)</f>
        <v>7996</v>
      </c>
    </row>
    <row r="927" spans="1:12">
      <c r="A927" t="s">
        <v>1503</v>
      </c>
      <c r="B927" s="1">
        <v>46163</v>
      </c>
      <c r="C927" t="s">
        <v>1125</v>
      </c>
      <c r="D927" t="s">
        <v>20</v>
      </c>
      <c r="E927" t="s">
        <v>21</v>
      </c>
      <c r="F927">
        <v>3</v>
      </c>
      <c r="G927">
        <v>4999</v>
      </c>
      <c r="H927">
        <v>0</v>
      </c>
      <c r="I927" t="s">
        <v>15</v>
      </c>
      <c r="J927" t="s">
        <v>36</v>
      </c>
      <c r="K927" t="s">
        <v>17</v>
      </c>
      <c r="L927">
        <f>F926*G926*(1-H926)</f>
        <v>5845.5</v>
      </c>
    </row>
    <row r="928" spans="1:12">
      <c r="A928" t="s">
        <v>1504</v>
      </c>
      <c r="B928" s="1">
        <v>46036</v>
      </c>
      <c r="C928" t="s">
        <v>205</v>
      </c>
      <c r="D928" t="s">
        <v>71</v>
      </c>
      <c r="E928" t="s">
        <v>35</v>
      </c>
      <c r="F928">
        <v>1</v>
      </c>
      <c r="G928">
        <v>1299</v>
      </c>
      <c r="H928">
        <v>0.1</v>
      </c>
      <c r="I928" t="s">
        <v>32</v>
      </c>
      <c r="J928" t="s">
        <v>16</v>
      </c>
      <c r="K928" t="s">
        <v>17</v>
      </c>
      <c r="L928">
        <f>F927*G927*(1-H927)</f>
        <v>14997</v>
      </c>
    </row>
    <row r="929" spans="1:12">
      <c r="A929" t="s">
        <v>1505</v>
      </c>
      <c r="B929" s="1">
        <v>46197</v>
      </c>
      <c r="C929" t="s">
        <v>1184</v>
      </c>
      <c r="D929" t="s">
        <v>62</v>
      </c>
      <c r="E929" t="s">
        <v>27</v>
      </c>
      <c r="F929">
        <v>4</v>
      </c>
      <c r="G929">
        <v>1499</v>
      </c>
      <c r="H929">
        <v>0.05</v>
      </c>
      <c r="I929" t="s">
        <v>47</v>
      </c>
      <c r="J929" t="s">
        <v>16</v>
      </c>
      <c r="K929" t="s">
        <v>17</v>
      </c>
      <c r="L929">
        <f>F928*G928*(1-H928)</f>
        <v>1169.1000000000001</v>
      </c>
    </row>
    <row r="930" spans="1:12">
      <c r="A930" t="s">
        <v>1506</v>
      </c>
      <c r="B930" s="1">
        <v>46133</v>
      </c>
      <c r="C930" t="s">
        <v>46</v>
      </c>
      <c r="D930" t="s">
        <v>31</v>
      </c>
      <c r="E930" t="s">
        <v>27</v>
      </c>
      <c r="F930">
        <v>2</v>
      </c>
      <c r="G930">
        <v>1299</v>
      </c>
      <c r="H930">
        <v>0.15</v>
      </c>
      <c r="I930" t="s">
        <v>50</v>
      </c>
      <c r="J930" t="s">
        <v>28</v>
      </c>
      <c r="K930" t="s">
        <v>17</v>
      </c>
      <c r="L930">
        <f>F929*G929*(1-H929)</f>
        <v>5696.2</v>
      </c>
    </row>
    <row r="931" spans="1:12">
      <c r="A931" t="s">
        <v>1507</v>
      </c>
      <c r="B931" s="1">
        <v>46205</v>
      </c>
      <c r="C931" t="s">
        <v>1508</v>
      </c>
      <c r="D931" t="s">
        <v>78</v>
      </c>
      <c r="E931" t="s">
        <v>14</v>
      </c>
      <c r="F931">
        <v>5</v>
      </c>
      <c r="G931">
        <v>7999</v>
      </c>
      <c r="H931">
        <v>0.1</v>
      </c>
      <c r="I931" t="s">
        <v>15</v>
      </c>
      <c r="J931" t="s">
        <v>36</v>
      </c>
      <c r="K931" t="s">
        <v>17</v>
      </c>
      <c r="L931">
        <f>F930*G930*(1-H930)</f>
        <v>2208.2999999999997</v>
      </c>
    </row>
    <row r="932" spans="1:12">
      <c r="A932" t="s">
        <v>1509</v>
      </c>
      <c r="B932" s="1">
        <v>46181</v>
      </c>
      <c r="C932" t="s">
        <v>896</v>
      </c>
      <c r="D932" t="s">
        <v>13</v>
      </c>
      <c r="E932" t="s">
        <v>40</v>
      </c>
      <c r="F932">
        <v>3</v>
      </c>
      <c r="G932">
        <v>999</v>
      </c>
      <c r="H932">
        <v>0</v>
      </c>
      <c r="I932" t="s">
        <v>32</v>
      </c>
      <c r="J932" t="s">
        <v>22</v>
      </c>
      <c r="K932" t="s">
        <v>37</v>
      </c>
      <c r="L932">
        <f>F931*G931*(1-H931)</f>
        <v>35995.5</v>
      </c>
    </row>
    <row r="933" spans="1:12">
      <c r="A933" t="s">
        <v>1510</v>
      </c>
      <c r="B933" s="1">
        <v>46086</v>
      </c>
      <c r="C933" t="s">
        <v>1511</v>
      </c>
      <c r="D933" t="s">
        <v>43</v>
      </c>
      <c r="E933" t="s">
        <v>27</v>
      </c>
      <c r="F933">
        <v>3</v>
      </c>
      <c r="G933">
        <v>4999</v>
      </c>
      <c r="H933">
        <v>0</v>
      </c>
      <c r="I933" t="s">
        <v>47</v>
      </c>
      <c r="J933" t="s">
        <v>51</v>
      </c>
      <c r="K933" t="s">
        <v>23</v>
      </c>
      <c r="L933">
        <f>F932*G932*(1-H932)</f>
        <v>2997</v>
      </c>
    </row>
    <row r="934" spans="1:12">
      <c r="A934" t="s">
        <v>1512</v>
      </c>
      <c r="B934" s="1">
        <v>46245</v>
      </c>
      <c r="C934" t="s">
        <v>1288</v>
      </c>
      <c r="D934" t="s">
        <v>26</v>
      </c>
      <c r="E934" t="s">
        <v>14</v>
      </c>
      <c r="F934">
        <v>1</v>
      </c>
      <c r="G934">
        <v>499</v>
      </c>
      <c r="H934">
        <v>0.15</v>
      </c>
      <c r="I934" t="s">
        <v>44</v>
      </c>
      <c r="J934" t="s">
        <v>22</v>
      </c>
      <c r="K934" t="s">
        <v>17</v>
      </c>
      <c r="L934">
        <f>F933*G933*(1-H933)</f>
        <v>14997</v>
      </c>
    </row>
    <row r="935" spans="1:12">
      <c r="A935" t="s">
        <v>1513</v>
      </c>
      <c r="B935" s="1">
        <v>46090</v>
      </c>
      <c r="C935" t="s">
        <v>1514</v>
      </c>
      <c r="D935" t="s">
        <v>13</v>
      </c>
      <c r="E935" t="s">
        <v>40</v>
      </c>
      <c r="F935">
        <v>5</v>
      </c>
      <c r="G935">
        <v>7999</v>
      </c>
      <c r="H935">
        <v>0.15</v>
      </c>
      <c r="I935" t="s">
        <v>44</v>
      </c>
      <c r="J935" t="s">
        <v>22</v>
      </c>
      <c r="K935" t="s">
        <v>37</v>
      </c>
      <c r="L935">
        <f>F934*G934*(1-H934)</f>
        <v>424.15</v>
      </c>
    </row>
    <row r="936" spans="1:12">
      <c r="A936" t="s">
        <v>1515</v>
      </c>
      <c r="B936" s="1">
        <v>46284</v>
      </c>
      <c r="C936" t="s">
        <v>61</v>
      </c>
      <c r="D936" t="s">
        <v>31</v>
      </c>
      <c r="E936" t="s">
        <v>35</v>
      </c>
      <c r="F936">
        <v>2</v>
      </c>
      <c r="G936">
        <v>599</v>
      </c>
      <c r="H936">
        <v>0</v>
      </c>
      <c r="I936" t="s">
        <v>32</v>
      </c>
      <c r="J936" t="s">
        <v>16</v>
      </c>
      <c r="K936" t="s">
        <v>23</v>
      </c>
      <c r="L936">
        <f>F935*G935*(1-H935)</f>
        <v>33995.75</v>
      </c>
    </row>
    <row r="937" spans="1:12">
      <c r="A937" t="s">
        <v>1516</v>
      </c>
      <c r="B937" s="1">
        <v>46258</v>
      </c>
      <c r="C937" t="s">
        <v>1225</v>
      </c>
      <c r="D937" t="s">
        <v>62</v>
      </c>
      <c r="E937" t="s">
        <v>35</v>
      </c>
      <c r="F937">
        <v>3</v>
      </c>
      <c r="G937">
        <v>799</v>
      </c>
      <c r="H937">
        <v>0</v>
      </c>
      <c r="I937" t="s">
        <v>50</v>
      </c>
      <c r="J937" t="s">
        <v>22</v>
      </c>
      <c r="K937" t="s">
        <v>17</v>
      </c>
      <c r="L937">
        <f>F936*G936*(1-H936)</f>
        <v>1198</v>
      </c>
    </row>
    <row r="938" spans="1:12">
      <c r="A938" t="s">
        <v>1517</v>
      </c>
      <c r="B938" s="1">
        <v>46122</v>
      </c>
      <c r="C938" t="s">
        <v>417</v>
      </c>
      <c r="D938" t="s">
        <v>56</v>
      </c>
      <c r="E938" t="s">
        <v>14</v>
      </c>
      <c r="F938">
        <v>5</v>
      </c>
      <c r="G938">
        <v>1299</v>
      </c>
      <c r="H938">
        <v>0.1</v>
      </c>
      <c r="I938" t="s">
        <v>47</v>
      </c>
      <c r="J938" t="s">
        <v>28</v>
      </c>
      <c r="K938" t="s">
        <v>17</v>
      </c>
      <c r="L938">
        <f>F937*G937*(1-H937)</f>
        <v>2397</v>
      </c>
    </row>
    <row r="939" spans="1:12">
      <c r="A939" t="s">
        <v>1518</v>
      </c>
      <c r="B939" s="1">
        <v>46270</v>
      </c>
      <c r="C939" t="s">
        <v>1519</v>
      </c>
      <c r="D939" t="s">
        <v>62</v>
      </c>
      <c r="E939" t="s">
        <v>14</v>
      </c>
      <c r="F939">
        <v>4</v>
      </c>
      <c r="G939">
        <v>2499</v>
      </c>
      <c r="H939">
        <v>0</v>
      </c>
      <c r="I939" t="s">
        <v>47</v>
      </c>
      <c r="J939" t="s">
        <v>22</v>
      </c>
      <c r="K939" t="s">
        <v>17</v>
      </c>
      <c r="L939">
        <f>F938*G938*(1-H938)</f>
        <v>5845.5</v>
      </c>
    </row>
    <row r="940" spans="1:12">
      <c r="A940" t="s">
        <v>1520</v>
      </c>
      <c r="B940" s="1">
        <v>46182</v>
      </c>
      <c r="C940" t="s">
        <v>1521</v>
      </c>
      <c r="D940" t="s">
        <v>43</v>
      </c>
      <c r="E940" t="s">
        <v>14</v>
      </c>
      <c r="F940">
        <v>5</v>
      </c>
      <c r="G940">
        <v>1299</v>
      </c>
      <c r="H940">
        <v>0.15</v>
      </c>
      <c r="I940" t="s">
        <v>47</v>
      </c>
      <c r="J940" t="s">
        <v>22</v>
      </c>
      <c r="K940" t="s">
        <v>23</v>
      </c>
      <c r="L940">
        <f>F939*G939*(1-H939)</f>
        <v>9996</v>
      </c>
    </row>
    <row r="941" spans="1:12">
      <c r="A941" t="s">
        <v>1522</v>
      </c>
      <c r="B941" s="1">
        <v>46244</v>
      </c>
      <c r="C941" t="s">
        <v>1523</v>
      </c>
      <c r="D941" t="s">
        <v>62</v>
      </c>
      <c r="E941" t="s">
        <v>27</v>
      </c>
      <c r="F941">
        <v>5</v>
      </c>
      <c r="G941">
        <v>599</v>
      </c>
      <c r="H941">
        <v>0.15</v>
      </c>
      <c r="I941" t="s">
        <v>15</v>
      </c>
      <c r="J941" t="s">
        <v>16</v>
      </c>
      <c r="K941" t="s">
        <v>23</v>
      </c>
      <c r="L941">
        <f>F940*G940*(1-H940)</f>
        <v>5520.75</v>
      </c>
    </row>
    <row r="942" spans="1:12">
      <c r="A942" t="s">
        <v>1524</v>
      </c>
      <c r="B942" s="1">
        <v>46262</v>
      </c>
      <c r="C942" t="s">
        <v>1525</v>
      </c>
      <c r="D942" t="s">
        <v>56</v>
      </c>
      <c r="E942" t="s">
        <v>40</v>
      </c>
      <c r="F942">
        <v>2</v>
      </c>
      <c r="G942">
        <v>2499</v>
      </c>
      <c r="H942">
        <v>0.15</v>
      </c>
      <c r="I942" t="s">
        <v>50</v>
      </c>
      <c r="J942" t="s">
        <v>16</v>
      </c>
      <c r="K942" t="s">
        <v>17</v>
      </c>
      <c r="L942">
        <f>F941*G941*(1-H941)</f>
        <v>2545.75</v>
      </c>
    </row>
    <row r="943" spans="1:12">
      <c r="A943" t="s">
        <v>1526</v>
      </c>
      <c r="B943" s="1">
        <v>46030</v>
      </c>
      <c r="C943" t="s">
        <v>298</v>
      </c>
      <c r="D943" t="s">
        <v>26</v>
      </c>
      <c r="E943" t="s">
        <v>40</v>
      </c>
      <c r="F943">
        <v>5</v>
      </c>
      <c r="G943">
        <v>799</v>
      </c>
      <c r="H943">
        <v>0</v>
      </c>
      <c r="I943" t="s">
        <v>15</v>
      </c>
      <c r="J943" t="s">
        <v>16</v>
      </c>
      <c r="K943" t="s">
        <v>23</v>
      </c>
      <c r="L943">
        <f>F942*G942*(1-H942)</f>
        <v>4248.3</v>
      </c>
    </row>
    <row r="944" spans="1:12">
      <c r="A944" t="s">
        <v>1527</v>
      </c>
      <c r="B944" s="1">
        <v>46223</v>
      </c>
      <c r="C944" t="s">
        <v>75</v>
      </c>
      <c r="D944" t="s">
        <v>13</v>
      </c>
      <c r="E944" t="s">
        <v>14</v>
      </c>
      <c r="F944">
        <v>1</v>
      </c>
      <c r="G944">
        <v>799</v>
      </c>
      <c r="H944">
        <v>0</v>
      </c>
      <c r="I944" t="s">
        <v>47</v>
      </c>
      <c r="J944" t="s">
        <v>28</v>
      </c>
      <c r="K944" t="s">
        <v>37</v>
      </c>
      <c r="L944">
        <f>F943*G943*(1-H943)</f>
        <v>3995</v>
      </c>
    </row>
    <row r="945" spans="1:12">
      <c r="A945" t="s">
        <v>1528</v>
      </c>
      <c r="B945" s="1">
        <v>46042</v>
      </c>
      <c r="C945" t="s">
        <v>1077</v>
      </c>
      <c r="D945" t="s">
        <v>20</v>
      </c>
      <c r="E945" t="s">
        <v>14</v>
      </c>
      <c r="F945">
        <v>1</v>
      </c>
      <c r="G945">
        <v>1499</v>
      </c>
      <c r="H945">
        <v>0</v>
      </c>
      <c r="I945" t="s">
        <v>32</v>
      </c>
      <c r="J945" t="s">
        <v>51</v>
      </c>
      <c r="K945" t="s">
        <v>17</v>
      </c>
      <c r="L945">
        <f>F944*G944*(1-H944)</f>
        <v>799</v>
      </c>
    </row>
    <row r="946" spans="1:12">
      <c r="A946" t="s">
        <v>1529</v>
      </c>
      <c r="B946" s="1">
        <v>46268</v>
      </c>
      <c r="C946" t="s">
        <v>1530</v>
      </c>
      <c r="D946" t="s">
        <v>71</v>
      </c>
      <c r="E946" t="s">
        <v>40</v>
      </c>
      <c r="F946">
        <v>2</v>
      </c>
      <c r="G946">
        <v>999</v>
      </c>
      <c r="H946">
        <v>0</v>
      </c>
      <c r="I946" t="s">
        <v>44</v>
      </c>
      <c r="J946" t="s">
        <v>51</v>
      </c>
      <c r="K946" t="s">
        <v>17</v>
      </c>
      <c r="L946">
        <f>F945*G945*(1-H945)</f>
        <v>1499</v>
      </c>
    </row>
    <row r="947" spans="1:12">
      <c r="A947" t="s">
        <v>1531</v>
      </c>
      <c r="B947" s="1">
        <v>46128</v>
      </c>
      <c r="C947" t="s">
        <v>351</v>
      </c>
      <c r="D947" t="s">
        <v>71</v>
      </c>
      <c r="E947" t="s">
        <v>21</v>
      </c>
      <c r="F947">
        <v>3</v>
      </c>
      <c r="G947">
        <v>1299</v>
      </c>
      <c r="H947">
        <v>0.05</v>
      </c>
      <c r="I947" t="s">
        <v>47</v>
      </c>
      <c r="J947" t="s">
        <v>36</v>
      </c>
      <c r="K947" t="s">
        <v>17</v>
      </c>
      <c r="L947">
        <f>F946*G946*(1-H946)</f>
        <v>1998</v>
      </c>
    </row>
    <row r="948" spans="1:12">
      <c r="A948" t="s">
        <v>1532</v>
      </c>
      <c r="B948" s="1">
        <v>46033</v>
      </c>
      <c r="C948" t="s">
        <v>1533</v>
      </c>
      <c r="D948" t="s">
        <v>43</v>
      </c>
      <c r="E948" t="s">
        <v>27</v>
      </c>
      <c r="F948">
        <v>4</v>
      </c>
      <c r="G948">
        <v>7999</v>
      </c>
      <c r="H948">
        <v>0.15</v>
      </c>
      <c r="I948" t="s">
        <v>47</v>
      </c>
      <c r="J948" t="s">
        <v>28</v>
      </c>
      <c r="K948" t="s">
        <v>23</v>
      </c>
      <c r="L948">
        <f>F947*G947*(1-H947)</f>
        <v>3702.1499999999996</v>
      </c>
    </row>
    <row r="949" spans="1:12">
      <c r="A949" t="s">
        <v>1534</v>
      </c>
      <c r="B949" s="1">
        <v>46172</v>
      </c>
      <c r="C949" t="s">
        <v>801</v>
      </c>
      <c r="D949" t="s">
        <v>59</v>
      </c>
      <c r="E949" t="s">
        <v>21</v>
      </c>
      <c r="F949">
        <v>1</v>
      </c>
      <c r="G949">
        <v>499</v>
      </c>
      <c r="H949">
        <v>0.15</v>
      </c>
      <c r="I949" t="s">
        <v>50</v>
      </c>
      <c r="J949" t="s">
        <v>36</v>
      </c>
      <c r="K949" t="s">
        <v>23</v>
      </c>
      <c r="L949">
        <f>F948*G948*(1-H948)</f>
        <v>27196.6</v>
      </c>
    </row>
    <row r="950" spans="1:12">
      <c r="A950" t="s">
        <v>1535</v>
      </c>
      <c r="B950" s="1">
        <v>46057</v>
      </c>
      <c r="C950" t="s">
        <v>965</v>
      </c>
      <c r="D950" t="s">
        <v>62</v>
      </c>
      <c r="E950" t="s">
        <v>35</v>
      </c>
      <c r="F950">
        <v>5</v>
      </c>
      <c r="G950">
        <v>999</v>
      </c>
      <c r="H950">
        <v>0</v>
      </c>
      <c r="I950" t="s">
        <v>15</v>
      </c>
      <c r="J950" t="s">
        <v>22</v>
      </c>
      <c r="K950" t="s">
        <v>23</v>
      </c>
      <c r="L950">
        <f>F949*G949*(1-H949)</f>
        <v>424.15</v>
      </c>
    </row>
    <row r="951" spans="1:12">
      <c r="A951" t="s">
        <v>1536</v>
      </c>
      <c r="B951" s="1">
        <v>46162</v>
      </c>
      <c r="C951" t="s">
        <v>1068</v>
      </c>
      <c r="D951" t="s">
        <v>20</v>
      </c>
      <c r="E951" t="s">
        <v>14</v>
      </c>
      <c r="F951">
        <v>5</v>
      </c>
      <c r="G951">
        <v>599</v>
      </c>
      <c r="H951">
        <v>0</v>
      </c>
      <c r="I951" t="s">
        <v>50</v>
      </c>
      <c r="J951" t="s">
        <v>22</v>
      </c>
      <c r="K951" t="s">
        <v>37</v>
      </c>
      <c r="L951">
        <f>F950*G950*(1-H950)</f>
        <v>4995</v>
      </c>
    </row>
    <row r="952" spans="1:12">
      <c r="A952" t="s">
        <v>1537</v>
      </c>
      <c r="B952" s="1">
        <v>46234</v>
      </c>
      <c r="C952" t="s">
        <v>448</v>
      </c>
      <c r="D952" t="s">
        <v>31</v>
      </c>
      <c r="E952" t="s">
        <v>35</v>
      </c>
      <c r="F952">
        <v>1</v>
      </c>
      <c r="G952">
        <v>499</v>
      </c>
      <c r="H952">
        <v>0.05</v>
      </c>
      <c r="I952" t="s">
        <v>50</v>
      </c>
      <c r="J952" t="s">
        <v>16</v>
      </c>
      <c r="K952" t="s">
        <v>17</v>
      </c>
      <c r="L952">
        <f>F951*G951*(1-H951)</f>
        <v>2995</v>
      </c>
    </row>
    <row r="953" spans="1:12">
      <c r="A953" t="s">
        <v>1538</v>
      </c>
      <c r="B953" s="1">
        <v>46281</v>
      </c>
      <c r="C953" t="s">
        <v>864</v>
      </c>
      <c r="D953" t="s">
        <v>43</v>
      </c>
      <c r="E953" t="s">
        <v>27</v>
      </c>
      <c r="F953">
        <v>5</v>
      </c>
      <c r="G953">
        <v>1299</v>
      </c>
      <c r="H953">
        <v>0</v>
      </c>
      <c r="I953" t="s">
        <v>15</v>
      </c>
      <c r="J953" t="s">
        <v>36</v>
      </c>
      <c r="K953" t="s">
        <v>17</v>
      </c>
      <c r="L953">
        <f>F952*G952*(1-H952)</f>
        <v>474.04999999999995</v>
      </c>
    </row>
    <row r="954" spans="1:12">
      <c r="A954" t="s">
        <v>1539</v>
      </c>
      <c r="B954" s="1">
        <v>46258</v>
      </c>
      <c r="C954" t="s">
        <v>1540</v>
      </c>
      <c r="D954" t="s">
        <v>20</v>
      </c>
      <c r="E954" t="s">
        <v>27</v>
      </c>
      <c r="F954">
        <v>2</v>
      </c>
      <c r="G954">
        <v>999</v>
      </c>
      <c r="H954">
        <v>0</v>
      </c>
      <c r="I954" t="s">
        <v>32</v>
      </c>
      <c r="J954" t="s">
        <v>22</v>
      </c>
      <c r="K954" t="s">
        <v>23</v>
      </c>
      <c r="L954">
        <f>F953*G953*(1-H953)</f>
        <v>6495</v>
      </c>
    </row>
    <row r="955" spans="1:12">
      <c r="A955" t="s">
        <v>1541</v>
      </c>
      <c r="B955" s="1">
        <v>46146</v>
      </c>
      <c r="C955" t="s">
        <v>808</v>
      </c>
      <c r="D955" t="s">
        <v>43</v>
      </c>
      <c r="E955" t="s">
        <v>21</v>
      </c>
      <c r="F955">
        <v>2</v>
      </c>
      <c r="G955">
        <v>1299</v>
      </c>
      <c r="H955">
        <v>0</v>
      </c>
      <c r="I955" t="s">
        <v>44</v>
      </c>
      <c r="J955" t="s">
        <v>22</v>
      </c>
      <c r="K955" t="s">
        <v>17</v>
      </c>
      <c r="L955">
        <f>F954*G954*(1-H954)</f>
        <v>1998</v>
      </c>
    </row>
    <row r="956" spans="1:12">
      <c r="A956" t="s">
        <v>1542</v>
      </c>
      <c r="B956" s="1">
        <v>46069</v>
      </c>
      <c r="C956" t="s">
        <v>916</v>
      </c>
      <c r="D956" t="s">
        <v>31</v>
      </c>
      <c r="E956" t="s">
        <v>27</v>
      </c>
      <c r="F956">
        <v>5</v>
      </c>
      <c r="G956">
        <v>7999</v>
      </c>
      <c r="H956">
        <v>0.1</v>
      </c>
      <c r="I956" t="s">
        <v>32</v>
      </c>
      <c r="J956" t="s">
        <v>51</v>
      </c>
      <c r="K956" t="s">
        <v>17</v>
      </c>
      <c r="L956">
        <f>F955*G955*(1-H955)</f>
        <v>2598</v>
      </c>
    </row>
    <row r="957" spans="1:12">
      <c r="A957" t="s">
        <v>1543</v>
      </c>
      <c r="B957" s="1">
        <v>46025</v>
      </c>
      <c r="C957" t="s">
        <v>98</v>
      </c>
      <c r="D957" t="s">
        <v>13</v>
      </c>
      <c r="E957" t="s">
        <v>40</v>
      </c>
      <c r="F957">
        <v>1</v>
      </c>
      <c r="G957">
        <v>599</v>
      </c>
      <c r="H957">
        <v>0</v>
      </c>
      <c r="I957" t="s">
        <v>32</v>
      </c>
      <c r="J957" t="s">
        <v>28</v>
      </c>
      <c r="K957" t="s">
        <v>17</v>
      </c>
      <c r="L957">
        <f>F956*G956*(1-H956)</f>
        <v>35995.5</v>
      </c>
    </row>
    <row r="958" spans="1:12">
      <c r="A958" t="s">
        <v>1544</v>
      </c>
      <c r="B958" s="1">
        <v>46275</v>
      </c>
      <c r="C958" t="s">
        <v>677</v>
      </c>
      <c r="D958" t="s">
        <v>62</v>
      </c>
      <c r="E958" t="s">
        <v>21</v>
      </c>
      <c r="F958">
        <v>2</v>
      </c>
      <c r="G958">
        <v>7999</v>
      </c>
      <c r="H958">
        <v>0.15</v>
      </c>
      <c r="I958" t="s">
        <v>50</v>
      </c>
      <c r="J958" t="s">
        <v>51</v>
      </c>
      <c r="K958" t="s">
        <v>23</v>
      </c>
      <c r="L958">
        <f>F957*G957*(1-H957)</f>
        <v>599</v>
      </c>
    </row>
    <row r="959" spans="1:12">
      <c r="A959" t="s">
        <v>1545</v>
      </c>
      <c r="B959" s="1">
        <v>46253</v>
      </c>
      <c r="C959" t="s">
        <v>794</v>
      </c>
      <c r="D959" t="s">
        <v>13</v>
      </c>
      <c r="E959" t="s">
        <v>27</v>
      </c>
      <c r="F959">
        <v>2</v>
      </c>
      <c r="G959">
        <v>2499</v>
      </c>
      <c r="H959">
        <v>0.1</v>
      </c>
      <c r="I959" t="s">
        <v>50</v>
      </c>
      <c r="J959" t="s">
        <v>28</v>
      </c>
      <c r="K959" t="s">
        <v>17</v>
      </c>
      <c r="L959">
        <f>F958*G958*(1-H958)</f>
        <v>13598.3</v>
      </c>
    </row>
    <row r="960" spans="1:12">
      <c r="A960" t="s">
        <v>1546</v>
      </c>
      <c r="B960" s="1">
        <v>46183</v>
      </c>
      <c r="C960" t="s">
        <v>1235</v>
      </c>
      <c r="D960" t="s">
        <v>20</v>
      </c>
      <c r="E960" t="s">
        <v>14</v>
      </c>
      <c r="F960">
        <v>1</v>
      </c>
      <c r="G960">
        <v>4999</v>
      </c>
      <c r="H960">
        <v>0.05</v>
      </c>
      <c r="I960" t="s">
        <v>15</v>
      </c>
      <c r="J960" t="s">
        <v>28</v>
      </c>
      <c r="K960" t="s">
        <v>37</v>
      </c>
      <c r="L960">
        <f>F959*G959*(1-H959)</f>
        <v>4498.2</v>
      </c>
    </row>
    <row r="961" spans="1:12">
      <c r="A961" t="s">
        <v>1547</v>
      </c>
      <c r="B961" s="1">
        <v>46278</v>
      </c>
      <c r="C961" t="s">
        <v>117</v>
      </c>
      <c r="D961" t="s">
        <v>26</v>
      </c>
      <c r="E961" t="s">
        <v>21</v>
      </c>
      <c r="F961">
        <v>4</v>
      </c>
      <c r="G961">
        <v>2499</v>
      </c>
      <c r="H961">
        <v>0.05</v>
      </c>
      <c r="I961" t="s">
        <v>47</v>
      </c>
      <c r="J961" t="s">
        <v>28</v>
      </c>
      <c r="K961" t="s">
        <v>17</v>
      </c>
      <c r="L961">
        <f>F960*G960*(1-H960)</f>
        <v>4749.05</v>
      </c>
    </row>
    <row r="962" spans="1:12">
      <c r="A962" t="s">
        <v>1548</v>
      </c>
      <c r="B962" s="1">
        <v>46234</v>
      </c>
      <c r="C962" t="s">
        <v>881</v>
      </c>
      <c r="D962" t="s">
        <v>13</v>
      </c>
      <c r="E962" t="s">
        <v>14</v>
      </c>
      <c r="F962">
        <v>3</v>
      </c>
      <c r="G962">
        <v>599</v>
      </c>
      <c r="H962">
        <v>0.1</v>
      </c>
      <c r="I962" t="s">
        <v>50</v>
      </c>
      <c r="J962" t="s">
        <v>16</v>
      </c>
      <c r="K962" t="s">
        <v>17</v>
      </c>
      <c r="L962">
        <f>F961*G961*(1-H961)</f>
        <v>9496.1999999999989</v>
      </c>
    </row>
    <row r="963" spans="1:12">
      <c r="A963" t="s">
        <v>1549</v>
      </c>
      <c r="B963" s="1">
        <v>46044</v>
      </c>
      <c r="C963" t="s">
        <v>753</v>
      </c>
      <c r="D963" t="s">
        <v>20</v>
      </c>
      <c r="E963" t="s">
        <v>27</v>
      </c>
      <c r="F963">
        <v>4</v>
      </c>
      <c r="G963">
        <v>499</v>
      </c>
      <c r="H963">
        <v>0.1</v>
      </c>
      <c r="I963" t="s">
        <v>44</v>
      </c>
      <c r="J963" t="s">
        <v>51</v>
      </c>
      <c r="K963" t="s">
        <v>17</v>
      </c>
      <c r="L963">
        <f>F962*G962*(1-H962)</f>
        <v>1617.3</v>
      </c>
    </row>
    <row r="964" spans="1:12">
      <c r="A964" t="s">
        <v>1550</v>
      </c>
      <c r="B964" s="1">
        <v>46139</v>
      </c>
      <c r="C964" t="s">
        <v>1551</v>
      </c>
      <c r="D964" t="s">
        <v>31</v>
      </c>
      <c r="E964" t="s">
        <v>40</v>
      </c>
      <c r="F964">
        <v>4</v>
      </c>
      <c r="G964">
        <v>1299</v>
      </c>
      <c r="H964">
        <v>0</v>
      </c>
      <c r="I964" t="s">
        <v>32</v>
      </c>
      <c r="J964" t="s">
        <v>36</v>
      </c>
      <c r="K964" t="s">
        <v>17</v>
      </c>
      <c r="L964">
        <f>F963*G963*(1-H963)</f>
        <v>1796.4</v>
      </c>
    </row>
    <row r="965" spans="1:12">
      <c r="A965" t="s">
        <v>1552</v>
      </c>
      <c r="B965" s="1">
        <v>46249</v>
      </c>
      <c r="C965" t="s">
        <v>1154</v>
      </c>
      <c r="D965" t="s">
        <v>59</v>
      </c>
      <c r="E965" t="s">
        <v>21</v>
      </c>
      <c r="F965">
        <v>4</v>
      </c>
      <c r="G965">
        <v>1499</v>
      </c>
      <c r="H965">
        <v>0</v>
      </c>
      <c r="I965" t="s">
        <v>32</v>
      </c>
      <c r="J965" t="s">
        <v>36</v>
      </c>
      <c r="K965" t="s">
        <v>23</v>
      </c>
      <c r="L965">
        <f>F964*G964*(1-H964)</f>
        <v>5196</v>
      </c>
    </row>
    <row r="966" spans="1:12">
      <c r="A966" t="s">
        <v>1553</v>
      </c>
      <c r="B966" s="1">
        <v>46039</v>
      </c>
      <c r="C966" t="s">
        <v>94</v>
      </c>
      <c r="D966" t="s">
        <v>31</v>
      </c>
      <c r="E966" t="s">
        <v>35</v>
      </c>
      <c r="F966">
        <v>2</v>
      </c>
      <c r="G966">
        <v>1499</v>
      </c>
      <c r="H966">
        <v>0</v>
      </c>
      <c r="I966" t="s">
        <v>47</v>
      </c>
      <c r="J966" t="s">
        <v>28</v>
      </c>
      <c r="K966" t="s">
        <v>37</v>
      </c>
      <c r="L966">
        <f>F965*G965*(1-H965)</f>
        <v>5996</v>
      </c>
    </row>
    <row r="967" spans="1:12">
      <c r="A967" t="s">
        <v>1554</v>
      </c>
      <c r="B967" s="1">
        <v>46270</v>
      </c>
      <c r="C967" t="s">
        <v>881</v>
      </c>
      <c r="D967" t="s">
        <v>56</v>
      </c>
      <c r="E967" t="s">
        <v>14</v>
      </c>
      <c r="F967">
        <v>3</v>
      </c>
      <c r="G967">
        <v>799</v>
      </c>
      <c r="H967">
        <v>0.1</v>
      </c>
      <c r="I967" t="s">
        <v>44</v>
      </c>
      <c r="J967" t="s">
        <v>28</v>
      </c>
      <c r="K967" t="s">
        <v>23</v>
      </c>
      <c r="L967">
        <f>F966*G966*(1-H966)</f>
        <v>2998</v>
      </c>
    </row>
    <row r="968" spans="1:12">
      <c r="A968" t="s">
        <v>1555</v>
      </c>
      <c r="B968" s="1">
        <v>46062</v>
      </c>
      <c r="C968" t="s">
        <v>1132</v>
      </c>
      <c r="D968" t="s">
        <v>31</v>
      </c>
      <c r="E968" t="s">
        <v>14</v>
      </c>
      <c r="F968">
        <v>5</v>
      </c>
      <c r="G968">
        <v>2499</v>
      </c>
      <c r="H968">
        <v>0.15</v>
      </c>
      <c r="I968" t="s">
        <v>50</v>
      </c>
      <c r="J968" t="s">
        <v>28</v>
      </c>
      <c r="K968" t="s">
        <v>17</v>
      </c>
      <c r="L968">
        <f>F967*G967*(1-H967)</f>
        <v>2157.3000000000002</v>
      </c>
    </row>
    <row r="969" spans="1:12">
      <c r="A969" t="s">
        <v>1556</v>
      </c>
      <c r="B969" s="1">
        <v>46096</v>
      </c>
      <c r="C969" t="s">
        <v>910</v>
      </c>
      <c r="D969" t="s">
        <v>71</v>
      </c>
      <c r="E969" t="s">
        <v>14</v>
      </c>
      <c r="F969">
        <v>3</v>
      </c>
      <c r="G969">
        <v>1999</v>
      </c>
      <c r="H969">
        <v>0.1</v>
      </c>
      <c r="I969" t="s">
        <v>44</v>
      </c>
      <c r="J969" t="s">
        <v>28</v>
      </c>
      <c r="K969" t="s">
        <v>17</v>
      </c>
      <c r="L969">
        <f>F968*G968*(1-H968)</f>
        <v>10620.75</v>
      </c>
    </row>
    <row r="970" spans="1:12">
      <c r="A970" t="s">
        <v>1557</v>
      </c>
      <c r="B970" s="1">
        <v>46241</v>
      </c>
      <c r="C970" t="s">
        <v>347</v>
      </c>
      <c r="D970" t="s">
        <v>59</v>
      </c>
      <c r="E970" t="s">
        <v>14</v>
      </c>
      <c r="F970">
        <v>5</v>
      </c>
      <c r="G970">
        <v>499</v>
      </c>
      <c r="H970">
        <v>0.05</v>
      </c>
      <c r="I970" t="s">
        <v>32</v>
      </c>
      <c r="J970" t="s">
        <v>22</v>
      </c>
      <c r="K970" t="s">
        <v>17</v>
      </c>
      <c r="L970">
        <f>F969*G969*(1-H969)</f>
        <v>5397.3</v>
      </c>
    </row>
    <row r="971" spans="1:12">
      <c r="A971" t="s">
        <v>1558</v>
      </c>
      <c r="B971" s="1">
        <v>46077</v>
      </c>
      <c r="C971" t="s">
        <v>1559</v>
      </c>
      <c r="D971" t="s">
        <v>43</v>
      </c>
      <c r="E971" t="s">
        <v>27</v>
      </c>
      <c r="F971">
        <v>5</v>
      </c>
      <c r="G971">
        <v>2499</v>
      </c>
      <c r="H971">
        <v>0</v>
      </c>
      <c r="I971" t="s">
        <v>44</v>
      </c>
      <c r="J971" t="s">
        <v>28</v>
      </c>
      <c r="K971" t="s">
        <v>17</v>
      </c>
      <c r="L971">
        <f>F970*G970*(1-H970)</f>
        <v>2370.25</v>
      </c>
    </row>
    <row r="972" spans="1:12">
      <c r="A972" t="s">
        <v>1560</v>
      </c>
      <c r="B972" s="1">
        <v>46068</v>
      </c>
      <c r="C972" t="s">
        <v>1561</v>
      </c>
      <c r="D972" t="s">
        <v>71</v>
      </c>
      <c r="E972" t="s">
        <v>14</v>
      </c>
      <c r="F972">
        <v>4</v>
      </c>
      <c r="G972">
        <v>7999</v>
      </c>
      <c r="H972">
        <v>0.05</v>
      </c>
      <c r="I972" t="s">
        <v>15</v>
      </c>
      <c r="J972" t="s">
        <v>28</v>
      </c>
      <c r="K972" t="s">
        <v>37</v>
      </c>
      <c r="L972">
        <f>F971*G971*(1-H971)</f>
        <v>12495</v>
      </c>
    </row>
    <row r="973" spans="1:12">
      <c r="A973" t="s">
        <v>1562</v>
      </c>
      <c r="B973" s="1">
        <v>46172</v>
      </c>
      <c r="C973" t="s">
        <v>1563</v>
      </c>
      <c r="D973" t="s">
        <v>71</v>
      </c>
      <c r="E973" t="s">
        <v>27</v>
      </c>
      <c r="F973">
        <v>2</v>
      </c>
      <c r="G973">
        <v>1299</v>
      </c>
      <c r="H973">
        <v>0.05</v>
      </c>
      <c r="I973" t="s">
        <v>44</v>
      </c>
      <c r="J973" t="s">
        <v>36</v>
      </c>
      <c r="K973" t="s">
        <v>17</v>
      </c>
      <c r="L973">
        <f>F972*G972*(1-H972)</f>
        <v>30396.199999999997</v>
      </c>
    </row>
    <row r="974" spans="1:12">
      <c r="A974" t="s">
        <v>1564</v>
      </c>
      <c r="B974" s="1">
        <v>46216</v>
      </c>
      <c r="C974" t="s">
        <v>193</v>
      </c>
      <c r="D974" t="s">
        <v>56</v>
      </c>
      <c r="E974" t="s">
        <v>27</v>
      </c>
      <c r="F974">
        <v>2</v>
      </c>
      <c r="G974">
        <v>999</v>
      </c>
      <c r="H974">
        <v>0.05</v>
      </c>
      <c r="I974" t="s">
        <v>32</v>
      </c>
      <c r="J974" t="s">
        <v>36</v>
      </c>
      <c r="K974" t="s">
        <v>17</v>
      </c>
      <c r="L974">
        <f>F973*G973*(1-H973)</f>
        <v>2468.1</v>
      </c>
    </row>
    <row r="975" spans="1:12">
      <c r="A975" t="s">
        <v>1565</v>
      </c>
      <c r="B975" s="1">
        <v>46154</v>
      </c>
      <c r="C975" t="s">
        <v>1566</v>
      </c>
      <c r="D975" t="s">
        <v>56</v>
      </c>
      <c r="E975" t="s">
        <v>35</v>
      </c>
      <c r="F975">
        <v>2</v>
      </c>
      <c r="G975">
        <v>4999</v>
      </c>
      <c r="H975">
        <v>0</v>
      </c>
      <c r="I975" t="s">
        <v>32</v>
      </c>
      <c r="J975" t="s">
        <v>28</v>
      </c>
      <c r="K975" t="s">
        <v>17</v>
      </c>
      <c r="L975">
        <f>F974*G974*(1-H974)</f>
        <v>1898.1</v>
      </c>
    </row>
    <row r="976" spans="1:12">
      <c r="A976" t="s">
        <v>1567</v>
      </c>
      <c r="B976" s="1">
        <v>46157</v>
      </c>
      <c r="C976" t="s">
        <v>1568</v>
      </c>
      <c r="D976" t="s">
        <v>20</v>
      </c>
      <c r="E976" t="s">
        <v>27</v>
      </c>
      <c r="F976">
        <v>3</v>
      </c>
      <c r="G976">
        <v>599</v>
      </c>
      <c r="H976">
        <v>0</v>
      </c>
      <c r="I976" t="s">
        <v>50</v>
      </c>
      <c r="J976" t="s">
        <v>28</v>
      </c>
      <c r="K976" t="s">
        <v>17</v>
      </c>
      <c r="L976">
        <f>F975*G975*(1-H975)</f>
        <v>9998</v>
      </c>
    </row>
    <row r="977" spans="1:12">
      <c r="A977" t="s">
        <v>1569</v>
      </c>
      <c r="B977" s="1">
        <v>46167</v>
      </c>
      <c r="C977" t="s">
        <v>237</v>
      </c>
      <c r="D977" t="s">
        <v>59</v>
      </c>
      <c r="E977" t="s">
        <v>14</v>
      </c>
      <c r="F977">
        <v>2</v>
      </c>
      <c r="G977">
        <v>799</v>
      </c>
      <c r="H977">
        <v>0</v>
      </c>
      <c r="I977" t="s">
        <v>47</v>
      </c>
      <c r="J977" t="s">
        <v>51</v>
      </c>
      <c r="K977" t="s">
        <v>17</v>
      </c>
      <c r="L977">
        <f>F976*G976*(1-H976)</f>
        <v>1797</v>
      </c>
    </row>
    <row r="978" spans="1:12">
      <c r="A978" t="s">
        <v>1570</v>
      </c>
      <c r="B978" s="1">
        <v>46065</v>
      </c>
      <c r="C978" t="s">
        <v>1028</v>
      </c>
      <c r="D978" t="s">
        <v>56</v>
      </c>
      <c r="E978" t="s">
        <v>21</v>
      </c>
      <c r="F978">
        <v>4</v>
      </c>
      <c r="G978">
        <v>599</v>
      </c>
      <c r="H978">
        <v>0.1</v>
      </c>
      <c r="I978" t="s">
        <v>47</v>
      </c>
      <c r="J978" t="s">
        <v>51</v>
      </c>
      <c r="K978" t="s">
        <v>17</v>
      </c>
      <c r="L978">
        <f>F977*G977*(1-H977)</f>
        <v>1598</v>
      </c>
    </row>
    <row r="979" spans="1:12">
      <c r="A979" t="s">
        <v>1571</v>
      </c>
      <c r="B979" s="1">
        <v>46147</v>
      </c>
      <c r="C979" t="s">
        <v>1572</v>
      </c>
      <c r="D979" t="s">
        <v>62</v>
      </c>
      <c r="E979" t="s">
        <v>35</v>
      </c>
      <c r="F979">
        <v>3</v>
      </c>
      <c r="G979">
        <v>4999</v>
      </c>
      <c r="H979">
        <v>0</v>
      </c>
      <c r="I979" t="s">
        <v>47</v>
      </c>
      <c r="J979" t="s">
        <v>28</v>
      </c>
      <c r="K979" t="s">
        <v>17</v>
      </c>
      <c r="L979">
        <f>F978*G978*(1-H978)</f>
        <v>2156.4</v>
      </c>
    </row>
    <row r="980" spans="1:12">
      <c r="A980" t="s">
        <v>1573</v>
      </c>
      <c r="B980" s="1">
        <v>46090</v>
      </c>
      <c r="C980" t="s">
        <v>1540</v>
      </c>
      <c r="D980" t="s">
        <v>78</v>
      </c>
      <c r="E980" t="s">
        <v>27</v>
      </c>
      <c r="F980">
        <v>2</v>
      </c>
      <c r="G980">
        <v>999</v>
      </c>
      <c r="H980">
        <v>0.1</v>
      </c>
      <c r="I980" t="s">
        <v>50</v>
      </c>
      <c r="J980" t="s">
        <v>28</v>
      </c>
      <c r="K980" t="s">
        <v>37</v>
      </c>
      <c r="L980">
        <f>F979*G979*(1-H979)</f>
        <v>14997</v>
      </c>
    </row>
    <row r="981" spans="1:12">
      <c r="A981" t="s">
        <v>1574</v>
      </c>
      <c r="B981" s="1">
        <v>46166</v>
      </c>
      <c r="C981" t="s">
        <v>211</v>
      </c>
      <c r="D981" t="s">
        <v>56</v>
      </c>
      <c r="E981" t="s">
        <v>40</v>
      </c>
      <c r="F981">
        <v>2</v>
      </c>
      <c r="G981">
        <v>1299</v>
      </c>
      <c r="H981">
        <v>0.1</v>
      </c>
      <c r="I981" t="s">
        <v>15</v>
      </c>
      <c r="J981" t="s">
        <v>28</v>
      </c>
      <c r="K981" t="s">
        <v>37</v>
      </c>
      <c r="L981">
        <f>F980*G980*(1-H980)</f>
        <v>1798.2</v>
      </c>
    </row>
    <row r="982" spans="1:12">
      <c r="A982" t="s">
        <v>1575</v>
      </c>
      <c r="B982" s="1">
        <v>46145</v>
      </c>
      <c r="C982" t="s">
        <v>437</v>
      </c>
      <c r="D982" t="s">
        <v>71</v>
      </c>
      <c r="E982" t="s">
        <v>27</v>
      </c>
      <c r="F982">
        <v>3</v>
      </c>
      <c r="G982">
        <v>1499</v>
      </c>
      <c r="H982">
        <v>0</v>
      </c>
      <c r="I982" t="s">
        <v>32</v>
      </c>
      <c r="J982" t="s">
        <v>28</v>
      </c>
      <c r="K982" t="s">
        <v>17</v>
      </c>
      <c r="L982">
        <f>F981*G981*(1-H981)</f>
        <v>2338.2000000000003</v>
      </c>
    </row>
    <row r="983" spans="1:12">
      <c r="A983" t="s">
        <v>1576</v>
      </c>
      <c r="B983" s="1">
        <v>46082</v>
      </c>
      <c r="C983" t="s">
        <v>956</v>
      </c>
      <c r="D983" t="s">
        <v>59</v>
      </c>
      <c r="E983" t="s">
        <v>35</v>
      </c>
      <c r="F983">
        <v>3</v>
      </c>
      <c r="G983">
        <v>999</v>
      </c>
      <c r="H983">
        <v>0.1</v>
      </c>
      <c r="I983" t="s">
        <v>32</v>
      </c>
      <c r="J983" t="s">
        <v>51</v>
      </c>
      <c r="K983" t="s">
        <v>37</v>
      </c>
      <c r="L983">
        <f>F982*G982*(1-H982)</f>
        <v>4497</v>
      </c>
    </row>
    <row r="984" spans="1:12">
      <c r="A984" t="s">
        <v>1577</v>
      </c>
      <c r="B984" s="1">
        <v>46271</v>
      </c>
      <c r="C984" t="s">
        <v>1578</v>
      </c>
      <c r="D984" t="s">
        <v>43</v>
      </c>
      <c r="E984" t="s">
        <v>21</v>
      </c>
      <c r="F984">
        <v>1</v>
      </c>
      <c r="G984">
        <v>7999</v>
      </c>
      <c r="H984">
        <v>0</v>
      </c>
      <c r="I984" t="s">
        <v>32</v>
      </c>
      <c r="J984" t="s">
        <v>51</v>
      </c>
      <c r="K984" t="s">
        <v>17</v>
      </c>
      <c r="L984">
        <f>F983*G983*(1-H983)</f>
        <v>2697.3</v>
      </c>
    </row>
    <row r="985" spans="1:12">
      <c r="A985" t="s">
        <v>1579</v>
      </c>
      <c r="B985" s="1">
        <v>46047</v>
      </c>
      <c r="C985" t="s">
        <v>602</v>
      </c>
      <c r="D985" t="s">
        <v>78</v>
      </c>
      <c r="E985" t="s">
        <v>35</v>
      </c>
      <c r="F985">
        <v>3</v>
      </c>
      <c r="G985">
        <v>799</v>
      </c>
      <c r="H985">
        <v>0</v>
      </c>
      <c r="I985" t="s">
        <v>47</v>
      </c>
      <c r="J985" t="s">
        <v>51</v>
      </c>
      <c r="K985" t="s">
        <v>17</v>
      </c>
      <c r="L985">
        <f>F984*G984*(1-H984)</f>
        <v>7999</v>
      </c>
    </row>
    <row r="986" spans="1:12">
      <c r="A986" t="s">
        <v>1580</v>
      </c>
      <c r="B986" s="1">
        <v>46154</v>
      </c>
      <c r="C986" t="s">
        <v>1276</v>
      </c>
      <c r="D986" t="s">
        <v>20</v>
      </c>
      <c r="E986" t="s">
        <v>14</v>
      </c>
      <c r="F986">
        <v>1</v>
      </c>
      <c r="G986">
        <v>499</v>
      </c>
      <c r="H986">
        <v>0.15</v>
      </c>
      <c r="I986" t="s">
        <v>44</v>
      </c>
      <c r="J986" t="s">
        <v>36</v>
      </c>
      <c r="K986" t="s">
        <v>17</v>
      </c>
      <c r="L986">
        <f>F985*G985*(1-H985)</f>
        <v>2397</v>
      </c>
    </row>
    <row r="987" spans="1:12">
      <c r="A987" t="s">
        <v>1581</v>
      </c>
      <c r="B987" s="1">
        <v>46167</v>
      </c>
      <c r="C987" t="s">
        <v>1582</v>
      </c>
      <c r="D987" t="s">
        <v>13</v>
      </c>
      <c r="E987" t="s">
        <v>35</v>
      </c>
      <c r="F987">
        <v>3</v>
      </c>
      <c r="G987">
        <v>799</v>
      </c>
      <c r="H987">
        <v>0.05</v>
      </c>
      <c r="I987" t="s">
        <v>15</v>
      </c>
      <c r="J987" t="s">
        <v>16</v>
      </c>
      <c r="K987" t="s">
        <v>37</v>
      </c>
      <c r="L987">
        <f>F986*G986*(1-H986)</f>
        <v>424.15</v>
      </c>
    </row>
    <row r="988" spans="1:12">
      <c r="A988" t="s">
        <v>1583</v>
      </c>
      <c r="B988" s="1">
        <v>46109</v>
      </c>
      <c r="C988" t="s">
        <v>1103</v>
      </c>
      <c r="D988" t="s">
        <v>71</v>
      </c>
      <c r="E988" t="s">
        <v>35</v>
      </c>
      <c r="F988">
        <v>3</v>
      </c>
      <c r="G988">
        <v>1299</v>
      </c>
      <c r="H988">
        <v>0.1</v>
      </c>
      <c r="I988" t="s">
        <v>47</v>
      </c>
      <c r="J988" t="s">
        <v>51</v>
      </c>
      <c r="K988" t="s">
        <v>17</v>
      </c>
      <c r="L988">
        <f>F987*G987*(1-H987)</f>
        <v>2277.15</v>
      </c>
    </row>
    <row r="989" spans="1:12">
      <c r="A989" t="s">
        <v>1584</v>
      </c>
      <c r="B989" s="1">
        <v>46098</v>
      </c>
      <c r="C989" t="s">
        <v>1585</v>
      </c>
      <c r="D989" t="s">
        <v>43</v>
      </c>
      <c r="E989" t="s">
        <v>21</v>
      </c>
      <c r="F989">
        <v>3</v>
      </c>
      <c r="G989">
        <v>1499</v>
      </c>
      <c r="H989">
        <v>0</v>
      </c>
      <c r="I989" t="s">
        <v>15</v>
      </c>
      <c r="J989" t="s">
        <v>36</v>
      </c>
      <c r="K989" t="s">
        <v>17</v>
      </c>
      <c r="L989">
        <f>F988*G988*(1-H988)</f>
        <v>3507.3</v>
      </c>
    </row>
    <row r="990" spans="1:12">
      <c r="A990" t="s">
        <v>1586</v>
      </c>
      <c r="B990" s="1">
        <v>46109</v>
      </c>
      <c r="C990" t="s">
        <v>1038</v>
      </c>
      <c r="D990" t="s">
        <v>56</v>
      </c>
      <c r="E990" t="s">
        <v>35</v>
      </c>
      <c r="F990">
        <v>5</v>
      </c>
      <c r="G990">
        <v>4999</v>
      </c>
      <c r="H990">
        <v>0</v>
      </c>
      <c r="I990" t="s">
        <v>15</v>
      </c>
      <c r="J990" t="s">
        <v>22</v>
      </c>
      <c r="K990" t="s">
        <v>23</v>
      </c>
      <c r="L990">
        <f>F989*G989*(1-H989)</f>
        <v>4497</v>
      </c>
    </row>
    <row r="991" spans="1:12">
      <c r="A991" t="s">
        <v>1587</v>
      </c>
      <c r="B991" s="1">
        <v>46251</v>
      </c>
      <c r="C991" t="s">
        <v>492</v>
      </c>
      <c r="D991" t="s">
        <v>78</v>
      </c>
      <c r="E991" t="s">
        <v>40</v>
      </c>
      <c r="F991">
        <v>2</v>
      </c>
      <c r="G991">
        <v>1999</v>
      </c>
      <c r="H991">
        <v>0.1</v>
      </c>
      <c r="I991" t="s">
        <v>15</v>
      </c>
      <c r="J991" t="s">
        <v>51</v>
      </c>
      <c r="K991" t="s">
        <v>17</v>
      </c>
      <c r="L991">
        <f>F990*G990*(1-H990)</f>
        <v>24995</v>
      </c>
    </row>
    <row r="992" spans="1:12">
      <c r="A992" t="s">
        <v>1588</v>
      </c>
      <c r="B992" s="1">
        <v>46291</v>
      </c>
      <c r="C992" t="s">
        <v>685</v>
      </c>
      <c r="D992" t="s">
        <v>13</v>
      </c>
      <c r="E992" t="s">
        <v>21</v>
      </c>
      <c r="F992">
        <v>5</v>
      </c>
      <c r="G992">
        <v>1999</v>
      </c>
      <c r="H992">
        <v>0.15</v>
      </c>
      <c r="I992" t="s">
        <v>44</v>
      </c>
      <c r="J992" t="s">
        <v>51</v>
      </c>
      <c r="K992" t="s">
        <v>17</v>
      </c>
      <c r="L992">
        <f>F991*G991*(1-H991)</f>
        <v>3598.2000000000003</v>
      </c>
    </row>
    <row r="993" spans="1:12">
      <c r="A993" t="s">
        <v>1589</v>
      </c>
      <c r="B993" s="1">
        <v>46067</v>
      </c>
      <c r="C993" t="s">
        <v>1590</v>
      </c>
      <c r="D993" t="s">
        <v>71</v>
      </c>
      <c r="E993" t="s">
        <v>21</v>
      </c>
      <c r="F993">
        <v>1</v>
      </c>
      <c r="G993">
        <v>599</v>
      </c>
      <c r="H993">
        <v>0.05</v>
      </c>
      <c r="I993" t="s">
        <v>44</v>
      </c>
      <c r="J993" t="s">
        <v>28</v>
      </c>
      <c r="K993" t="s">
        <v>23</v>
      </c>
      <c r="L993">
        <f>F992*G992*(1-H992)</f>
        <v>8495.75</v>
      </c>
    </row>
    <row r="994" spans="1:12">
      <c r="A994" t="s">
        <v>1591</v>
      </c>
      <c r="B994" s="1">
        <v>46033</v>
      </c>
      <c r="C994" t="s">
        <v>49</v>
      </c>
      <c r="D994" t="s">
        <v>78</v>
      </c>
      <c r="E994" t="s">
        <v>35</v>
      </c>
      <c r="F994">
        <v>4</v>
      </c>
      <c r="G994">
        <v>4999</v>
      </c>
      <c r="H994">
        <v>0</v>
      </c>
      <c r="I994" t="s">
        <v>15</v>
      </c>
      <c r="J994" t="s">
        <v>51</v>
      </c>
      <c r="K994" t="s">
        <v>23</v>
      </c>
      <c r="L994">
        <f>F993*G993*(1-H993)</f>
        <v>569.04999999999995</v>
      </c>
    </row>
    <row r="995" spans="1:12">
      <c r="A995" t="s">
        <v>1592</v>
      </c>
      <c r="B995" s="1">
        <v>46117</v>
      </c>
      <c r="C995" t="s">
        <v>1593</v>
      </c>
      <c r="D995" t="s">
        <v>62</v>
      </c>
      <c r="E995" t="s">
        <v>35</v>
      </c>
      <c r="F995">
        <v>1</v>
      </c>
      <c r="G995">
        <v>499</v>
      </c>
      <c r="H995">
        <v>0.1</v>
      </c>
      <c r="I995" t="s">
        <v>47</v>
      </c>
      <c r="J995" t="s">
        <v>22</v>
      </c>
      <c r="K995" t="s">
        <v>37</v>
      </c>
      <c r="L995">
        <f>F994*G994*(1-H994)</f>
        <v>19996</v>
      </c>
    </row>
    <row r="996" spans="1:12">
      <c r="A996" t="s">
        <v>1594</v>
      </c>
      <c r="B996" s="1">
        <v>46222</v>
      </c>
      <c r="C996" t="s">
        <v>1595</v>
      </c>
      <c r="D996" t="s">
        <v>13</v>
      </c>
      <c r="E996" t="s">
        <v>40</v>
      </c>
      <c r="F996">
        <v>5</v>
      </c>
      <c r="G996">
        <v>999</v>
      </c>
      <c r="H996">
        <v>0.1</v>
      </c>
      <c r="I996" t="s">
        <v>47</v>
      </c>
      <c r="J996" t="s">
        <v>28</v>
      </c>
      <c r="K996" t="s">
        <v>23</v>
      </c>
      <c r="L996">
        <f>F995*G995*(1-H995)</f>
        <v>449.1</v>
      </c>
    </row>
    <row r="997" spans="1:12">
      <c r="A997" t="s">
        <v>1596</v>
      </c>
      <c r="B997" s="1">
        <v>46169</v>
      </c>
      <c r="C997" t="s">
        <v>1597</v>
      </c>
      <c r="D997" t="s">
        <v>59</v>
      </c>
      <c r="E997" t="s">
        <v>40</v>
      </c>
      <c r="F997">
        <v>4</v>
      </c>
      <c r="G997">
        <v>599</v>
      </c>
      <c r="H997">
        <v>0</v>
      </c>
      <c r="I997" t="s">
        <v>47</v>
      </c>
      <c r="J997" t="s">
        <v>51</v>
      </c>
      <c r="K997" t="s">
        <v>17</v>
      </c>
      <c r="L997">
        <f>F996*G996*(1-H996)</f>
        <v>4495.5</v>
      </c>
    </row>
    <row r="998" spans="1:12">
      <c r="A998" t="s">
        <v>1598</v>
      </c>
      <c r="B998" s="1">
        <v>46044</v>
      </c>
      <c r="C998" t="s">
        <v>548</v>
      </c>
      <c r="D998" t="s">
        <v>56</v>
      </c>
      <c r="E998" t="s">
        <v>27</v>
      </c>
      <c r="F998">
        <v>3</v>
      </c>
      <c r="G998">
        <v>1299</v>
      </c>
      <c r="H998">
        <v>0.05</v>
      </c>
      <c r="I998" t="s">
        <v>50</v>
      </c>
      <c r="J998" t="s">
        <v>36</v>
      </c>
      <c r="K998" t="s">
        <v>17</v>
      </c>
      <c r="L998">
        <f>F997*G997*(1-H997)</f>
        <v>2396</v>
      </c>
    </row>
    <row r="999" spans="1:12">
      <c r="A999" t="s">
        <v>1599</v>
      </c>
      <c r="B999" s="1">
        <v>46100</v>
      </c>
      <c r="C999" t="s">
        <v>506</v>
      </c>
      <c r="D999" t="s">
        <v>43</v>
      </c>
      <c r="E999" t="s">
        <v>35</v>
      </c>
      <c r="F999">
        <v>3</v>
      </c>
      <c r="G999">
        <v>1299</v>
      </c>
      <c r="H999">
        <v>0.1</v>
      </c>
      <c r="I999" t="s">
        <v>15</v>
      </c>
      <c r="J999" t="s">
        <v>22</v>
      </c>
      <c r="K999" t="s">
        <v>17</v>
      </c>
      <c r="L999">
        <f>F998*G998*(1-H998)</f>
        <v>3702.1499999999996</v>
      </c>
    </row>
    <row r="1000" spans="1:12">
      <c r="A1000" t="s">
        <v>1600</v>
      </c>
      <c r="B1000" s="1">
        <v>46157</v>
      </c>
      <c r="C1000" t="s">
        <v>1601</v>
      </c>
      <c r="D1000" t="s">
        <v>43</v>
      </c>
      <c r="E1000" t="s">
        <v>21</v>
      </c>
      <c r="F1000">
        <v>5</v>
      </c>
      <c r="G1000">
        <v>599</v>
      </c>
      <c r="H1000">
        <v>0.15</v>
      </c>
      <c r="I1000" t="s">
        <v>47</v>
      </c>
      <c r="J1000" t="s">
        <v>28</v>
      </c>
      <c r="K1000" t="s">
        <v>17</v>
      </c>
      <c r="L1000">
        <f>F999*G999*(1-H999)</f>
        <v>3507.3</v>
      </c>
    </row>
    <row r="1001" spans="1:12">
      <c r="A1001" t="s">
        <v>1602</v>
      </c>
      <c r="B1001" s="1">
        <v>46216</v>
      </c>
      <c r="C1001" t="s">
        <v>944</v>
      </c>
      <c r="D1001" t="s">
        <v>43</v>
      </c>
      <c r="E1001" t="s">
        <v>27</v>
      </c>
      <c r="F1001">
        <v>1</v>
      </c>
      <c r="G1001">
        <v>999</v>
      </c>
      <c r="H1001">
        <v>0</v>
      </c>
      <c r="I1001" t="s">
        <v>32</v>
      </c>
      <c r="J1001" t="s">
        <v>36</v>
      </c>
      <c r="K1001" t="s">
        <v>17</v>
      </c>
      <c r="L1001">
        <f>F1000*G1000*(1-H1000)</f>
        <v>2545.75</v>
      </c>
    </row>
    <row r="1002" spans="1:12">
      <c r="A1002" t="s">
        <v>1603</v>
      </c>
      <c r="B1002" s="1">
        <v>46126</v>
      </c>
      <c r="C1002" t="s">
        <v>602</v>
      </c>
      <c r="D1002" t="s">
        <v>20</v>
      </c>
      <c r="E1002" t="s">
        <v>40</v>
      </c>
      <c r="F1002">
        <v>4</v>
      </c>
      <c r="G1002">
        <v>1999</v>
      </c>
      <c r="H1002">
        <v>0.15</v>
      </c>
      <c r="I1002" t="s">
        <v>50</v>
      </c>
      <c r="J1002" t="s">
        <v>51</v>
      </c>
      <c r="K1002" t="s">
        <v>17</v>
      </c>
      <c r="L1002">
        <f>F1001*G1001*(1-H1001)</f>
        <v>999</v>
      </c>
    </row>
    <row r="1003" spans="1:12">
      <c r="A1003" t="s">
        <v>1604</v>
      </c>
      <c r="B1003" s="1">
        <v>46239</v>
      </c>
      <c r="C1003" t="s">
        <v>940</v>
      </c>
      <c r="D1003" t="s">
        <v>56</v>
      </c>
      <c r="E1003" t="s">
        <v>21</v>
      </c>
      <c r="F1003">
        <v>1</v>
      </c>
      <c r="G1003">
        <v>1999</v>
      </c>
      <c r="H1003">
        <v>0.15</v>
      </c>
      <c r="I1003" t="s">
        <v>50</v>
      </c>
      <c r="J1003" t="s">
        <v>22</v>
      </c>
      <c r="K1003" t="s">
        <v>17</v>
      </c>
      <c r="L1003">
        <f>F1002*G1002*(1-H1002)</f>
        <v>6796.5999999999995</v>
      </c>
    </row>
    <row r="1004" spans="1:12">
      <c r="A1004" t="s">
        <v>1605</v>
      </c>
      <c r="B1004" s="1">
        <v>46085</v>
      </c>
      <c r="C1004" t="s">
        <v>1606</v>
      </c>
      <c r="D1004" t="s">
        <v>62</v>
      </c>
      <c r="E1004" t="s">
        <v>40</v>
      </c>
      <c r="F1004">
        <v>1</v>
      </c>
      <c r="G1004">
        <v>2499</v>
      </c>
      <c r="H1004">
        <v>0</v>
      </c>
      <c r="I1004" t="s">
        <v>50</v>
      </c>
      <c r="J1004" t="s">
        <v>36</v>
      </c>
      <c r="K1004" t="s">
        <v>37</v>
      </c>
      <c r="L1004">
        <f>F1003*G1003*(1-H1003)</f>
        <v>1699.1499999999999</v>
      </c>
    </row>
    <row r="1005" spans="1:12">
      <c r="A1005" t="s">
        <v>1607</v>
      </c>
      <c r="B1005" s="1">
        <v>46286</v>
      </c>
      <c r="C1005" t="s">
        <v>539</v>
      </c>
      <c r="D1005" t="s">
        <v>56</v>
      </c>
      <c r="E1005" t="s">
        <v>21</v>
      </c>
      <c r="F1005">
        <v>4</v>
      </c>
      <c r="G1005">
        <v>2499</v>
      </c>
      <c r="H1005">
        <v>0</v>
      </c>
      <c r="I1005" t="s">
        <v>15</v>
      </c>
      <c r="J1005" t="s">
        <v>16</v>
      </c>
      <c r="K1005" t="s">
        <v>17</v>
      </c>
      <c r="L1005">
        <f>F1004*G1004*(1-H1004)</f>
        <v>2499</v>
      </c>
    </row>
    <row r="1006" spans="1:12">
      <c r="A1006" t="s">
        <v>1608</v>
      </c>
      <c r="B1006" s="1">
        <v>46223</v>
      </c>
      <c r="C1006" t="s">
        <v>1276</v>
      </c>
      <c r="D1006" t="s">
        <v>62</v>
      </c>
      <c r="E1006" t="s">
        <v>21</v>
      </c>
      <c r="F1006">
        <v>4</v>
      </c>
      <c r="G1006">
        <v>499</v>
      </c>
      <c r="H1006">
        <v>0.05</v>
      </c>
      <c r="I1006" t="s">
        <v>44</v>
      </c>
      <c r="J1006" t="s">
        <v>36</v>
      </c>
      <c r="K1006" t="s">
        <v>17</v>
      </c>
      <c r="L1006">
        <f>F1005*G1005*(1-H1005)</f>
        <v>9996</v>
      </c>
    </row>
    <row r="1007" spans="1:12">
      <c r="A1007" t="s">
        <v>1609</v>
      </c>
      <c r="B1007" s="1">
        <v>46070</v>
      </c>
      <c r="C1007" t="s">
        <v>241</v>
      </c>
      <c r="D1007" t="s">
        <v>59</v>
      </c>
      <c r="E1007" t="s">
        <v>40</v>
      </c>
      <c r="F1007">
        <v>1</v>
      </c>
      <c r="G1007">
        <v>4999</v>
      </c>
      <c r="H1007">
        <v>0</v>
      </c>
      <c r="I1007" t="s">
        <v>50</v>
      </c>
      <c r="J1007" t="s">
        <v>28</v>
      </c>
      <c r="K1007" t="s">
        <v>37</v>
      </c>
      <c r="L1007">
        <f>F1006*G1006*(1-H1006)</f>
        <v>1896.1999999999998</v>
      </c>
    </row>
    <row r="1008" spans="1:12">
      <c r="A1008" t="s">
        <v>1610</v>
      </c>
      <c r="B1008" s="1">
        <v>46096</v>
      </c>
      <c r="C1008" t="s">
        <v>1611</v>
      </c>
      <c r="D1008" t="s">
        <v>13</v>
      </c>
      <c r="E1008" t="s">
        <v>14</v>
      </c>
      <c r="F1008">
        <v>2</v>
      </c>
      <c r="G1008">
        <v>1299</v>
      </c>
      <c r="H1008">
        <v>0.1</v>
      </c>
      <c r="I1008" t="s">
        <v>50</v>
      </c>
      <c r="J1008" t="s">
        <v>51</v>
      </c>
      <c r="K1008" t="s">
        <v>17</v>
      </c>
      <c r="L1008">
        <f>F1007*G1007*(1-H1007)</f>
        <v>4999</v>
      </c>
    </row>
    <row r="1009" spans="1:12">
      <c r="A1009" t="s">
        <v>1612</v>
      </c>
      <c r="B1009" s="1">
        <v>46069</v>
      </c>
      <c r="C1009" t="s">
        <v>1090</v>
      </c>
      <c r="D1009" t="s">
        <v>43</v>
      </c>
      <c r="E1009" t="s">
        <v>14</v>
      </c>
      <c r="F1009">
        <v>4</v>
      </c>
      <c r="G1009">
        <v>7999</v>
      </c>
      <c r="H1009">
        <v>0.1</v>
      </c>
      <c r="I1009" t="s">
        <v>32</v>
      </c>
      <c r="J1009" t="s">
        <v>28</v>
      </c>
      <c r="K1009" t="s">
        <v>17</v>
      </c>
      <c r="L1009">
        <f>F1008*G1008*(1-H1008)</f>
        <v>2338.2000000000003</v>
      </c>
    </row>
    <row r="1010" spans="1:12">
      <c r="A1010" t="s">
        <v>1613</v>
      </c>
      <c r="B1010" s="1">
        <v>46259</v>
      </c>
      <c r="C1010" t="s">
        <v>763</v>
      </c>
      <c r="D1010" t="s">
        <v>78</v>
      </c>
      <c r="E1010" t="s">
        <v>14</v>
      </c>
      <c r="F1010">
        <v>2</v>
      </c>
      <c r="G1010">
        <v>1499</v>
      </c>
      <c r="H1010">
        <v>0.1</v>
      </c>
      <c r="I1010" t="s">
        <v>44</v>
      </c>
      <c r="J1010" t="s">
        <v>28</v>
      </c>
      <c r="K1010" t="s">
        <v>37</v>
      </c>
      <c r="L1010">
        <f>F1009*G1009*(1-H1009)</f>
        <v>28796.400000000001</v>
      </c>
    </row>
    <row r="1011" spans="1:12">
      <c r="A1011" t="s">
        <v>1614</v>
      </c>
      <c r="B1011" s="1">
        <v>46187</v>
      </c>
      <c r="C1011" t="s">
        <v>958</v>
      </c>
      <c r="D1011" t="s">
        <v>20</v>
      </c>
      <c r="E1011" t="s">
        <v>35</v>
      </c>
      <c r="F1011">
        <v>2</v>
      </c>
      <c r="G1011">
        <v>7999</v>
      </c>
      <c r="H1011">
        <v>0.1</v>
      </c>
      <c r="I1011" t="s">
        <v>15</v>
      </c>
      <c r="J1011" t="s">
        <v>16</v>
      </c>
      <c r="K1011" t="s">
        <v>37</v>
      </c>
      <c r="L1011">
        <f>F1010*G1010*(1-H1010)</f>
        <v>2698.2000000000003</v>
      </c>
    </row>
    <row r="1012" spans="1:12">
      <c r="A1012" t="s">
        <v>1615</v>
      </c>
      <c r="B1012" s="1">
        <v>46105</v>
      </c>
      <c r="C1012" t="s">
        <v>162</v>
      </c>
      <c r="D1012" t="s">
        <v>78</v>
      </c>
      <c r="E1012" t="s">
        <v>27</v>
      </c>
      <c r="F1012">
        <v>2</v>
      </c>
      <c r="G1012">
        <v>799</v>
      </c>
      <c r="H1012">
        <v>0</v>
      </c>
      <c r="I1012" t="s">
        <v>15</v>
      </c>
      <c r="J1012" t="s">
        <v>16</v>
      </c>
      <c r="K1012" t="s">
        <v>17</v>
      </c>
      <c r="L1012">
        <f>F1011*G1011*(1-H1011)</f>
        <v>14398.2</v>
      </c>
    </row>
    <row r="1013" spans="1:12">
      <c r="A1013" t="s">
        <v>1616</v>
      </c>
      <c r="B1013" s="1">
        <v>46205</v>
      </c>
      <c r="C1013" t="s">
        <v>1514</v>
      </c>
      <c r="D1013" t="s">
        <v>43</v>
      </c>
      <c r="E1013" t="s">
        <v>21</v>
      </c>
      <c r="F1013">
        <v>3</v>
      </c>
      <c r="G1013">
        <v>499</v>
      </c>
      <c r="H1013">
        <v>0.05</v>
      </c>
      <c r="I1013" t="s">
        <v>15</v>
      </c>
      <c r="J1013" t="s">
        <v>36</v>
      </c>
      <c r="K1013" t="s">
        <v>37</v>
      </c>
      <c r="L1013">
        <f>F1012*G1012*(1-H1012)</f>
        <v>1598</v>
      </c>
    </row>
    <row r="1014" spans="1:12">
      <c r="A1014" t="s">
        <v>1617</v>
      </c>
      <c r="B1014" s="1">
        <v>46036</v>
      </c>
      <c r="C1014" t="s">
        <v>144</v>
      </c>
      <c r="D1014" t="s">
        <v>43</v>
      </c>
      <c r="E1014" t="s">
        <v>14</v>
      </c>
      <c r="F1014">
        <v>3</v>
      </c>
      <c r="G1014">
        <v>799</v>
      </c>
      <c r="H1014">
        <v>0.1</v>
      </c>
      <c r="I1014" t="s">
        <v>15</v>
      </c>
      <c r="J1014" t="s">
        <v>16</v>
      </c>
      <c r="K1014" t="s">
        <v>37</v>
      </c>
      <c r="L1014">
        <f>F1013*G1013*(1-H1013)</f>
        <v>1422.1499999999999</v>
      </c>
    </row>
    <row r="1015" spans="1:12">
      <c r="A1015" t="s">
        <v>1618</v>
      </c>
      <c r="B1015" s="1">
        <v>46239</v>
      </c>
      <c r="C1015" t="s">
        <v>277</v>
      </c>
      <c r="D1015" t="s">
        <v>78</v>
      </c>
      <c r="E1015" t="s">
        <v>21</v>
      </c>
      <c r="F1015">
        <v>1</v>
      </c>
      <c r="G1015">
        <v>499</v>
      </c>
      <c r="H1015">
        <v>0.15</v>
      </c>
      <c r="I1015" t="s">
        <v>47</v>
      </c>
      <c r="J1015" t="s">
        <v>36</v>
      </c>
      <c r="K1015" t="s">
        <v>23</v>
      </c>
      <c r="L1015">
        <f>F1014*G1014*(1-H1014)</f>
        <v>2157.3000000000002</v>
      </c>
    </row>
    <row r="1016" spans="1:12">
      <c r="A1016" t="s">
        <v>1619</v>
      </c>
      <c r="B1016" s="1">
        <v>46160</v>
      </c>
      <c r="C1016" t="s">
        <v>1370</v>
      </c>
      <c r="D1016" t="s">
        <v>78</v>
      </c>
      <c r="E1016" t="s">
        <v>21</v>
      </c>
      <c r="F1016">
        <v>3</v>
      </c>
      <c r="G1016">
        <v>2499</v>
      </c>
      <c r="H1016">
        <v>0.15</v>
      </c>
      <c r="I1016" t="s">
        <v>15</v>
      </c>
      <c r="J1016" t="s">
        <v>22</v>
      </c>
      <c r="K1016" t="s">
        <v>17</v>
      </c>
      <c r="L1016">
        <f>F1015*G1015*(1-H1015)</f>
        <v>424.15</v>
      </c>
    </row>
    <row r="1017" spans="1:12">
      <c r="A1017" t="s">
        <v>1620</v>
      </c>
      <c r="B1017" s="1">
        <v>46073</v>
      </c>
      <c r="C1017" t="s">
        <v>1621</v>
      </c>
      <c r="D1017" t="s">
        <v>20</v>
      </c>
      <c r="E1017" t="s">
        <v>40</v>
      </c>
      <c r="F1017">
        <v>4</v>
      </c>
      <c r="G1017">
        <v>7999</v>
      </c>
      <c r="H1017">
        <v>0.1</v>
      </c>
      <c r="I1017" t="s">
        <v>32</v>
      </c>
      <c r="J1017" t="s">
        <v>16</v>
      </c>
      <c r="K1017" t="s">
        <v>17</v>
      </c>
      <c r="L1017">
        <f>F1016*G1016*(1-H1016)</f>
        <v>6372.45</v>
      </c>
    </row>
    <row r="1018" spans="1:12">
      <c r="A1018" t="s">
        <v>1622</v>
      </c>
      <c r="B1018" s="1">
        <v>46058</v>
      </c>
      <c r="C1018" t="s">
        <v>389</v>
      </c>
      <c r="D1018" t="s">
        <v>13</v>
      </c>
      <c r="E1018" t="s">
        <v>27</v>
      </c>
      <c r="F1018">
        <v>3</v>
      </c>
      <c r="G1018">
        <v>2499</v>
      </c>
      <c r="H1018">
        <v>0</v>
      </c>
      <c r="I1018" t="s">
        <v>32</v>
      </c>
      <c r="J1018" t="s">
        <v>16</v>
      </c>
      <c r="K1018" t="s">
        <v>37</v>
      </c>
      <c r="L1018">
        <f>F1017*G1017*(1-H1017)</f>
        <v>28796.400000000001</v>
      </c>
    </row>
    <row r="1019" spans="1:12">
      <c r="A1019" t="s">
        <v>1623</v>
      </c>
      <c r="B1019" s="1">
        <v>46037</v>
      </c>
      <c r="C1019" t="s">
        <v>1437</v>
      </c>
      <c r="D1019" t="s">
        <v>13</v>
      </c>
      <c r="E1019" t="s">
        <v>14</v>
      </c>
      <c r="F1019">
        <v>1</v>
      </c>
      <c r="G1019">
        <v>799</v>
      </c>
      <c r="H1019">
        <v>0.05</v>
      </c>
      <c r="I1019" t="s">
        <v>44</v>
      </c>
      <c r="J1019" t="s">
        <v>16</v>
      </c>
      <c r="K1019" t="s">
        <v>17</v>
      </c>
      <c r="L1019">
        <f>F1018*G1018*(1-H1018)</f>
        <v>7497</v>
      </c>
    </row>
    <row r="1020" spans="1:12">
      <c r="A1020" t="s">
        <v>1624</v>
      </c>
      <c r="B1020" s="1">
        <v>46271</v>
      </c>
      <c r="C1020" t="s">
        <v>1625</v>
      </c>
      <c r="D1020" t="s">
        <v>78</v>
      </c>
      <c r="E1020" t="s">
        <v>14</v>
      </c>
      <c r="F1020">
        <v>1</v>
      </c>
      <c r="G1020">
        <v>1499</v>
      </c>
      <c r="H1020">
        <v>0</v>
      </c>
      <c r="I1020" t="s">
        <v>47</v>
      </c>
      <c r="J1020" t="s">
        <v>36</v>
      </c>
      <c r="K1020" t="s">
        <v>17</v>
      </c>
      <c r="L1020">
        <f>F1019*G1019*(1-H1019)</f>
        <v>759.05</v>
      </c>
    </row>
    <row r="1021" spans="1:12">
      <c r="A1021" t="s">
        <v>1626</v>
      </c>
      <c r="B1021" s="1">
        <v>46092</v>
      </c>
      <c r="C1021" t="s">
        <v>1627</v>
      </c>
      <c r="D1021" t="s">
        <v>78</v>
      </c>
      <c r="E1021" t="s">
        <v>27</v>
      </c>
      <c r="F1021">
        <v>1</v>
      </c>
      <c r="G1021">
        <v>499</v>
      </c>
      <c r="H1021">
        <v>0.05</v>
      </c>
      <c r="I1021" t="s">
        <v>32</v>
      </c>
      <c r="J1021" t="s">
        <v>16</v>
      </c>
      <c r="K1021" t="s">
        <v>23</v>
      </c>
      <c r="L1021">
        <f>F1020*G1020*(1-H1020)</f>
        <v>1499</v>
      </c>
    </row>
    <row r="1022" spans="1:12">
      <c r="A1022" t="s">
        <v>1628</v>
      </c>
      <c r="B1022" s="1">
        <v>46212</v>
      </c>
      <c r="C1022" t="s">
        <v>948</v>
      </c>
      <c r="D1022" t="s">
        <v>78</v>
      </c>
      <c r="E1022" t="s">
        <v>27</v>
      </c>
      <c r="F1022">
        <v>4</v>
      </c>
      <c r="G1022">
        <v>1299</v>
      </c>
      <c r="H1022">
        <v>0.1</v>
      </c>
      <c r="I1022" t="s">
        <v>50</v>
      </c>
      <c r="J1022" t="s">
        <v>51</v>
      </c>
      <c r="K1022" t="s">
        <v>17</v>
      </c>
      <c r="L1022">
        <f>F1021*G1021*(1-H1021)</f>
        <v>474.04999999999995</v>
      </c>
    </row>
    <row r="1023" spans="1:12">
      <c r="A1023" t="s">
        <v>1629</v>
      </c>
      <c r="B1023" s="1">
        <v>46163</v>
      </c>
      <c r="C1023" t="s">
        <v>104</v>
      </c>
      <c r="D1023" t="s">
        <v>20</v>
      </c>
      <c r="E1023" t="s">
        <v>40</v>
      </c>
      <c r="F1023">
        <v>1</v>
      </c>
      <c r="G1023">
        <v>2499</v>
      </c>
      <c r="H1023">
        <v>0.05</v>
      </c>
      <c r="I1023" t="s">
        <v>44</v>
      </c>
      <c r="J1023" t="s">
        <v>51</v>
      </c>
      <c r="K1023" t="s">
        <v>23</v>
      </c>
      <c r="L1023">
        <f>F1022*G1022*(1-H1022)</f>
        <v>4676.4000000000005</v>
      </c>
    </row>
    <row r="1024" spans="1:12">
      <c r="A1024" t="s">
        <v>1630</v>
      </c>
      <c r="B1024" s="1">
        <v>46106</v>
      </c>
      <c r="C1024" t="s">
        <v>1508</v>
      </c>
      <c r="D1024" t="s">
        <v>13</v>
      </c>
      <c r="E1024" t="s">
        <v>35</v>
      </c>
      <c r="F1024">
        <v>4</v>
      </c>
      <c r="G1024">
        <v>499</v>
      </c>
      <c r="H1024">
        <v>0.15</v>
      </c>
      <c r="I1024" t="s">
        <v>44</v>
      </c>
      <c r="J1024" t="s">
        <v>36</v>
      </c>
      <c r="K1024" t="s">
        <v>23</v>
      </c>
      <c r="L1024">
        <f>F1023*G1023*(1-H1023)</f>
        <v>2374.0499999999997</v>
      </c>
    </row>
    <row r="1025" spans="1:12">
      <c r="A1025" t="s">
        <v>1631</v>
      </c>
      <c r="B1025" s="1">
        <v>46097</v>
      </c>
      <c r="C1025" t="s">
        <v>1632</v>
      </c>
      <c r="D1025" t="s">
        <v>71</v>
      </c>
      <c r="E1025" t="s">
        <v>21</v>
      </c>
      <c r="F1025">
        <v>3</v>
      </c>
      <c r="G1025">
        <v>2499</v>
      </c>
      <c r="H1025">
        <v>0</v>
      </c>
      <c r="I1025" t="s">
        <v>44</v>
      </c>
      <c r="J1025" t="s">
        <v>36</v>
      </c>
      <c r="K1025" t="s">
        <v>17</v>
      </c>
      <c r="L1025">
        <f>F1024*G1024*(1-H1024)</f>
        <v>1696.6</v>
      </c>
    </row>
    <row r="1026" spans="1:12">
      <c r="A1026" t="s">
        <v>1633</v>
      </c>
      <c r="B1026" s="1">
        <v>46224</v>
      </c>
      <c r="C1026" t="s">
        <v>1634</v>
      </c>
      <c r="D1026" t="s">
        <v>62</v>
      </c>
      <c r="E1026" t="s">
        <v>27</v>
      </c>
      <c r="F1026">
        <v>1</v>
      </c>
      <c r="G1026">
        <v>4999</v>
      </c>
      <c r="H1026">
        <v>0</v>
      </c>
      <c r="I1026" t="s">
        <v>44</v>
      </c>
      <c r="J1026" t="s">
        <v>16</v>
      </c>
      <c r="K1026" t="s">
        <v>23</v>
      </c>
      <c r="L1026">
        <f>F1025*G1025*(1-H1025)</f>
        <v>7497</v>
      </c>
    </row>
    <row r="1027" spans="1:12">
      <c r="A1027" t="s">
        <v>1635</v>
      </c>
      <c r="B1027" s="1">
        <v>46180</v>
      </c>
      <c r="C1027" t="s">
        <v>1636</v>
      </c>
      <c r="D1027" t="s">
        <v>13</v>
      </c>
      <c r="E1027" t="s">
        <v>35</v>
      </c>
      <c r="F1027">
        <v>1</v>
      </c>
      <c r="G1027">
        <v>999</v>
      </c>
      <c r="H1027">
        <v>0.1</v>
      </c>
      <c r="I1027" t="s">
        <v>15</v>
      </c>
      <c r="J1027" t="s">
        <v>16</v>
      </c>
      <c r="K1027" t="s">
        <v>37</v>
      </c>
      <c r="L1027">
        <f>F1026*G1026*(1-H1026)</f>
        <v>4999</v>
      </c>
    </row>
    <row r="1028" spans="1:12">
      <c r="A1028" t="s">
        <v>1637</v>
      </c>
      <c r="B1028" s="1">
        <v>46165</v>
      </c>
      <c r="C1028" t="s">
        <v>1497</v>
      </c>
      <c r="D1028" t="s">
        <v>62</v>
      </c>
      <c r="E1028" t="s">
        <v>21</v>
      </c>
      <c r="F1028">
        <v>2</v>
      </c>
      <c r="G1028">
        <v>4999</v>
      </c>
      <c r="H1028">
        <v>0</v>
      </c>
      <c r="I1028" t="s">
        <v>50</v>
      </c>
      <c r="J1028" t="s">
        <v>16</v>
      </c>
      <c r="K1028" t="s">
        <v>37</v>
      </c>
      <c r="L1028">
        <f>F1027*G1027*(1-H1027)</f>
        <v>899.1</v>
      </c>
    </row>
    <row r="1029" spans="1:12">
      <c r="A1029" t="s">
        <v>1638</v>
      </c>
      <c r="B1029" s="1">
        <v>46253</v>
      </c>
      <c r="C1029" t="s">
        <v>146</v>
      </c>
      <c r="D1029" t="s">
        <v>59</v>
      </c>
      <c r="E1029" t="s">
        <v>27</v>
      </c>
      <c r="F1029">
        <v>3</v>
      </c>
      <c r="G1029">
        <v>1299</v>
      </c>
      <c r="H1029">
        <v>0.15</v>
      </c>
      <c r="I1029" t="s">
        <v>47</v>
      </c>
      <c r="J1029" t="s">
        <v>51</v>
      </c>
      <c r="K1029" t="s">
        <v>17</v>
      </c>
      <c r="L1029">
        <f>F1028*G1028*(1-H1028)</f>
        <v>9998</v>
      </c>
    </row>
    <row r="1030" spans="1:12">
      <c r="A1030" t="s">
        <v>1639</v>
      </c>
      <c r="B1030" s="1">
        <v>46273</v>
      </c>
      <c r="C1030" t="s">
        <v>1566</v>
      </c>
      <c r="D1030" t="s">
        <v>20</v>
      </c>
      <c r="E1030" t="s">
        <v>14</v>
      </c>
      <c r="F1030">
        <v>2</v>
      </c>
      <c r="G1030">
        <v>799</v>
      </c>
      <c r="H1030">
        <v>0</v>
      </c>
      <c r="I1030" t="s">
        <v>50</v>
      </c>
      <c r="J1030" t="s">
        <v>51</v>
      </c>
      <c r="K1030" t="s">
        <v>17</v>
      </c>
      <c r="L1030">
        <f>F1029*G1029*(1-H1029)</f>
        <v>3312.45</v>
      </c>
    </row>
    <row r="1031" spans="1:12">
      <c r="A1031" t="s">
        <v>1640</v>
      </c>
      <c r="B1031" s="1">
        <v>46098</v>
      </c>
      <c r="C1031" t="s">
        <v>1028</v>
      </c>
      <c r="D1031" t="s">
        <v>59</v>
      </c>
      <c r="E1031" t="s">
        <v>27</v>
      </c>
      <c r="F1031">
        <v>1</v>
      </c>
      <c r="G1031">
        <v>799</v>
      </c>
      <c r="H1031">
        <v>0.15</v>
      </c>
      <c r="I1031" t="s">
        <v>15</v>
      </c>
      <c r="J1031" t="s">
        <v>51</v>
      </c>
      <c r="K1031" t="s">
        <v>17</v>
      </c>
      <c r="L1031">
        <f>F1030*G1030*(1-H1030)</f>
        <v>1598</v>
      </c>
    </row>
    <row r="1032" spans="1:12">
      <c r="A1032" t="s">
        <v>1641</v>
      </c>
      <c r="B1032" s="1">
        <v>46235</v>
      </c>
      <c r="C1032" t="s">
        <v>1511</v>
      </c>
      <c r="D1032" t="s">
        <v>62</v>
      </c>
      <c r="E1032" t="s">
        <v>40</v>
      </c>
      <c r="F1032">
        <v>3</v>
      </c>
      <c r="G1032">
        <v>499</v>
      </c>
      <c r="H1032">
        <v>0</v>
      </c>
      <c r="I1032" t="s">
        <v>44</v>
      </c>
      <c r="J1032" t="s">
        <v>36</v>
      </c>
      <c r="K1032" t="s">
        <v>17</v>
      </c>
      <c r="L1032">
        <f>F1031*G1031*(1-H1031)</f>
        <v>679.15</v>
      </c>
    </row>
    <row r="1033" spans="1:12">
      <c r="A1033" t="s">
        <v>1642</v>
      </c>
      <c r="B1033" s="1">
        <v>46200</v>
      </c>
      <c r="C1033" t="s">
        <v>1643</v>
      </c>
      <c r="D1033" t="s">
        <v>56</v>
      </c>
      <c r="E1033" t="s">
        <v>14</v>
      </c>
      <c r="F1033">
        <v>5</v>
      </c>
      <c r="G1033">
        <v>599</v>
      </c>
      <c r="H1033">
        <v>0</v>
      </c>
      <c r="I1033" t="s">
        <v>47</v>
      </c>
      <c r="J1033" t="s">
        <v>16</v>
      </c>
      <c r="K1033" t="s">
        <v>23</v>
      </c>
      <c r="L1033">
        <f>F1032*G1032*(1-H1032)</f>
        <v>1497</v>
      </c>
    </row>
    <row r="1034" spans="1:12">
      <c r="A1034" t="s">
        <v>1644</v>
      </c>
      <c r="B1034" s="1">
        <v>46161</v>
      </c>
      <c r="C1034" t="s">
        <v>437</v>
      </c>
      <c r="D1034" t="s">
        <v>71</v>
      </c>
      <c r="E1034" t="s">
        <v>27</v>
      </c>
      <c r="F1034">
        <v>4</v>
      </c>
      <c r="G1034">
        <v>1499</v>
      </c>
      <c r="H1034">
        <v>0</v>
      </c>
      <c r="I1034" t="s">
        <v>44</v>
      </c>
      <c r="J1034" t="s">
        <v>36</v>
      </c>
      <c r="K1034" t="s">
        <v>37</v>
      </c>
      <c r="L1034">
        <f>F1033*G1033*(1-H1033)</f>
        <v>2995</v>
      </c>
    </row>
    <row r="1035" spans="1:12">
      <c r="A1035" t="s">
        <v>1645</v>
      </c>
      <c r="B1035" s="1">
        <v>46234</v>
      </c>
      <c r="C1035" t="s">
        <v>1646</v>
      </c>
      <c r="D1035" t="s">
        <v>26</v>
      </c>
      <c r="E1035" t="s">
        <v>14</v>
      </c>
      <c r="F1035">
        <v>1</v>
      </c>
      <c r="G1035">
        <v>1499</v>
      </c>
      <c r="H1035">
        <v>0.1</v>
      </c>
      <c r="I1035" t="s">
        <v>50</v>
      </c>
      <c r="J1035" t="s">
        <v>22</v>
      </c>
      <c r="K1035" t="s">
        <v>23</v>
      </c>
      <c r="L1035">
        <f>F1034*G1034*(1-H1034)</f>
        <v>5996</v>
      </c>
    </row>
    <row r="1036" spans="1:12">
      <c r="A1036" t="s">
        <v>1647</v>
      </c>
      <c r="B1036" s="1">
        <v>46030</v>
      </c>
      <c r="C1036" t="s">
        <v>780</v>
      </c>
      <c r="D1036" t="s">
        <v>31</v>
      </c>
      <c r="E1036" t="s">
        <v>35</v>
      </c>
      <c r="F1036">
        <v>5</v>
      </c>
      <c r="G1036">
        <v>7999</v>
      </c>
      <c r="H1036">
        <v>0</v>
      </c>
      <c r="I1036" t="s">
        <v>44</v>
      </c>
      <c r="J1036" t="s">
        <v>36</v>
      </c>
      <c r="K1036" t="s">
        <v>37</v>
      </c>
      <c r="L1036">
        <f>F1035*G1035*(1-H1035)</f>
        <v>1349.1000000000001</v>
      </c>
    </row>
    <row r="1037" spans="1:12">
      <c r="A1037" t="s">
        <v>1648</v>
      </c>
      <c r="B1037" s="1">
        <v>46250</v>
      </c>
      <c r="C1037" t="s">
        <v>1649</v>
      </c>
      <c r="D1037" t="s">
        <v>43</v>
      </c>
      <c r="E1037" t="s">
        <v>21</v>
      </c>
      <c r="F1037">
        <v>1</v>
      </c>
      <c r="G1037">
        <v>1299</v>
      </c>
      <c r="H1037">
        <v>0</v>
      </c>
      <c r="I1037" t="s">
        <v>15</v>
      </c>
      <c r="J1037" t="s">
        <v>28</v>
      </c>
      <c r="K1037" t="s">
        <v>17</v>
      </c>
      <c r="L1037">
        <f>F1036*G1036*(1-H1036)</f>
        <v>39995</v>
      </c>
    </row>
    <row r="1038" spans="1:12">
      <c r="A1038" t="s">
        <v>1650</v>
      </c>
      <c r="B1038" s="1">
        <v>46027</v>
      </c>
      <c r="C1038" t="s">
        <v>803</v>
      </c>
      <c r="D1038" t="s">
        <v>71</v>
      </c>
      <c r="E1038" t="s">
        <v>35</v>
      </c>
      <c r="F1038">
        <v>4</v>
      </c>
      <c r="G1038">
        <v>7999</v>
      </c>
      <c r="H1038">
        <v>0.05</v>
      </c>
      <c r="I1038" t="s">
        <v>32</v>
      </c>
      <c r="J1038" t="s">
        <v>22</v>
      </c>
      <c r="K1038" t="s">
        <v>17</v>
      </c>
      <c r="L1038">
        <f>F1037*G1037*(1-H1037)</f>
        <v>1299</v>
      </c>
    </row>
    <row r="1039" spans="1:12">
      <c r="A1039" t="s">
        <v>1651</v>
      </c>
      <c r="B1039" s="1">
        <v>46165</v>
      </c>
      <c r="C1039" t="s">
        <v>1652</v>
      </c>
      <c r="D1039" t="s">
        <v>26</v>
      </c>
      <c r="E1039" t="s">
        <v>40</v>
      </c>
      <c r="F1039">
        <v>1</v>
      </c>
      <c r="G1039">
        <v>599</v>
      </c>
      <c r="H1039">
        <v>0</v>
      </c>
      <c r="I1039" t="s">
        <v>47</v>
      </c>
      <c r="J1039" t="s">
        <v>16</v>
      </c>
      <c r="K1039" t="s">
        <v>23</v>
      </c>
      <c r="L1039">
        <f>F1038*G1038*(1-H1038)</f>
        <v>30396.199999999997</v>
      </c>
    </row>
    <row r="1040" spans="1:12">
      <c r="A1040" t="s">
        <v>1653</v>
      </c>
      <c r="B1040" s="1">
        <v>46052</v>
      </c>
      <c r="C1040" t="s">
        <v>1654</v>
      </c>
      <c r="D1040" t="s">
        <v>31</v>
      </c>
      <c r="E1040" t="s">
        <v>35</v>
      </c>
      <c r="F1040">
        <v>5</v>
      </c>
      <c r="G1040">
        <v>7999</v>
      </c>
      <c r="H1040">
        <v>0.1</v>
      </c>
      <c r="I1040" t="s">
        <v>44</v>
      </c>
      <c r="J1040" t="s">
        <v>22</v>
      </c>
      <c r="K1040" t="s">
        <v>17</v>
      </c>
      <c r="L1040">
        <f>F1039*G1039*(1-H1039)</f>
        <v>599</v>
      </c>
    </row>
    <row r="1041" spans="1:12">
      <c r="A1041" t="s">
        <v>1655</v>
      </c>
      <c r="B1041" s="1">
        <v>46062</v>
      </c>
      <c r="C1041" t="s">
        <v>452</v>
      </c>
      <c r="D1041" t="s">
        <v>20</v>
      </c>
      <c r="E1041" t="s">
        <v>35</v>
      </c>
      <c r="F1041">
        <v>2</v>
      </c>
      <c r="G1041">
        <v>1499</v>
      </c>
      <c r="H1041">
        <v>0.05</v>
      </c>
      <c r="I1041" t="s">
        <v>50</v>
      </c>
      <c r="J1041" t="s">
        <v>22</v>
      </c>
      <c r="K1041" t="s">
        <v>17</v>
      </c>
      <c r="L1041">
        <f>F1040*G1040*(1-H1040)</f>
        <v>35995.5</v>
      </c>
    </row>
    <row r="1042" spans="1:12">
      <c r="A1042" t="s">
        <v>1656</v>
      </c>
      <c r="B1042" s="1">
        <v>46033</v>
      </c>
      <c r="C1042" t="s">
        <v>1657</v>
      </c>
      <c r="D1042" t="s">
        <v>43</v>
      </c>
      <c r="E1042" t="s">
        <v>27</v>
      </c>
      <c r="F1042">
        <v>1</v>
      </c>
      <c r="G1042">
        <v>2499</v>
      </c>
      <c r="H1042">
        <v>0</v>
      </c>
      <c r="I1042" t="s">
        <v>50</v>
      </c>
      <c r="J1042" t="s">
        <v>16</v>
      </c>
      <c r="K1042" t="s">
        <v>37</v>
      </c>
      <c r="L1042">
        <f>F1041*G1041*(1-H1041)</f>
        <v>2848.1</v>
      </c>
    </row>
    <row r="1043" spans="1:12">
      <c r="A1043" t="s">
        <v>1658</v>
      </c>
      <c r="B1043" s="1">
        <v>46225</v>
      </c>
      <c r="C1043" t="s">
        <v>1636</v>
      </c>
      <c r="D1043" t="s">
        <v>62</v>
      </c>
      <c r="E1043" t="s">
        <v>14</v>
      </c>
      <c r="F1043">
        <v>3</v>
      </c>
      <c r="G1043">
        <v>1299</v>
      </c>
      <c r="H1043">
        <v>0.15</v>
      </c>
      <c r="I1043" t="s">
        <v>50</v>
      </c>
      <c r="J1043" t="s">
        <v>28</v>
      </c>
      <c r="K1043" t="s">
        <v>23</v>
      </c>
      <c r="L1043">
        <f>F1042*G1042*(1-H1042)</f>
        <v>2499</v>
      </c>
    </row>
    <row r="1044" spans="1:12">
      <c r="A1044" t="s">
        <v>1659</v>
      </c>
      <c r="B1044" s="1">
        <v>46132</v>
      </c>
      <c r="C1044" t="s">
        <v>1160</v>
      </c>
      <c r="D1044" t="s">
        <v>59</v>
      </c>
      <c r="E1044" t="s">
        <v>40</v>
      </c>
      <c r="F1044">
        <v>5</v>
      </c>
      <c r="G1044">
        <v>4999</v>
      </c>
      <c r="H1044">
        <v>0</v>
      </c>
      <c r="I1044" t="s">
        <v>47</v>
      </c>
      <c r="J1044" t="s">
        <v>22</v>
      </c>
      <c r="K1044" t="s">
        <v>17</v>
      </c>
      <c r="L1044">
        <f>F1043*G1043*(1-H1043)</f>
        <v>3312.45</v>
      </c>
    </row>
    <row r="1045" spans="1:12">
      <c r="A1045" t="s">
        <v>1660</v>
      </c>
      <c r="B1045" s="1">
        <v>46228</v>
      </c>
      <c r="C1045" t="s">
        <v>406</v>
      </c>
      <c r="D1045" t="s">
        <v>26</v>
      </c>
      <c r="E1045" t="s">
        <v>27</v>
      </c>
      <c r="F1045">
        <v>2</v>
      </c>
      <c r="G1045">
        <v>2499</v>
      </c>
      <c r="H1045">
        <v>0.1</v>
      </c>
      <c r="I1045" t="s">
        <v>15</v>
      </c>
      <c r="J1045" t="s">
        <v>36</v>
      </c>
      <c r="K1045" t="s">
        <v>23</v>
      </c>
      <c r="L1045">
        <f>F1044*G1044*(1-H1044)</f>
        <v>24995</v>
      </c>
    </row>
    <row r="1046" spans="1:12">
      <c r="A1046" t="s">
        <v>1661</v>
      </c>
      <c r="B1046" s="1">
        <v>46272</v>
      </c>
      <c r="C1046" t="s">
        <v>1184</v>
      </c>
      <c r="D1046" t="s">
        <v>59</v>
      </c>
      <c r="E1046" t="s">
        <v>21</v>
      </c>
      <c r="F1046">
        <v>4</v>
      </c>
      <c r="G1046">
        <v>599</v>
      </c>
      <c r="H1046">
        <v>0.1</v>
      </c>
      <c r="I1046" t="s">
        <v>50</v>
      </c>
      <c r="J1046" t="s">
        <v>16</v>
      </c>
      <c r="K1046" t="s">
        <v>23</v>
      </c>
      <c r="L1046">
        <f>F1045*G1045*(1-H1045)</f>
        <v>4498.2</v>
      </c>
    </row>
    <row r="1047" spans="1:12">
      <c r="A1047" t="s">
        <v>1662</v>
      </c>
      <c r="B1047" s="1">
        <v>46071</v>
      </c>
      <c r="C1047" t="s">
        <v>1663</v>
      </c>
      <c r="D1047" t="s">
        <v>56</v>
      </c>
      <c r="E1047" t="s">
        <v>14</v>
      </c>
      <c r="F1047">
        <v>3</v>
      </c>
      <c r="G1047">
        <v>799</v>
      </c>
      <c r="H1047">
        <v>0.1</v>
      </c>
      <c r="I1047" t="s">
        <v>50</v>
      </c>
      <c r="J1047" t="s">
        <v>28</v>
      </c>
      <c r="K1047" t="s">
        <v>37</v>
      </c>
      <c r="L1047">
        <f>F1046*G1046*(1-H1046)</f>
        <v>2156.4</v>
      </c>
    </row>
    <row r="1048" spans="1:12">
      <c r="A1048" t="s">
        <v>1664</v>
      </c>
      <c r="B1048" s="1">
        <v>46088</v>
      </c>
      <c r="C1048" t="s">
        <v>534</v>
      </c>
      <c r="D1048" t="s">
        <v>20</v>
      </c>
      <c r="E1048" t="s">
        <v>40</v>
      </c>
      <c r="F1048">
        <v>5</v>
      </c>
      <c r="G1048">
        <v>4999</v>
      </c>
      <c r="H1048">
        <v>0</v>
      </c>
      <c r="I1048" t="s">
        <v>15</v>
      </c>
      <c r="J1048" t="s">
        <v>16</v>
      </c>
      <c r="K1048" t="s">
        <v>17</v>
      </c>
      <c r="L1048">
        <f>F1047*G1047*(1-H1047)</f>
        <v>2157.3000000000002</v>
      </c>
    </row>
    <row r="1049" spans="1:12">
      <c r="A1049" t="s">
        <v>1665</v>
      </c>
      <c r="B1049" s="1">
        <v>46119</v>
      </c>
      <c r="C1049" t="s">
        <v>1666</v>
      </c>
      <c r="D1049" t="s">
        <v>71</v>
      </c>
      <c r="E1049" t="s">
        <v>35</v>
      </c>
      <c r="F1049">
        <v>5</v>
      </c>
      <c r="G1049">
        <v>7999</v>
      </c>
      <c r="H1049">
        <v>0</v>
      </c>
      <c r="I1049" t="s">
        <v>50</v>
      </c>
      <c r="J1049" t="s">
        <v>22</v>
      </c>
      <c r="K1049" t="s">
        <v>17</v>
      </c>
      <c r="L1049">
        <f>F1048*G1048*(1-H1048)</f>
        <v>24995</v>
      </c>
    </row>
    <row r="1050" spans="1:12">
      <c r="A1050" t="s">
        <v>1667</v>
      </c>
      <c r="B1050" s="1">
        <v>46147</v>
      </c>
      <c r="C1050" t="s">
        <v>1233</v>
      </c>
      <c r="D1050" t="s">
        <v>20</v>
      </c>
      <c r="E1050" t="s">
        <v>35</v>
      </c>
      <c r="F1050">
        <v>1</v>
      </c>
      <c r="G1050">
        <v>1499</v>
      </c>
      <c r="H1050">
        <v>0.05</v>
      </c>
      <c r="I1050" t="s">
        <v>32</v>
      </c>
      <c r="J1050" t="s">
        <v>51</v>
      </c>
      <c r="K1050" t="s">
        <v>23</v>
      </c>
      <c r="L1050">
        <f>F1049*G1049*(1-H1049)</f>
        <v>39995</v>
      </c>
    </row>
    <row r="1051" spans="1:12">
      <c r="A1051" t="s">
        <v>1668</v>
      </c>
      <c r="B1051" s="1">
        <v>46157</v>
      </c>
      <c r="C1051" t="s">
        <v>213</v>
      </c>
      <c r="D1051" t="s">
        <v>43</v>
      </c>
      <c r="E1051" t="s">
        <v>27</v>
      </c>
      <c r="F1051">
        <v>1</v>
      </c>
      <c r="G1051">
        <v>499</v>
      </c>
      <c r="H1051">
        <v>0</v>
      </c>
      <c r="I1051" t="s">
        <v>15</v>
      </c>
      <c r="J1051" t="s">
        <v>36</v>
      </c>
      <c r="K1051" t="s">
        <v>17</v>
      </c>
      <c r="L1051">
        <f>F1050*G1050*(1-H1050)</f>
        <v>1424.05</v>
      </c>
    </row>
    <row r="1052" spans="1:12">
      <c r="A1052" t="s">
        <v>1669</v>
      </c>
      <c r="B1052" s="1">
        <v>46087</v>
      </c>
      <c r="C1052" t="s">
        <v>997</v>
      </c>
      <c r="D1052" t="s">
        <v>26</v>
      </c>
      <c r="E1052" t="s">
        <v>27</v>
      </c>
      <c r="F1052">
        <v>3</v>
      </c>
      <c r="G1052">
        <v>799</v>
      </c>
      <c r="H1052">
        <v>0.15</v>
      </c>
      <c r="I1052" t="s">
        <v>50</v>
      </c>
      <c r="J1052" t="s">
        <v>28</v>
      </c>
      <c r="K1052" t="s">
        <v>17</v>
      </c>
      <c r="L1052">
        <f>F1051*G1051*(1-H1051)</f>
        <v>499</v>
      </c>
    </row>
    <row r="1053" spans="1:12">
      <c r="A1053" t="s">
        <v>1670</v>
      </c>
      <c r="B1053" s="1">
        <v>46059</v>
      </c>
      <c r="C1053" t="s">
        <v>164</v>
      </c>
      <c r="D1053" t="s">
        <v>20</v>
      </c>
      <c r="E1053" t="s">
        <v>35</v>
      </c>
      <c r="F1053">
        <v>3</v>
      </c>
      <c r="G1053">
        <v>7999</v>
      </c>
      <c r="H1053">
        <v>0</v>
      </c>
      <c r="I1053" t="s">
        <v>15</v>
      </c>
      <c r="J1053" t="s">
        <v>22</v>
      </c>
      <c r="K1053" t="s">
        <v>17</v>
      </c>
      <c r="L1053">
        <f>F1052*G1052*(1-H1052)</f>
        <v>2037.45</v>
      </c>
    </row>
    <row r="1054" spans="1:12">
      <c r="A1054" t="s">
        <v>1671</v>
      </c>
      <c r="B1054" s="1">
        <v>46150</v>
      </c>
      <c r="C1054" t="s">
        <v>1278</v>
      </c>
      <c r="D1054" t="s">
        <v>62</v>
      </c>
      <c r="E1054" t="s">
        <v>14</v>
      </c>
      <c r="F1054">
        <v>4</v>
      </c>
      <c r="G1054">
        <v>1499</v>
      </c>
      <c r="H1054">
        <v>0</v>
      </c>
      <c r="I1054" t="s">
        <v>32</v>
      </c>
      <c r="J1054" t="s">
        <v>36</v>
      </c>
      <c r="K1054" t="s">
        <v>17</v>
      </c>
      <c r="L1054">
        <f>F1053*G1053*(1-H1053)</f>
        <v>23997</v>
      </c>
    </row>
    <row r="1055" spans="1:12">
      <c r="A1055" t="s">
        <v>1672</v>
      </c>
      <c r="B1055" s="1">
        <v>46153</v>
      </c>
      <c r="C1055" t="s">
        <v>84</v>
      </c>
      <c r="D1055" t="s">
        <v>20</v>
      </c>
      <c r="E1055" t="s">
        <v>40</v>
      </c>
      <c r="F1055">
        <v>4</v>
      </c>
      <c r="G1055">
        <v>7999</v>
      </c>
      <c r="H1055">
        <v>0.1</v>
      </c>
      <c r="I1055" t="s">
        <v>47</v>
      </c>
      <c r="J1055" t="s">
        <v>28</v>
      </c>
      <c r="K1055" t="s">
        <v>17</v>
      </c>
      <c r="L1055">
        <f>F1054*G1054*(1-H1054)</f>
        <v>5996</v>
      </c>
    </row>
    <row r="1056" spans="1:12">
      <c r="A1056" t="s">
        <v>1673</v>
      </c>
      <c r="B1056" s="1">
        <v>46107</v>
      </c>
      <c r="C1056" t="s">
        <v>148</v>
      </c>
      <c r="D1056" t="s">
        <v>62</v>
      </c>
      <c r="E1056" t="s">
        <v>21</v>
      </c>
      <c r="F1056">
        <v>1</v>
      </c>
      <c r="G1056">
        <v>1999</v>
      </c>
      <c r="H1056">
        <v>0</v>
      </c>
      <c r="I1056" t="s">
        <v>15</v>
      </c>
      <c r="J1056" t="s">
        <v>28</v>
      </c>
      <c r="K1056" t="s">
        <v>17</v>
      </c>
      <c r="L1056">
        <f>F1055*G1055*(1-H1055)</f>
        <v>28796.400000000001</v>
      </c>
    </row>
    <row r="1057" spans="1:12">
      <c r="A1057" t="s">
        <v>1674</v>
      </c>
      <c r="B1057" s="1">
        <v>46122</v>
      </c>
      <c r="C1057" t="s">
        <v>1675</v>
      </c>
      <c r="D1057" t="s">
        <v>59</v>
      </c>
      <c r="E1057" t="s">
        <v>40</v>
      </c>
      <c r="F1057">
        <v>2</v>
      </c>
      <c r="G1057">
        <v>7999</v>
      </c>
      <c r="H1057">
        <v>0</v>
      </c>
      <c r="I1057" t="s">
        <v>15</v>
      </c>
      <c r="J1057" t="s">
        <v>28</v>
      </c>
      <c r="K1057" t="s">
        <v>37</v>
      </c>
      <c r="L1057">
        <f>F1056*G1056*(1-H1056)</f>
        <v>1999</v>
      </c>
    </row>
    <row r="1058" spans="1:12">
      <c r="A1058" t="s">
        <v>1676</v>
      </c>
      <c r="B1058" s="1">
        <v>46077</v>
      </c>
      <c r="C1058" t="s">
        <v>423</v>
      </c>
      <c r="D1058" t="s">
        <v>20</v>
      </c>
      <c r="E1058" t="s">
        <v>35</v>
      </c>
      <c r="F1058">
        <v>5</v>
      </c>
      <c r="G1058">
        <v>1299</v>
      </c>
      <c r="H1058">
        <v>0.05</v>
      </c>
      <c r="I1058" t="s">
        <v>47</v>
      </c>
      <c r="J1058" t="s">
        <v>16</v>
      </c>
      <c r="K1058" t="s">
        <v>17</v>
      </c>
      <c r="L1058">
        <f>F1057*G1057*(1-H1057)</f>
        <v>15998</v>
      </c>
    </row>
    <row r="1059" spans="1:12">
      <c r="A1059" t="s">
        <v>1677</v>
      </c>
      <c r="B1059" s="1">
        <v>46267</v>
      </c>
      <c r="C1059" t="s">
        <v>789</v>
      </c>
      <c r="D1059" t="s">
        <v>26</v>
      </c>
      <c r="E1059" t="s">
        <v>21</v>
      </c>
      <c r="F1059">
        <v>5</v>
      </c>
      <c r="G1059">
        <v>1299</v>
      </c>
      <c r="H1059">
        <v>0</v>
      </c>
      <c r="I1059" t="s">
        <v>44</v>
      </c>
      <c r="J1059" t="s">
        <v>16</v>
      </c>
      <c r="K1059" t="s">
        <v>17</v>
      </c>
      <c r="L1059">
        <f>F1058*G1058*(1-H1058)</f>
        <v>6170.25</v>
      </c>
    </row>
    <row r="1060" spans="1:12">
      <c r="A1060" t="s">
        <v>1678</v>
      </c>
      <c r="B1060" s="1">
        <v>46230</v>
      </c>
      <c r="C1060" t="s">
        <v>1040</v>
      </c>
      <c r="D1060" t="s">
        <v>78</v>
      </c>
      <c r="E1060" t="s">
        <v>35</v>
      </c>
      <c r="F1060">
        <v>1</v>
      </c>
      <c r="G1060">
        <v>1499</v>
      </c>
      <c r="H1060">
        <v>0.15</v>
      </c>
      <c r="I1060" t="s">
        <v>47</v>
      </c>
      <c r="J1060" t="s">
        <v>28</v>
      </c>
      <c r="K1060" t="s">
        <v>17</v>
      </c>
      <c r="L1060">
        <f>F1059*G1059*(1-H1059)</f>
        <v>6495</v>
      </c>
    </row>
    <row r="1061" spans="1:12">
      <c r="A1061" t="s">
        <v>1679</v>
      </c>
      <c r="B1061" s="1">
        <v>46098</v>
      </c>
      <c r="C1061" t="s">
        <v>759</v>
      </c>
      <c r="D1061" t="s">
        <v>59</v>
      </c>
      <c r="E1061" t="s">
        <v>27</v>
      </c>
      <c r="F1061">
        <v>4</v>
      </c>
      <c r="G1061">
        <v>499</v>
      </c>
      <c r="H1061">
        <v>0</v>
      </c>
      <c r="I1061" t="s">
        <v>50</v>
      </c>
      <c r="J1061" t="s">
        <v>16</v>
      </c>
      <c r="K1061" t="s">
        <v>17</v>
      </c>
      <c r="L1061">
        <f>F1060*G1060*(1-H1060)</f>
        <v>1274.1499999999999</v>
      </c>
    </row>
    <row r="1062" spans="1:12">
      <c r="A1062" t="s">
        <v>1680</v>
      </c>
      <c r="B1062" s="1">
        <v>46092</v>
      </c>
      <c r="C1062" t="s">
        <v>1681</v>
      </c>
      <c r="D1062" t="s">
        <v>26</v>
      </c>
      <c r="E1062" t="s">
        <v>21</v>
      </c>
      <c r="F1062">
        <v>1</v>
      </c>
      <c r="G1062">
        <v>499</v>
      </c>
      <c r="H1062">
        <v>0.15</v>
      </c>
      <c r="I1062" t="s">
        <v>47</v>
      </c>
      <c r="J1062" t="s">
        <v>51</v>
      </c>
      <c r="K1062" t="s">
        <v>23</v>
      </c>
      <c r="L1062">
        <f>F1061*G1061*(1-H1061)</f>
        <v>1996</v>
      </c>
    </row>
    <row r="1063" spans="1:12">
      <c r="A1063" t="s">
        <v>1682</v>
      </c>
      <c r="B1063" s="1">
        <v>46054</v>
      </c>
      <c r="C1063" t="s">
        <v>1578</v>
      </c>
      <c r="D1063" t="s">
        <v>26</v>
      </c>
      <c r="E1063" t="s">
        <v>27</v>
      </c>
      <c r="F1063">
        <v>3</v>
      </c>
      <c r="G1063">
        <v>999</v>
      </c>
      <c r="H1063">
        <v>0</v>
      </c>
      <c r="I1063" t="s">
        <v>47</v>
      </c>
      <c r="J1063" t="s">
        <v>28</v>
      </c>
      <c r="K1063" t="s">
        <v>37</v>
      </c>
      <c r="L1063">
        <f>F1062*G1062*(1-H1062)</f>
        <v>424.15</v>
      </c>
    </row>
    <row r="1064" spans="1:12">
      <c r="A1064" t="s">
        <v>1683</v>
      </c>
      <c r="B1064" s="1">
        <v>46239</v>
      </c>
      <c r="C1064" t="s">
        <v>492</v>
      </c>
      <c r="D1064" t="s">
        <v>20</v>
      </c>
      <c r="E1064" t="s">
        <v>14</v>
      </c>
      <c r="F1064">
        <v>2</v>
      </c>
      <c r="G1064">
        <v>499</v>
      </c>
      <c r="H1064">
        <v>0.15</v>
      </c>
      <c r="I1064" t="s">
        <v>32</v>
      </c>
      <c r="J1064" t="s">
        <v>51</v>
      </c>
      <c r="K1064" t="s">
        <v>17</v>
      </c>
      <c r="L1064">
        <f>F1063*G1063*(1-H1063)</f>
        <v>2997</v>
      </c>
    </row>
    <row r="1065" spans="1:12">
      <c r="A1065" t="s">
        <v>1684</v>
      </c>
      <c r="B1065" s="1">
        <v>46160</v>
      </c>
      <c r="C1065" t="s">
        <v>211</v>
      </c>
      <c r="D1065" t="s">
        <v>31</v>
      </c>
      <c r="E1065" t="s">
        <v>35</v>
      </c>
      <c r="F1065">
        <v>5</v>
      </c>
      <c r="G1065">
        <v>599</v>
      </c>
      <c r="H1065">
        <v>0.05</v>
      </c>
      <c r="I1065" t="s">
        <v>50</v>
      </c>
      <c r="J1065" t="s">
        <v>36</v>
      </c>
      <c r="K1065" t="s">
        <v>17</v>
      </c>
      <c r="L1065">
        <f>F1064*G1064*(1-H1064)</f>
        <v>848.3</v>
      </c>
    </row>
    <row r="1066" spans="1:12">
      <c r="A1066" t="s">
        <v>1685</v>
      </c>
      <c r="B1066" s="1">
        <v>46162</v>
      </c>
      <c r="C1066" t="s">
        <v>1448</v>
      </c>
      <c r="D1066" t="s">
        <v>71</v>
      </c>
      <c r="E1066" t="s">
        <v>40</v>
      </c>
      <c r="F1066">
        <v>4</v>
      </c>
      <c r="G1066">
        <v>599</v>
      </c>
      <c r="H1066">
        <v>0</v>
      </c>
      <c r="I1066" t="s">
        <v>32</v>
      </c>
      <c r="J1066" t="s">
        <v>22</v>
      </c>
      <c r="K1066" t="s">
        <v>37</v>
      </c>
      <c r="L1066">
        <f>F1065*G1065*(1-H1065)</f>
        <v>2845.25</v>
      </c>
    </row>
    <row r="1067" spans="1:12">
      <c r="A1067" t="s">
        <v>1686</v>
      </c>
      <c r="B1067" s="1">
        <v>46065</v>
      </c>
      <c r="C1067" t="s">
        <v>239</v>
      </c>
      <c r="D1067" t="s">
        <v>59</v>
      </c>
      <c r="E1067" t="s">
        <v>14</v>
      </c>
      <c r="F1067">
        <v>1</v>
      </c>
      <c r="G1067">
        <v>1299</v>
      </c>
      <c r="H1067">
        <v>0</v>
      </c>
      <c r="I1067" t="s">
        <v>44</v>
      </c>
      <c r="J1067" t="s">
        <v>36</v>
      </c>
      <c r="K1067" t="s">
        <v>23</v>
      </c>
      <c r="L1067">
        <f>F1066*G1066*(1-H1066)</f>
        <v>2396</v>
      </c>
    </row>
    <row r="1068" spans="1:12">
      <c r="A1068" t="s">
        <v>1687</v>
      </c>
      <c r="B1068" s="1">
        <v>46040</v>
      </c>
      <c r="C1068" t="s">
        <v>347</v>
      </c>
      <c r="D1068" t="s">
        <v>31</v>
      </c>
      <c r="E1068" t="s">
        <v>27</v>
      </c>
      <c r="F1068">
        <v>1</v>
      </c>
      <c r="G1068">
        <v>1999</v>
      </c>
      <c r="H1068">
        <v>0.1</v>
      </c>
      <c r="I1068" t="s">
        <v>15</v>
      </c>
      <c r="J1068" t="s">
        <v>36</v>
      </c>
      <c r="K1068" t="s">
        <v>17</v>
      </c>
      <c r="L1068">
        <f>F1067*G1067*(1-H1067)</f>
        <v>1299</v>
      </c>
    </row>
    <row r="1069" spans="1:12">
      <c r="A1069" t="s">
        <v>1688</v>
      </c>
      <c r="B1069" s="1">
        <v>46029</v>
      </c>
      <c r="C1069" t="s">
        <v>1347</v>
      </c>
      <c r="D1069" t="s">
        <v>26</v>
      </c>
      <c r="E1069" t="s">
        <v>40</v>
      </c>
      <c r="F1069">
        <v>5</v>
      </c>
      <c r="G1069">
        <v>1999</v>
      </c>
      <c r="H1069">
        <v>0.1</v>
      </c>
      <c r="I1069" t="s">
        <v>50</v>
      </c>
      <c r="J1069" t="s">
        <v>51</v>
      </c>
      <c r="K1069" t="s">
        <v>23</v>
      </c>
      <c r="L1069">
        <f>F1068*G1068*(1-H1068)</f>
        <v>1799.1000000000001</v>
      </c>
    </row>
    <row r="1070" spans="1:12">
      <c r="A1070" t="s">
        <v>1689</v>
      </c>
      <c r="B1070" s="1">
        <v>46063</v>
      </c>
      <c r="C1070" t="s">
        <v>1355</v>
      </c>
      <c r="D1070" t="s">
        <v>13</v>
      </c>
      <c r="E1070" t="s">
        <v>21</v>
      </c>
      <c r="F1070">
        <v>2</v>
      </c>
      <c r="G1070">
        <v>1299</v>
      </c>
      <c r="H1070">
        <v>0</v>
      </c>
      <c r="I1070" t="s">
        <v>50</v>
      </c>
      <c r="J1070" t="s">
        <v>22</v>
      </c>
      <c r="K1070" t="s">
        <v>37</v>
      </c>
      <c r="L1070">
        <f>F1069*G1069*(1-H1069)</f>
        <v>8995.5</v>
      </c>
    </row>
    <row r="1071" spans="1:12">
      <c r="A1071" t="s">
        <v>1690</v>
      </c>
      <c r="B1071" s="1">
        <v>46126</v>
      </c>
      <c r="C1071" t="s">
        <v>1432</v>
      </c>
      <c r="D1071" t="s">
        <v>62</v>
      </c>
      <c r="E1071" t="s">
        <v>35</v>
      </c>
      <c r="F1071">
        <v>3</v>
      </c>
      <c r="G1071">
        <v>1999</v>
      </c>
      <c r="H1071">
        <v>0</v>
      </c>
      <c r="I1071" t="s">
        <v>32</v>
      </c>
      <c r="J1071" t="s">
        <v>16</v>
      </c>
      <c r="K1071" t="s">
        <v>23</v>
      </c>
      <c r="L1071">
        <f>F1070*G1070*(1-H1070)</f>
        <v>2598</v>
      </c>
    </row>
    <row r="1072" spans="1:12">
      <c r="A1072" t="s">
        <v>1691</v>
      </c>
      <c r="B1072" s="1">
        <v>46117</v>
      </c>
      <c r="C1072" t="s">
        <v>673</v>
      </c>
      <c r="D1072" t="s">
        <v>78</v>
      </c>
      <c r="E1072" t="s">
        <v>21</v>
      </c>
      <c r="F1072">
        <v>3</v>
      </c>
      <c r="G1072">
        <v>2499</v>
      </c>
      <c r="H1072">
        <v>0.1</v>
      </c>
      <c r="I1072" t="s">
        <v>15</v>
      </c>
      <c r="J1072" t="s">
        <v>51</v>
      </c>
      <c r="K1072" t="s">
        <v>17</v>
      </c>
      <c r="L1072">
        <f>F1071*G1071*(1-H1071)</f>
        <v>5997</v>
      </c>
    </row>
    <row r="1073" spans="1:12">
      <c r="A1073" t="s">
        <v>1692</v>
      </c>
      <c r="B1073" s="1">
        <v>46038</v>
      </c>
      <c r="C1073" t="s">
        <v>1595</v>
      </c>
      <c r="D1073" t="s">
        <v>43</v>
      </c>
      <c r="E1073" t="s">
        <v>14</v>
      </c>
      <c r="F1073">
        <v>4</v>
      </c>
      <c r="G1073">
        <v>4999</v>
      </c>
      <c r="H1073">
        <v>0.1</v>
      </c>
      <c r="I1073" t="s">
        <v>32</v>
      </c>
      <c r="J1073" t="s">
        <v>16</v>
      </c>
      <c r="K1073" t="s">
        <v>17</v>
      </c>
      <c r="L1073">
        <f>F1072*G1072*(1-H1072)</f>
        <v>6747.3</v>
      </c>
    </row>
    <row r="1074" spans="1:12">
      <c r="A1074" t="s">
        <v>1693</v>
      </c>
      <c r="B1074" s="1">
        <v>46209</v>
      </c>
      <c r="C1074" t="s">
        <v>267</v>
      </c>
      <c r="D1074" t="s">
        <v>71</v>
      </c>
      <c r="E1074" t="s">
        <v>14</v>
      </c>
      <c r="F1074">
        <v>3</v>
      </c>
      <c r="G1074">
        <v>2499</v>
      </c>
      <c r="H1074">
        <v>0</v>
      </c>
      <c r="I1074" t="s">
        <v>50</v>
      </c>
      <c r="J1074" t="s">
        <v>22</v>
      </c>
      <c r="K1074" t="s">
        <v>23</v>
      </c>
      <c r="L1074">
        <f>F1073*G1073*(1-H1073)</f>
        <v>17996.400000000001</v>
      </c>
    </row>
    <row r="1075" spans="1:12">
      <c r="A1075" t="s">
        <v>1694</v>
      </c>
      <c r="B1075" s="1">
        <v>46079</v>
      </c>
      <c r="C1075" t="s">
        <v>1695</v>
      </c>
      <c r="D1075" t="s">
        <v>56</v>
      </c>
      <c r="E1075" t="s">
        <v>21</v>
      </c>
      <c r="F1075">
        <v>4</v>
      </c>
      <c r="G1075">
        <v>599</v>
      </c>
      <c r="H1075">
        <v>0.05</v>
      </c>
      <c r="I1075" t="s">
        <v>32</v>
      </c>
      <c r="J1075" t="s">
        <v>16</v>
      </c>
      <c r="K1075" t="s">
        <v>17</v>
      </c>
      <c r="L1075">
        <f>F1074*G1074*(1-H1074)</f>
        <v>7497</v>
      </c>
    </row>
    <row r="1076" spans="1:12">
      <c r="A1076" t="s">
        <v>1696</v>
      </c>
      <c r="B1076" s="1">
        <v>46267</v>
      </c>
      <c r="C1076" t="s">
        <v>979</v>
      </c>
      <c r="D1076" t="s">
        <v>20</v>
      </c>
      <c r="E1076" t="s">
        <v>21</v>
      </c>
      <c r="F1076">
        <v>5</v>
      </c>
      <c r="G1076">
        <v>599</v>
      </c>
      <c r="H1076">
        <v>0.15</v>
      </c>
      <c r="I1076" t="s">
        <v>32</v>
      </c>
      <c r="J1076" t="s">
        <v>22</v>
      </c>
      <c r="K1076" t="s">
        <v>17</v>
      </c>
      <c r="L1076">
        <f>F1075*G1075*(1-H1075)</f>
        <v>2276.1999999999998</v>
      </c>
    </row>
    <row r="1077" spans="1:12">
      <c r="A1077" t="s">
        <v>1697</v>
      </c>
      <c r="B1077" s="1">
        <v>46210</v>
      </c>
      <c r="C1077" t="s">
        <v>1698</v>
      </c>
      <c r="D1077" t="s">
        <v>26</v>
      </c>
      <c r="E1077" t="s">
        <v>14</v>
      </c>
      <c r="F1077">
        <v>3</v>
      </c>
      <c r="G1077">
        <v>1499</v>
      </c>
      <c r="H1077">
        <v>0</v>
      </c>
      <c r="I1077" t="s">
        <v>44</v>
      </c>
      <c r="J1077" t="s">
        <v>28</v>
      </c>
      <c r="K1077" t="s">
        <v>23</v>
      </c>
      <c r="L1077">
        <f>F1076*G1076*(1-H1076)</f>
        <v>2545.75</v>
      </c>
    </row>
    <row r="1078" spans="1:12">
      <c r="A1078" t="s">
        <v>1699</v>
      </c>
      <c r="B1078" s="1">
        <v>46293</v>
      </c>
      <c r="C1078" t="s">
        <v>1700</v>
      </c>
      <c r="D1078" t="s">
        <v>56</v>
      </c>
      <c r="E1078" t="s">
        <v>35</v>
      </c>
      <c r="F1078">
        <v>1</v>
      </c>
      <c r="G1078">
        <v>1299</v>
      </c>
      <c r="H1078">
        <v>0</v>
      </c>
      <c r="I1078" t="s">
        <v>44</v>
      </c>
      <c r="J1078" t="s">
        <v>22</v>
      </c>
      <c r="K1078" t="s">
        <v>37</v>
      </c>
      <c r="L1078">
        <f>F1077*G1077*(1-H1077)</f>
        <v>4497</v>
      </c>
    </row>
    <row r="1079" spans="1:12">
      <c r="A1079" t="s">
        <v>1701</v>
      </c>
      <c r="B1079" s="1">
        <v>46197</v>
      </c>
      <c r="C1079" t="s">
        <v>699</v>
      </c>
      <c r="D1079" t="s">
        <v>20</v>
      </c>
      <c r="E1079" t="s">
        <v>14</v>
      </c>
      <c r="F1079">
        <v>4</v>
      </c>
      <c r="G1079">
        <v>1499</v>
      </c>
      <c r="H1079">
        <v>0</v>
      </c>
      <c r="I1079" t="s">
        <v>47</v>
      </c>
      <c r="J1079" t="s">
        <v>36</v>
      </c>
      <c r="K1079" t="s">
        <v>17</v>
      </c>
      <c r="L1079">
        <f>F1078*G1078*(1-H1078)</f>
        <v>1299</v>
      </c>
    </row>
    <row r="1080" spans="1:12">
      <c r="A1080" t="s">
        <v>1702</v>
      </c>
      <c r="B1080" s="1">
        <v>46119</v>
      </c>
      <c r="C1080" t="s">
        <v>1566</v>
      </c>
      <c r="D1080" t="s">
        <v>56</v>
      </c>
      <c r="E1080" t="s">
        <v>40</v>
      </c>
      <c r="F1080">
        <v>4</v>
      </c>
      <c r="G1080">
        <v>4999</v>
      </c>
      <c r="H1080">
        <v>0.15</v>
      </c>
      <c r="I1080" t="s">
        <v>44</v>
      </c>
      <c r="J1080" t="s">
        <v>51</v>
      </c>
      <c r="K1080" t="s">
        <v>17</v>
      </c>
      <c r="L1080">
        <f>F1079*G1079*(1-H1079)</f>
        <v>5996</v>
      </c>
    </row>
    <row r="1081" spans="1:12">
      <c r="A1081" t="s">
        <v>1703</v>
      </c>
      <c r="B1081" s="1">
        <v>46273</v>
      </c>
      <c r="C1081" t="s">
        <v>1097</v>
      </c>
      <c r="D1081" t="s">
        <v>13</v>
      </c>
      <c r="E1081" t="s">
        <v>27</v>
      </c>
      <c r="F1081">
        <v>3</v>
      </c>
      <c r="G1081">
        <v>999</v>
      </c>
      <c r="H1081">
        <v>0.1</v>
      </c>
      <c r="I1081" t="s">
        <v>44</v>
      </c>
      <c r="J1081" t="s">
        <v>16</v>
      </c>
      <c r="K1081" t="s">
        <v>37</v>
      </c>
      <c r="L1081">
        <f>F1080*G1080*(1-H1080)</f>
        <v>16996.599999999999</v>
      </c>
    </row>
    <row r="1082" spans="1:12">
      <c r="A1082" t="s">
        <v>1704</v>
      </c>
      <c r="B1082" s="1">
        <v>46120</v>
      </c>
      <c r="C1082" t="s">
        <v>956</v>
      </c>
      <c r="D1082" t="s">
        <v>78</v>
      </c>
      <c r="E1082" t="s">
        <v>35</v>
      </c>
      <c r="F1082">
        <v>1</v>
      </c>
      <c r="G1082">
        <v>499</v>
      </c>
      <c r="H1082">
        <v>0.1</v>
      </c>
      <c r="I1082" t="s">
        <v>47</v>
      </c>
      <c r="J1082" t="s">
        <v>16</v>
      </c>
      <c r="K1082" t="s">
        <v>37</v>
      </c>
      <c r="L1082">
        <f>F1081*G1081*(1-H1081)</f>
        <v>2697.3</v>
      </c>
    </row>
    <row r="1083" spans="1:12">
      <c r="A1083" t="s">
        <v>1705</v>
      </c>
      <c r="B1083" s="1">
        <v>46278</v>
      </c>
      <c r="C1083" t="s">
        <v>1288</v>
      </c>
      <c r="D1083" t="s">
        <v>59</v>
      </c>
      <c r="E1083" t="s">
        <v>21</v>
      </c>
      <c r="F1083">
        <v>2</v>
      </c>
      <c r="G1083">
        <v>999</v>
      </c>
      <c r="H1083">
        <v>0.15</v>
      </c>
      <c r="I1083" t="s">
        <v>44</v>
      </c>
      <c r="J1083" t="s">
        <v>16</v>
      </c>
      <c r="K1083" t="s">
        <v>17</v>
      </c>
      <c r="L1083">
        <f>F1082*G1082*(1-H1082)</f>
        <v>449.1</v>
      </c>
    </row>
    <row r="1084" spans="1:12">
      <c r="A1084" t="s">
        <v>1706</v>
      </c>
      <c r="B1084" s="1">
        <v>46203</v>
      </c>
      <c r="C1084" t="s">
        <v>524</v>
      </c>
      <c r="D1084" t="s">
        <v>43</v>
      </c>
      <c r="E1084" t="s">
        <v>21</v>
      </c>
      <c r="F1084">
        <v>1</v>
      </c>
      <c r="G1084">
        <v>999</v>
      </c>
      <c r="H1084">
        <v>0</v>
      </c>
      <c r="I1084" t="s">
        <v>32</v>
      </c>
      <c r="J1084" t="s">
        <v>28</v>
      </c>
      <c r="K1084" t="s">
        <v>17</v>
      </c>
      <c r="L1084">
        <f>F1083*G1083*(1-H1083)</f>
        <v>1698.3</v>
      </c>
    </row>
    <row r="1085" spans="1:12">
      <c r="A1085" t="s">
        <v>1707</v>
      </c>
      <c r="B1085" s="1">
        <v>46107</v>
      </c>
      <c r="C1085" t="s">
        <v>703</v>
      </c>
      <c r="D1085" t="s">
        <v>78</v>
      </c>
      <c r="E1085" t="s">
        <v>35</v>
      </c>
      <c r="F1085">
        <v>2</v>
      </c>
      <c r="G1085">
        <v>4999</v>
      </c>
      <c r="H1085">
        <v>0</v>
      </c>
      <c r="I1085" t="s">
        <v>32</v>
      </c>
      <c r="J1085" t="s">
        <v>28</v>
      </c>
      <c r="K1085" t="s">
        <v>23</v>
      </c>
      <c r="L1085">
        <f>F1084*G1084*(1-H1084)</f>
        <v>999</v>
      </c>
    </row>
    <row r="1086" spans="1:12">
      <c r="A1086" t="s">
        <v>1708</v>
      </c>
      <c r="B1086" s="1">
        <v>46244</v>
      </c>
      <c r="C1086" t="s">
        <v>1709</v>
      </c>
      <c r="D1086" t="s">
        <v>43</v>
      </c>
      <c r="E1086" t="s">
        <v>40</v>
      </c>
      <c r="F1086">
        <v>2</v>
      </c>
      <c r="G1086">
        <v>599</v>
      </c>
      <c r="H1086">
        <v>0.15</v>
      </c>
      <c r="I1086" t="s">
        <v>32</v>
      </c>
      <c r="J1086" t="s">
        <v>51</v>
      </c>
      <c r="K1086" t="s">
        <v>23</v>
      </c>
      <c r="L1086">
        <f>F1085*G1085*(1-H1085)</f>
        <v>9998</v>
      </c>
    </row>
    <row r="1087" spans="1:12">
      <c r="A1087" t="s">
        <v>1710</v>
      </c>
      <c r="B1087" s="1">
        <v>46231</v>
      </c>
      <c r="C1087" t="s">
        <v>1384</v>
      </c>
      <c r="D1087" t="s">
        <v>26</v>
      </c>
      <c r="E1087" t="s">
        <v>14</v>
      </c>
      <c r="F1087">
        <v>5</v>
      </c>
      <c r="G1087">
        <v>4999</v>
      </c>
      <c r="H1087">
        <v>0</v>
      </c>
      <c r="I1087" t="s">
        <v>50</v>
      </c>
      <c r="J1087" t="s">
        <v>51</v>
      </c>
      <c r="K1087" t="s">
        <v>17</v>
      </c>
      <c r="L1087">
        <f>F1086*G1086*(1-H1086)</f>
        <v>1018.3</v>
      </c>
    </row>
    <row r="1088" spans="1:12">
      <c r="A1088" t="s">
        <v>1711</v>
      </c>
      <c r="B1088" s="1">
        <v>46282</v>
      </c>
      <c r="C1088" t="s">
        <v>1074</v>
      </c>
      <c r="D1088" t="s">
        <v>43</v>
      </c>
      <c r="E1088" t="s">
        <v>40</v>
      </c>
      <c r="F1088">
        <v>2</v>
      </c>
      <c r="G1088">
        <v>2499</v>
      </c>
      <c r="H1088">
        <v>0</v>
      </c>
      <c r="I1088" t="s">
        <v>44</v>
      </c>
      <c r="J1088" t="s">
        <v>28</v>
      </c>
      <c r="K1088" t="s">
        <v>37</v>
      </c>
      <c r="L1088">
        <f>F1087*G1087*(1-H1087)</f>
        <v>24995</v>
      </c>
    </row>
    <row r="1089" spans="1:12">
      <c r="A1089" t="s">
        <v>1712</v>
      </c>
      <c r="B1089" s="1">
        <v>46157</v>
      </c>
      <c r="C1089" t="s">
        <v>1663</v>
      </c>
      <c r="D1089" t="s">
        <v>71</v>
      </c>
      <c r="E1089" t="s">
        <v>14</v>
      </c>
      <c r="F1089">
        <v>2</v>
      </c>
      <c r="G1089">
        <v>4999</v>
      </c>
      <c r="H1089">
        <v>0.1</v>
      </c>
      <c r="I1089" t="s">
        <v>32</v>
      </c>
      <c r="J1089" t="s">
        <v>51</v>
      </c>
      <c r="K1089" t="s">
        <v>17</v>
      </c>
      <c r="L1089">
        <f>F1088*G1088*(1-H1088)</f>
        <v>4998</v>
      </c>
    </row>
    <row r="1090" spans="1:12">
      <c r="A1090" t="s">
        <v>1713</v>
      </c>
      <c r="B1090" s="1">
        <v>46074</v>
      </c>
      <c r="C1090" t="s">
        <v>174</v>
      </c>
      <c r="D1090" t="s">
        <v>78</v>
      </c>
      <c r="E1090" t="s">
        <v>27</v>
      </c>
      <c r="F1090">
        <v>1</v>
      </c>
      <c r="G1090">
        <v>1499</v>
      </c>
      <c r="H1090">
        <v>0</v>
      </c>
      <c r="I1090" t="s">
        <v>15</v>
      </c>
      <c r="J1090" t="s">
        <v>36</v>
      </c>
      <c r="K1090" t="s">
        <v>17</v>
      </c>
      <c r="L1090">
        <f>F1089*G1089*(1-H1089)</f>
        <v>8998.2000000000007</v>
      </c>
    </row>
    <row r="1091" spans="1:12">
      <c r="A1091" t="s">
        <v>1714</v>
      </c>
      <c r="B1091" s="1">
        <v>46078</v>
      </c>
      <c r="C1091" t="s">
        <v>717</v>
      </c>
      <c r="D1091" t="s">
        <v>56</v>
      </c>
      <c r="E1091" t="s">
        <v>21</v>
      </c>
      <c r="F1091">
        <v>5</v>
      </c>
      <c r="G1091">
        <v>2499</v>
      </c>
      <c r="H1091">
        <v>0.15</v>
      </c>
      <c r="I1091" t="s">
        <v>44</v>
      </c>
      <c r="J1091" t="s">
        <v>51</v>
      </c>
      <c r="K1091" t="s">
        <v>37</v>
      </c>
      <c r="L1091">
        <f>F1090*G1090*(1-H1090)</f>
        <v>1499</v>
      </c>
    </row>
    <row r="1092" spans="1:12">
      <c r="A1092" t="s">
        <v>1715</v>
      </c>
      <c r="B1092" s="1">
        <v>46258</v>
      </c>
      <c r="C1092" t="s">
        <v>1716</v>
      </c>
      <c r="D1092" t="s">
        <v>43</v>
      </c>
      <c r="E1092" t="s">
        <v>21</v>
      </c>
      <c r="F1092">
        <v>2</v>
      </c>
      <c r="G1092">
        <v>1299</v>
      </c>
      <c r="H1092">
        <v>0.1</v>
      </c>
      <c r="I1092" t="s">
        <v>50</v>
      </c>
      <c r="J1092" t="s">
        <v>22</v>
      </c>
      <c r="K1092" t="s">
        <v>23</v>
      </c>
      <c r="L1092">
        <f>F1091*G1091*(1-H1091)</f>
        <v>10620.75</v>
      </c>
    </row>
    <row r="1093" spans="1:12">
      <c r="A1093" t="s">
        <v>1717</v>
      </c>
      <c r="B1093" s="1">
        <v>46049</v>
      </c>
      <c r="C1093" t="s">
        <v>711</v>
      </c>
      <c r="D1093" t="s">
        <v>31</v>
      </c>
      <c r="E1093" t="s">
        <v>14</v>
      </c>
      <c r="F1093">
        <v>3</v>
      </c>
      <c r="G1093">
        <v>799</v>
      </c>
      <c r="H1093">
        <v>0.15</v>
      </c>
      <c r="I1093" t="s">
        <v>44</v>
      </c>
      <c r="J1093" t="s">
        <v>36</v>
      </c>
      <c r="K1093" t="s">
        <v>37</v>
      </c>
      <c r="L1093">
        <f>F1092*G1092*(1-H1092)</f>
        <v>2338.2000000000003</v>
      </c>
    </row>
    <row r="1094" spans="1:12">
      <c r="A1094" t="s">
        <v>1718</v>
      </c>
      <c r="B1094" s="1">
        <v>46075</v>
      </c>
      <c r="C1094" t="s">
        <v>697</v>
      </c>
      <c r="D1094" t="s">
        <v>62</v>
      </c>
      <c r="E1094" t="s">
        <v>40</v>
      </c>
      <c r="F1094">
        <v>1</v>
      </c>
      <c r="G1094">
        <v>799</v>
      </c>
      <c r="H1094">
        <v>0</v>
      </c>
      <c r="I1094" t="s">
        <v>44</v>
      </c>
      <c r="J1094" t="s">
        <v>16</v>
      </c>
      <c r="K1094" t="s">
        <v>17</v>
      </c>
      <c r="L1094">
        <f>F1093*G1093*(1-H1093)</f>
        <v>2037.45</v>
      </c>
    </row>
    <row r="1095" spans="1:12">
      <c r="A1095" t="s">
        <v>1719</v>
      </c>
      <c r="B1095" s="1">
        <v>46096</v>
      </c>
      <c r="C1095" t="s">
        <v>450</v>
      </c>
      <c r="D1095" t="s">
        <v>78</v>
      </c>
      <c r="E1095" t="s">
        <v>14</v>
      </c>
      <c r="F1095">
        <v>3</v>
      </c>
      <c r="G1095">
        <v>1499</v>
      </c>
      <c r="H1095">
        <v>0.15</v>
      </c>
      <c r="I1095" t="s">
        <v>47</v>
      </c>
      <c r="J1095" t="s">
        <v>22</v>
      </c>
      <c r="K1095" t="s">
        <v>17</v>
      </c>
      <c r="L1095">
        <f>F1094*G1094*(1-H1094)</f>
        <v>799</v>
      </c>
    </row>
    <row r="1096" spans="1:12">
      <c r="A1096" t="s">
        <v>1720</v>
      </c>
      <c r="B1096" s="1">
        <v>46101</v>
      </c>
      <c r="C1096" t="s">
        <v>310</v>
      </c>
      <c r="D1096" t="s">
        <v>13</v>
      </c>
      <c r="E1096" t="s">
        <v>35</v>
      </c>
      <c r="F1096">
        <v>5</v>
      </c>
      <c r="G1096">
        <v>1499</v>
      </c>
      <c r="H1096">
        <v>0</v>
      </c>
      <c r="I1096" t="s">
        <v>47</v>
      </c>
      <c r="J1096" t="s">
        <v>16</v>
      </c>
      <c r="K1096" t="s">
        <v>17</v>
      </c>
      <c r="L1096">
        <f>F1095*G1095*(1-H1095)</f>
        <v>3822.45</v>
      </c>
    </row>
    <row r="1097" spans="1:12">
      <c r="A1097" t="s">
        <v>1721</v>
      </c>
      <c r="B1097" s="1">
        <v>46231</v>
      </c>
      <c r="C1097" t="s">
        <v>729</v>
      </c>
      <c r="D1097" t="s">
        <v>56</v>
      </c>
      <c r="E1097" t="s">
        <v>35</v>
      </c>
      <c r="F1097">
        <v>1</v>
      </c>
      <c r="G1097">
        <v>799</v>
      </c>
      <c r="H1097">
        <v>0.1</v>
      </c>
      <c r="I1097" t="s">
        <v>32</v>
      </c>
      <c r="J1097" t="s">
        <v>16</v>
      </c>
      <c r="K1097" t="s">
        <v>23</v>
      </c>
      <c r="L1097">
        <f>F1096*G1096*(1-H1096)</f>
        <v>7495</v>
      </c>
    </row>
    <row r="1098" spans="1:12">
      <c r="A1098" t="s">
        <v>1722</v>
      </c>
      <c r="B1098" s="1">
        <v>46110</v>
      </c>
      <c r="C1098" t="s">
        <v>697</v>
      </c>
      <c r="D1098" t="s">
        <v>20</v>
      </c>
      <c r="E1098" t="s">
        <v>14</v>
      </c>
      <c r="F1098">
        <v>3</v>
      </c>
      <c r="G1098">
        <v>799</v>
      </c>
      <c r="H1098">
        <v>0.1</v>
      </c>
      <c r="I1098" t="s">
        <v>32</v>
      </c>
      <c r="J1098" t="s">
        <v>28</v>
      </c>
      <c r="K1098" t="s">
        <v>23</v>
      </c>
      <c r="L1098">
        <f>F1097*G1097*(1-H1097)</f>
        <v>719.1</v>
      </c>
    </row>
    <row r="1099" spans="1:12">
      <c r="A1099" t="s">
        <v>1723</v>
      </c>
      <c r="B1099" s="1">
        <v>46095</v>
      </c>
      <c r="C1099" t="s">
        <v>1724</v>
      </c>
      <c r="D1099" t="s">
        <v>20</v>
      </c>
      <c r="E1099" t="s">
        <v>21</v>
      </c>
      <c r="F1099">
        <v>3</v>
      </c>
      <c r="G1099">
        <v>1999</v>
      </c>
      <c r="H1099">
        <v>0.1</v>
      </c>
      <c r="I1099" t="s">
        <v>32</v>
      </c>
      <c r="J1099" t="s">
        <v>16</v>
      </c>
      <c r="K1099" t="s">
        <v>17</v>
      </c>
      <c r="L1099">
        <f>F1098*G1098*(1-H1098)</f>
        <v>2157.3000000000002</v>
      </c>
    </row>
    <row r="1100" spans="1:12">
      <c r="A1100" t="s">
        <v>1725</v>
      </c>
      <c r="B1100" s="1">
        <v>46183</v>
      </c>
      <c r="C1100" t="s">
        <v>1726</v>
      </c>
      <c r="D1100" t="s">
        <v>62</v>
      </c>
      <c r="E1100" t="s">
        <v>21</v>
      </c>
      <c r="F1100">
        <v>5</v>
      </c>
      <c r="G1100">
        <v>1299</v>
      </c>
      <c r="H1100">
        <v>0.05</v>
      </c>
      <c r="I1100" t="s">
        <v>44</v>
      </c>
      <c r="J1100" t="s">
        <v>51</v>
      </c>
      <c r="K1100" t="s">
        <v>17</v>
      </c>
      <c r="L1100">
        <f>F1099*G1099*(1-H1099)</f>
        <v>5397.3</v>
      </c>
    </row>
    <row r="1101" spans="1:12">
      <c r="A1101" t="s">
        <v>1727</v>
      </c>
      <c r="B1101" s="1">
        <v>46157</v>
      </c>
      <c r="C1101" t="s">
        <v>1728</v>
      </c>
      <c r="D1101" t="s">
        <v>56</v>
      </c>
      <c r="E1101" t="s">
        <v>27</v>
      </c>
      <c r="F1101">
        <v>4</v>
      </c>
      <c r="G1101">
        <v>499</v>
      </c>
      <c r="H1101">
        <v>0</v>
      </c>
      <c r="I1101" t="s">
        <v>15</v>
      </c>
      <c r="J1101" t="s">
        <v>51</v>
      </c>
      <c r="K1101" t="s">
        <v>37</v>
      </c>
      <c r="L1101">
        <f>F1100*G1100*(1-H1100)</f>
        <v>6170.25</v>
      </c>
    </row>
    <row r="1102" spans="1:12">
      <c r="A1102" t="s">
        <v>1729</v>
      </c>
      <c r="B1102" s="1">
        <v>46143</v>
      </c>
      <c r="C1102" t="s">
        <v>502</v>
      </c>
      <c r="D1102" t="s">
        <v>56</v>
      </c>
      <c r="E1102" t="s">
        <v>14</v>
      </c>
      <c r="F1102">
        <v>1</v>
      </c>
      <c r="G1102">
        <v>599</v>
      </c>
      <c r="H1102">
        <v>0.15</v>
      </c>
      <c r="I1102" t="s">
        <v>47</v>
      </c>
      <c r="J1102" t="s">
        <v>16</v>
      </c>
      <c r="K1102" t="s">
        <v>23</v>
      </c>
      <c r="L1102">
        <f>F1101*G1101*(1-H1101)</f>
        <v>1996</v>
      </c>
    </row>
    <row r="1103" spans="1:12">
      <c r="A1103" t="s">
        <v>1730</v>
      </c>
      <c r="B1103" s="1">
        <v>46063</v>
      </c>
      <c r="C1103" t="s">
        <v>570</v>
      </c>
      <c r="D1103" t="s">
        <v>78</v>
      </c>
      <c r="E1103" t="s">
        <v>35</v>
      </c>
      <c r="F1103">
        <v>3</v>
      </c>
      <c r="G1103">
        <v>1299</v>
      </c>
      <c r="H1103">
        <v>0</v>
      </c>
      <c r="I1103" t="s">
        <v>50</v>
      </c>
      <c r="J1103" t="s">
        <v>28</v>
      </c>
      <c r="K1103" t="s">
        <v>23</v>
      </c>
      <c r="L1103">
        <f>F1102*G1102*(1-H1102)</f>
        <v>509.15</v>
      </c>
    </row>
    <row r="1104" spans="1:12">
      <c r="A1104" t="s">
        <v>1731</v>
      </c>
      <c r="B1104" s="1">
        <v>46116</v>
      </c>
      <c r="C1104" t="s">
        <v>1732</v>
      </c>
      <c r="D1104" t="s">
        <v>13</v>
      </c>
      <c r="E1104" t="s">
        <v>27</v>
      </c>
      <c r="F1104">
        <v>4</v>
      </c>
      <c r="G1104">
        <v>1999</v>
      </c>
      <c r="H1104">
        <v>0</v>
      </c>
      <c r="I1104" t="s">
        <v>47</v>
      </c>
      <c r="J1104" t="s">
        <v>16</v>
      </c>
      <c r="K1104" t="s">
        <v>23</v>
      </c>
      <c r="L1104">
        <f>F1103*G1103*(1-H1103)</f>
        <v>3897</v>
      </c>
    </row>
    <row r="1105" spans="1:12">
      <c r="A1105" t="s">
        <v>1733</v>
      </c>
      <c r="B1105" s="1">
        <v>46199</v>
      </c>
      <c r="C1105" t="s">
        <v>1486</v>
      </c>
      <c r="D1105" t="s">
        <v>20</v>
      </c>
      <c r="E1105" t="s">
        <v>14</v>
      </c>
      <c r="F1105">
        <v>1</v>
      </c>
      <c r="G1105">
        <v>4999</v>
      </c>
      <c r="H1105">
        <v>0</v>
      </c>
      <c r="I1105" t="s">
        <v>47</v>
      </c>
      <c r="J1105" t="s">
        <v>22</v>
      </c>
      <c r="K1105" t="s">
        <v>17</v>
      </c>
      <c r="L1105">
        <f>F1104*G1104*(1-H1104)</f>
        <v>7996</v>
      </c>
    </row>
    <row r="1106" spans="1:12">
      <c r="A1106" t="s">
        <v>1734</v>
      </c>
      <c r="B1106" s="1">
        <v>46180</v>
      </c>
      <c r="C1106" t="s">
        <v>1634</v>
      </c>
      <c r="D1106" t="s">
        <v>43</v>
      </c>
      <c r="E1106" t="s">
        <v>14</v>
      </c>
      <c r="F1106">
        <v>4</v>
      </c>
      <c r="G1106">
        <v>4999</v>
      </c>
      <c r="H1106">
        <v>0</v>
      </c>
      <c r="I1106" t="s">
        <v>50</v>
      </c>
      <c r="J1106" t="s">
        <v>28</v>
      </c>
      <c r="K1106" t="s">
        <v>37</v>
      </c>
      <c r="L1106">
        <f>F1105*G1105*(1-H1105)</f>
        <v>4999</v>
      </c>
    </row>
    <row r="1107" spans="1:12">
      <c r="A1107" t="s">
        <v>1735</v>
      </c>
      <c r="B1107" s="1">
        <v>46079</v>
      </c>
      <c r="C1107" t="s">
        <v>1382</v>
      </c>
      <c r="D1107" t="s">
        <v>59</v>
      </c>
      <c r="E1107" t="s">
        <v>21</v>
      </c>
      <c r="F1107">
        <v>1</v>
      </c>
      <c r="G1107">
        <v>1999</v>
      </c>
      <c r="H1107">
        <v>0.1</v>
      </c>
      <c r="I1107" t="s">
        <v>47</v>
      </c>
      <c r="J1107" t="s">
        <v>22</v>
      </c>
      <c r="K1107" t="s">
        <v>17</v>
      </c>
      <c r="L1107">
        <f>F1106*G1106*(1-H1106)</f>
        <v>19996</v>
      </c>
    </row>
    <row r="1108" spans="1:12">
      <c r="A1108" t="s">
        <v>1736</v>
      </c>
      <c r="B1108" s="1">
        <v>46207</v>
      </c>
      <c r="C1108" t="s">
        <v>1737</v>
      </c>
      <c r="D1108" t="s">
        <v>20</v>
      </c>
      <c r="E1108" t="s">
        <v>35</v>
      </c>
      <c r="F1108">
        <v>5</v>
      </c>
      <c r="G1108">
        <v>4999</v>
      </c>
      <c r="H1108">
        <v>0.1</v>
      </c>
      <c r="I1108" t="s">
        <v>15</v>
      </c>
      <c r="J1108" t="s">
        <v>16</v>
      </c>
      <c r="K1108" t="s">
        <v>17</v>
      </c>
      <c r="L1108">
        <f>F1107*G1107*(1-H1107)</f>
        <v>1799.1000000000001</v>
      </c>
    </row>
    <row r="1109" spans="1:12">
      <c r="A1109" t="s">
        <v>1738</v>
      </c>
      <c r="B1109" s="1">
        <v>46161</v>
      </c>
      <c r="C1109" t="s">
        <v>106</v>
      </c>
      <c r="D1109" t="s">
        <v>56</v>
      </c>
      <c r="E1109" t="s">
        <v>14</v>
      </c>
      <c r="F1109">
        <v>1</v>
      </c>
      <c r="G1109">
        <v>7999</v>
      </c>
      <c r="H1109">
        <v>0.15</v>
      </c>
      <c r="I1109" t="s">
        <v>44</v>
      </c>
      <c r="J1109" t="s">
        <v>36</v>
      </c>
      <c r="K1109" t="s">
        <v>23</v>
      </c>
      <c r="L1109">
        <f>F1108*G1108*(1-H1108)</f>
        <v>22495.5</v>
      </c>
    </row>
    <row r="1110" spans="1:12">
      <c r="A1110" t="s">
        <v>1739</v>
      </c>
      <c r="B1110" s="1">
        <v>46195</v>
      </c>
      <c r="C1110" t="s">
        <v>1740</v>
      </c>
      <c r="D1110" t="s">
        <v>31</v>
      </c>
      <c r="E1110" t="s">
        <v>40</v>
      </c>
      <c r="F1110">
        <v>4</v>
      </c>
      <c r="G1110">
        <v>1999</v>
      </c>
      <c r="H1110">
        <v>0.1</v>
      </c>
      <c r="I1110" t="s">
        <v>32</v>
      </c>
      <c r="J1110" t="s">
        <v>28</v>
      </c>
      <c r="K1110" t="s">
        <v>23</v>
      </c>
      <c r="L1110">
        <f>F1109*G1109*(1-H1109)</f>
        <v>6799.15</v>
      </c>
    </row>
    <row r="1111" spans="1:12">
      <c r="A1111" t="s">
        <v>1741</v>
      </c>
      <c r="B1111" s="1">
        <v>46112</v>
      </c>
      <c r="C1111" t="s">
        <v>613</v>
      </c>
      <c r="D1111" t="s">
        <v>31</v>
      </c>
      <c r="E1111" t="s">
        <v>27</v>
      </c>
      <c r="F1111">
        <v>5</v>
      </c>
      <c r="G1111">
        <v>599</v>
      </c>
      <c r="H1111">
        <v>0</v>
      </c>
      <c r="I1111" t="s">
        <v>32</v>
      </c>
      <c r="J1111" t="s">
        <v>22</v>
      </c>
      <c r="K1111" t="s">
        <v>37</v>
      </c>
      <c r="L1111">
        <f>F1110*G1110*(1-H1110)</f>
        <v>7196.4000000000005</v>
      </c>
    </row>
    <row r="1112" spans="1:12">
      <c r="A1112" t="s">
        <v>1742</v>
      </c>
      <c r="B1112" s="1">
        <v>46113</v>
      </c>
      <c r="C1112" t="s">
        <v>1743</v>
      </c>
      <c r="D1112" t="s">
        <v>62</v>
      </c>
      <c r="E1112" t="s">
        <v>27</v>
      </c>
      <c r="F1112">
        <v>1</v>
      </c>
      <c r="G1112">
        <v>1499</v>
      </c>
      <c r="H1112">
        <v>0.05</v>
      </c>
      <c r="I1112" t="s">
        <v>47</v>
      </c>
      <c r="J1112" t="s">
        <v>28</v>
      </c>
      <c r="K1112" t="s">
        <v>17</v>
      </c>
      <c r="L1112">
        <f>F1111*G1111*(1-H1111)</f>
        <v>2995</v>
      </c>
    </row>
    <row r="1113" spans="1:12">
      <c r="A1113" t="s">
        <v>1744</v>
      </c>
      <c r="B1113" s="1">
        <v>46169</v>
      </c>
      <c r="C1113" t="s">
        <v>1745</v>
      </c>
      <c r="D1113" t="s">
        <v>31</v>
      </c>
      <c r="E1113" t="s">
        <v>14</v>
      </c>
      <c r="F1113">
        <v>5</v>
      </c>
      <c r="G1113">
        <v>2499</v>
      </c>
      <c r="H1113">
        <v>0</v>
      </c>
      <c r="I1113" t="s">
        <v>47</v>
      </c>
      <c r="J1113" t="s">
        <v>28</v>
      </c>
      <c r="K1113" t="s">
        <v>17</v>
      </c>
      <c r="L1113">
        <f>F1112*G1112*(1-H1112)</f>
        <v>1424.05</v>
      </c>
    </row>
    <row r="1114" spans="1:12">
      <c r="A1114" t="s">
        <v>1746</v>
      </c>
      <c r="B1114" s="1">
        <v>46087</v>
      </c>
      <c r="C1114" t="s">
        <v>699</v>
      </c>
      <c r="D1114" t="s">
        <v>31</v>
      </c>
      <c r="E1114" t="s">
        <v>14</v>
      </c>
      <c r="F1114">
        <v>3</v>
      </c>
      <c r="G1114">
        <v>2499</v>
      </c>
      <c r="H1114">
        <v>0.15</v>
      </c>
      <c r="I1114" t="s">
        <v>32</v>
      </c>
      <c r="J1114" t="s">
        <v>22</v>
      </c>
      <c r="K1114" t="s">
        <v>17</v>
      </c>
      <c r="L1114">
        <f>F1113*G1113*(1-H1113)</f>
        <v>12495</v>
      </c>
    </row>
    <row r="1115" spans="1:12">
      <c r="A1115" t="s">
        <v>1747</v>
      </c>
      <c r="B1115" s="1">
        <v>46059</v>
      </c>
      <c r="C1115" t="s">
        <v>783</v>
      </c>
      <c r="D1115" t="s">
        <v>59</v>
      </c>
      <c r="E1115" t="s">
        <v>35</v>
      </c>
      <c r="F1115">
        <v>5</v>
      </c>
      <c r="G1115">
        <v>1299</v>
      </c>
      <c r="H1115">
        <v>0</v>
      </c>
      <c r="I1115" t="s">
        <v>50</v>
      </c>
      <c r="J1115" t="s">
        <v>36</v>
      </c>
      <c r="K1115" t="s">
        <v>17</v>
      </c>
      <c r="L1115">
        <f>F1114*G1114*(1-H1114)</f>
        <v>6372.45</v>
      </c>
    </row>
    <row r="1116" spans="1:12">
      <c r="A1116" t="s">
        <v>1748</v>
      </c>
      <c r="B1116" s="1">
        <v>46175</v>
      </c>
      <c r="C1116" t="s">
        <v>430</v>
      </c>
      <c r="D1116" t="s">
        <v>13</v>
      </c>
      <c r="E1116" t="s">
        <v>27</v>
      </c>
      <c r="F1116">
        <v>3</v>
      </c>
      <c r="G1116">
        <v>1999</v>
      </c>
      <c r="H1116">
        <v>0.15</v>
      </c>
      <c r="I1116" t="s">
        <v>32</v>
      </c>
      <c r="J1116" t="s">
        <v>51</v>
      </c>
      <c r="K1116" t="s">
        <v>17</v>
      </c>
      <c r="L1116">
        <f>F1115*G1115*(1-H1115)</f>
        <v>6495</v>
      </c>
    </row>
    <row r="1117" spans="1:12">
      <c r="A1117" t="s">
        <v>1749</v>
      </c>
      <c r="B1117" s="1">
        <v>46115</v>
      </c>
      <c r="C1117" t="s">
        <v>1750</v>
      </c>
      <c r="D1117" t="s">
        <v>43</v>
      </c>
      <c r="E1117" t="s">
        <v>21</v>
      </c>
      <c r="F1117">
        <v>5</v>
      </c>
      <c r="G1117">
        <v>1299</v>
      </c>
      <c r="H1117">
        <v>0</v>
      </c>
      <c r="I1117" t="s">
        <v>32</v>
      </c>
      <c r="J1117" t="s">
        <v>51</v>
      </c>
      <c r="K1117" t="s">
        <v>37</v>
      </c>
      <c r="L1117">
        <f>F1116*G1116*(1-H1116)</f>
        <v>5097.45</v>
      </c>
    </row>
    <row r="1118" spans="1:12">
      <c r="A1118" t="s">
        <v>1751</v>
      </c>
      <c r="B1118" s="1">
        <v>46281</v>
      </c>
      <c r="C1118" t="s">
        <v>450</v>
      </c>
      <c r="D1118" t="s">
        <v>62</v>
      </c>
      <c r="E1118" t="s">
        <v>21</v>
      </c>
      <c r="F1118">
        <v>1</v>
      </c>
      <c r="G1118">
        <v>1999</v>
      </c>
      <c r="H1118">
        <v>0</v>
      </c>
      <c r="I1118" t="s">
        <v>50</v>
      </c>
      <c r="J1118" t="s">
        <v>22</v>
      </c>
      <c r="K1118" t="s">
        <v>17</v>
      </c>
      <c r="L1118">
        <f>F1117*G1117*(1-H1117)</f>
        <v>6495</v>
      </c>
    </row>
    <row r="1119" spans="1:12">
      <c r="A1119" t="s">
        <v>1752</v>
      </c>
      <c r="B1119" s="1">
        <v>46081</v>
      </c>
      <c r="C1119" t="s">
        <v>380</v>
      </c>
      <c r="D1119" t="s">
        <v>62</v>
      </c>
      <c r="E1119" t="s">
        <v>27</v>
      </c>
      <c r="F1119">
        <v>1</v>
      </c>
      <c r="G1119">
        <v>999</v>
      </c>
      <c r="H1119">
        <v>0</v>
      </c>
      <c r="I1119" t="s">
        <v>15</v>
      </c>
      <c r="J1119" t="s">
        <v>16</v>
      </c>
      <c r="K1119" t="s">
        <v>17</v>
      </c>
      <c r="L1119">
        <f>F1118*G1118*(1-H1118)</f>
        <v>1999</v>
      </c>
    </row>
    <row r="1120" spans="1:12">
      <c r="A1120" t="s">
        <v>1753</v>
      </c>
      <c r="B1120" s="1">
        <v>46284</v>
      </c>
      <c r="C1120" t="s">
        <v>1754</v>
      </c>
      <c r="D1120" t="s">
        <v>20</v>
      </c>
      <c r="E1120" t="s">
        <v>40</v>
      </c>
      <c r="F1120">
        <v>5</v>
      </c>
      <c r="G1120">
        <v>1999</v>
      </c>
      <c r="H1120">
        <v>0</v>
      </c>
      <c r="I1120" t="s">
        <v>15</v>
      </c>
      <c r="J1120" t="s">
        <v>51</v>
      </c>
      <c r="K1120" t="s">
        <v>17</v>
      </c>
      <c r="L1120">
        <f>F1119*G1119*(1-H1119)</f>
        <v>999</v>
      </c>
    </row>
    <row r="1121" spans="1:12">
      <c r="A1121" t="s">
        <v>1755</v>
      </c>
      <c r="B1121" s="1">
        <v>46264</v>
      </c>
      <c r="C1121" t="s">
        <v>1151</v>
      </c>
      <c r="D1121" t="s">
        <v>20</v>
      </c>
      <c r="E1121" t="s">
        <v>27</v>
      </c>
      <c r="F1121">
        <v>5</v>
      </c>
      <c r="G1121">
        <v>1299</v>
      </c>
      <c r="H1121">
        <v>0</v>
      </c>
      <c r="I1121" t="s">
        <v>44</v>
      </c>
      <c r="J1121" t="s">
        <v>51</v>
      </c>
      <c r="K1121" t="s">
        <v>37</v>
      </c>
      <c r="L1121">
        <f>F1120*G1120*(1-H1120)</f>
        <v>9995</v>
      </c>
    </row>
    <row r="1122" spans="1:12">
      <c r="A1122" t="s">
        <v>1756</v>
      </c>
      <c r="B1122" s="1">
        <v>46169</v>
      </c>
      <c r="C1122" t="s">
        <v>121</v>
      </c>
      <c r="D1122" t="s">
        <v>31</v>
      </c>
      <c r="E1122" t="s">
        <v>40</v>
      </c>
      <c r="F1122">
        <v>4</v>
      </c>
      <c r="G1122">
        <v>7999</v>
      </c>
      <c r="H1122">
        <v>0.05</v>
      </c>
      <c r="I1122" t="s">
        <v>47</v>
      </c>
      <c r="J1122" t="s">
        <v>16</v>
      </c>
      <c r="K1122" t="s">
        <v>17</v>
      </c>
      <c r="L1122">
        <f>F1121*G1121*(1-H1121)</f>
        <v>6495</v>
      </c>
    </row>
    <row r="1123" spans="1:12">
      <c r="A1123" t="s">
        <v>1757</v>
      </c>
      <c r="B1123" s="1">
        <v>46056</v>
      </c>
      <c r="C1123" t="s">
        <v>130</v>
      </c>
      <c r="D1123" t="s">
        <v>26</v>
      </c>
      <c r="E1123" t="s">
        <v>40</v>
      </c>
      <c r="F1123">
        <v>3</v>
      </c>
      <c r="G1123">
        <v>1999</v>
      </c>
      <c r="H1123">
        <v>0</v>
      </c>
      <c r="I1123" t="s">
        <v>47</v>
      </c>
      <c r="J1123" t="s">
        <v>28</v>
      </c>
      <c r="K1123" t="s">
        <v>23</v>
      </c>
      <c r="L1123">
        <f>F1122*G1122*(1-H1122)</f>
        <v>30396.199999999997</v>
      </c>
    </row>
    <row r="1124" spans="1:12">
      <c r="A1124" t="s">
        <v>1758</v>
      </c>
      <c r="B1124" s="1">
        <v>46262</v>
      </c>
      <c r="C1124" t="s">
        <v>874</v>
      </c>
      <c r="D1124" t="s">
        <v>31</v>
      </c>
      <c r="E1124" t="s">
        <v>14</v>
      </c>
      <c r="F1124">
        <v>3</v>
      </c>
      <c r="G1124">
        <v>499</v>
      </c>
      <c r="H1124">
        <v>0.05</v>
      </c>
      <c r="I1124" t="s">
        <v>44</v>
      </c>
      <c r="J1124" t="s">
        <v>16</v>
      </c>
      <c r="K1124" t="s">
        <v>37</v>
      </c>
      <c r="L1124">
        <f>F1123*G1123*(1-H1123)</f>
        <v>5997</v>
      </c>
    </row>
    <row r="1125" spans="1:12">
      <c r="A1125" t="s">
        <v>1759</v>
      </c>
      <c r="B1125" s="1">
        <v>46052</v>
      </c>
      <c r="C1125" t="s">
        <v>1760</v>
      </c>
      <c r="D1125" t="s">
        <v>13</v>
      </c>
      <c r="E1125" t="s">
        <v>27</v>
      </c>
      <c r="F1125">
        <v>5</v>
      </c>
      <c r="G1125">
        <v>1999</v>
      </c>
      <c r="H1125">
        <v>0.1</v>
      </c>
      <c r="I1125" t="s">
        <v>15</v>
      </c>
      <c r="J1125" t="s">
        <v>36</v>
      </c>
      <c r="K1125" t="s">
        <v>37</v>
      </c>
      <c r="L1125">
        <f>F1124*G1124*(1-H1124)</f>
        <v>1422.1499999999999</v>
      </c>
    </row>
    <row r="1126" spans="1:12">
      <c r="A1126" t="s">
        <v>1761</v>
      </c>
      <c r="B1126" s="1">
        <v>46274</v>
      </c>
      <c r="C1126" t="s">
        <v>997</v>
      </c>
      <c r="D1126" t="s">
        <v>78</v>
      </c>
      <c r="E1126" t="s">
        <v>27</v>
      </c>
      <c r="F1126">
        <v>3</v>
      </c>
      <c r="G1126">
        <v>7999</v>
      </c>
      <c r="H1126">
        <v>0.05</v>
      </c>
      <c r="I1126" t="s">
        <v>15</v>
      </c>
      <c r="J1126" t="s">
        <v>28</v>
      </c>
      <c r="K1126" t="s">
        <v>23</v>
      </c>
      <c r="L1126">
        <f>F1125*G1125*(1-H1125)</f>
        <v>8995.5</v>
      </c>
    </row>
    <row r="1127" spans="1:12">
      <c r="A1127" t="s">
        <v>1762</v>
      </c>
      <c r="B1127" s="1">
        <v>46047</v>
      </c>
      <c r="C1127" t="s">
        <v>1763</v>
      </c>
      <c r="D1127" t="s">
        <v>43</v>
      </c>
      <c r="E1127" t="s">
        <v>35</v>
      </c>
      <c r="F1127">
        <v>2</v>
      </c>
      <c r="G1127">
        <v>1499</v>
      </c>
      <c r="H1127">
        <v>0.1</v>
      </c>
      <c r="I1127" t="s">
        <v>47</v>
      </c>
      <c r="J1127" t="s">
        <v>28</v>
      </c>
      <c r="K1127" t="s">
        <v>17</v>
      </c>
      <c r="L1127">
        <f>F1126*G1126*(1-H1126)</f>
        <v>22797.149999999998</v>
      </c>
    </row>
    <row r="1128" spans="1:12">
      <c r="A1128" t="s">
        <v>1764</v>
      </c>
      <c r="B1128" s="1">
        <v>46080</v>
      </c>
      <c r="C1128" t="s">
        <v>1497</v>
      </c>
      <c r="D1128" t="s">
        <v>13</v>
      </c>
      <c r="E1128" t="s">
        <v>35</v>
      </c>
      <c r="F1128">
        <v>3</v>
      </c>
      <c r="G1128">
        <v>799</v>
      </c>
      <c r="H1128">
        <v>0.1</v>
      </c>
      <c r="I1128" t="s">
        <v>32</v>
      </c>
      <c r="J1128" t="s">
        <v>51</v>
      </c>
      <c r="K1128" t="s">
        <v>17</v>
      </c>
      <c r="L1128">
        <f>F1127*G1127*(1-H1127)</f>
        <v>2698.2000000000003</v>
      </c>
    </row>
    <row r="1129" spans="1:12">
      <c r="A1129" t="s">
        <v>1765</v>
      </c>
      <c r="B1129" s="1">
        <v>46201</v>
      </c>
      <c r="C1129" t="s">
        <v>1766</v>
      </c>
      <c r="D1129" t="s">
        <v>62</v>
      </c>
      <c r="E1129" t="s">
        <v>21</v>
      </c>
      <c r="F1129">
        <v>3</v>
      </c>
      <c r="G1129">
        <v>599</v>
      </c>
      <c r="H1129">
        <v>0</v>
      </c>
      <c r="I1129" t="s">
        <v>47</v>
      </c>
      <c r="J1129" t="s">
        <v>51</v>
      </c>
      <c r="K1129" t="s">
        <v>23</v>
      </c>
      <c r="L1129">
        <f>F1128*G1128*(1-H1128)</f>
        <v>2157.3000000000002</v>
      </c>
    </row>
    <row r="1130" spans="1:12">
      <c r="A1130" t="s">
        <v>1767</v>
      </c>
      <c r="B1130" s="1">
        <v>46274</v>
      </c>
      <c r="C1130" t="s">
        <v>1768</v>
      </c>
      <c r="D1130" t="s">
        <v>13</v>
      </c>
      <c r="E1130" t="s">
        <v>35</v>
      </c>
      <c r="F1130">
        <v>5</v>
      </c>
      <c r="G1130">
        <v>799</v>
      </c>
      <c r="H1130">
        <v>0.15</v>
      </c>
      <c r="I1130" t="s">
        <v>47</v>
      </c>
      <c r="J1130" t="s">
        <v>16</v>
      </c>
      <c r="K1130" t="s">
        <v>37</v>
      </c>
      <c r="L1130">
        <f>F1129*G1129*(1-H1129)</f>
        <v>1797</v>
      </c>
    </row>
    <row r="1131" spans="1:12">
      <c r="A1131" t="s">
        <v>1769</v>
      </c>
      <c r="B1131" s="1">
        <v>46065</v>
      </c>
      <c r="C1131" t="s">
        <v>1563</v>
      </c>
      <c r="D1131" t="s">
        <v>31</v>
      </c>
      <c r="E1131" t="s">
        <v>35</v>
      </c>
      <c r="F1131">
        <v>3</v>
      </c>
      <c r="G1131">
        <v>599</v>
      </c>
      <c r="H1131">
        <v>0.05</v>
      </c>
      <c r="I1131" t="s">
        <v>44</v>
      </c>
      <c r="J1131" t="s">
        <v>36</v>
      </c>
      <c r="K1131" t="s">
        <v>17</v>
      </c>
      <c r="L1131">
        <f>F1130*G1130*(1-H1130)</f>
        <v>3395.75</v>
      </c>
    </row>
    <row r="1132" spans="1:12">
      <c r="A1132" t="s">
        <v>1770</v>
      </c>
      <c r="B1132" s="1">
        <v>46214</v>
      </c>
      <c r="C1132" t="s">
        <v>677</v>
      </c>
      <c r="D1132" t="s">
        <v>71</v>
      </c>
      <c r="E1132" t="s">
        <v>21</v>
      </c>
      <c r="F1132">
        <v>1</v>
      </c>
      <c r="G1132">
        <v>1999</v>
      </c>
      <c r="H1132">
        <v>0.05</v>
      </c>
      <c r="I1132" t="s">
        <v>32</v>
      </c>
      <c r="J1132" t="s">
        <v>28</v>
      </c>
      <c r="K1132" t="s">
        <v>17</v>
      </c>
      <c r="L1132">
        <f>F1131*G1131*(1-H1131)</f>
        <v>1707.1499999999999</v>
      </c>
    </row>
    <row r="1133" spans="1:12">
      <c r="A1133" t="s">
        <v>1771</v>
      </c>
      <c r="B1133" s="1">
        <v>46187</v>
      </c>
      <c r="C1133" t="s">
        <v>1772</v>
      </c>
      <c r="D1133" t="s">
        <v>59</v>
      </c>
      <c r="E1133" t="s">
        <v>35</v>
      </c>
      <c r="F1133">
        <v>2</v>
      </c>
      <c r="G1133">
        <v>4999</v>
      </c>
      <c r="H1133">
        <v>0</v>
      </c>
      <c r="I1133" t="s">
        <v>32</v>
      </c>
      <c r="J1133" t="s">
        <v>16</v>
      </c>
      <c r="K1133" t="s">
        <v>17</v>
      </c>
      <c r="L1133">
        <f>F1132*G1132*(1-H1132)</f>
        <v>1899.05</v>
      </c>
    </row>
    <row r="1134" spans="1:12">
      <c r="A1134" t="s">
        <v>1773</v>
      </c>
      <c r="B1134" s="1">
        <v>46074</v>
      </c>
      <c r="C1134" t="s">
        <v>1297</v>
      </c>
      <c r="D1134" t="s">
        <v>78</v>
      </c>
      <c r="E1134" t="s">
        <v>40</v>
      </c>
      <c r="F1134">
        <v>1</v>
      </c>
      <c r="G1134">
        <v>1499</v>
      </c>
      <c r="H1134">
        <v>0</v>
      </c>
      <c r="I1134" t="s">
        <v>32</v>
      </c>
      <c r="J1134" t="s">
        <v>51</v>
      </c>
      <c r="K1134" t="s">
        <v>37</v>
      </c>
      <c r="L1134">
        <f>F1133*G1133*(1-H1133)</f>
        <v>9998</v>
      </c>
    </row>
    <row r="1135" spans="1:12">
      <c r="A1135" t="s">
        <v>1774</v>
      </c>
      <c r="B1135" s="1">
        <v>46065</v>
      </c>
      <c r="C1135" t="s">
        <v>993</v>
      </c>
      <c r="D1135" t="s">
        <v>13</v>
      </c>
      <c r="E1135" t="s">
        <v>21</v>
      </c>
      <c r="F1135">
        <v>2</v>
      </c>
      <c r="G1135">
        <v>2499</v>
      </c>
      <c r="H1135">
        <v>0.15</v>
      </c>
      <c r="I1135" t="s">
        <v>44</v>
      </c>
      <c r="J1135" t="s">
        <v>22</v>
      </c>
      <c r="K1135" t="s">
        <v>17</v>
      </c>
      <c r="L1135">
        <f>F1134*G1134*(1-H1134)</f>
        <v>1499</v>
      </c>
    </row>
    <row r="1136" spans="1:12">
      <c r="A1136" t="s">
        <v>1775</v>
      </c>
      <c r="B1136" s="1">
        <v>46026</v>
      </c>
      <c r="C1136" t="s">
        <v>633</v>
      </c>
      <c r="D1136" t="s">
        <v>56</v>
      </c>
      <c r="E1136" t="s">
        <v>27</v>
      </c>
      <c r="F1136">
        <v>1</v>
      </c>
      <c r="G1136">
        <v>2499</v>
      </c>
      <c r="H1136">
        <v>0.15</v>
      </c>
      <c r="I1136" t="s">
        <v>50</v>
      </c>
      <c r="J1136" t="s">
        <v>16</v>
      </c>
      <c r="K1136" t="s">
        <v>17</v>
      </c>
      <c r="L1136">
        <f>F1135*G1135*(1-H1135)</f>
        <v>4248.3</v>
      </c>
    </row>
    <row r="1137" spans="1:12">
      <c r="A1137" t="s">
        <v>1776</v>
      </c>
      <c r="B1137" s="1">
        <v>46189</v>
      </c>
      <c r="C1137" t="s">
        <v>1777</v>
      </c>
      <c r="D1137" t="s">
        <v>71</v>
      </c>
      <c r="E1137" t="s">
        <v>35</v>
      </c>
      <c r="F1137">
        <v>1</v>
      </c>
      <c r="G1137">
        <v>1999</v>
      </c>
      <c r="H1137">
        <v>0.1</v>
      </c>
      <c r="I1137" t="s">
        <v>15</v>
      </c>
      <c r="J1137" t="s">
        <v>28</v>
      </c>
      <c r="K1137" t="s">
        <v>17</v>
      </c>
      <c r="L1137">
        <f>F1136*G1136*(1-H1136)</f>
        <v>2124.15</v>
      </c>
    </row>
    <row r="1138" spans="1:12">
      <c r="A1138" t="s">
        <v>1778</v>
      </c>
      <c r="B1138" s="1">
        <v>46245</v>
      </c>
      <c r="C1138" t="s">
        <v>92</v>
      </c>
      <c r="D1138" t="s">
        <v>31</v>
      </c>
      <c r="E1138" t="s">
        <v>40</v>
      </c>
      <c r="F1138">
        <v>1</v>
      </c>
      <c r="G1138">
        <v>799</v>
      </c>
      <c r="H1138">
        <v>0.05</v>
      </c>
      <c r="I1138" t="s">
        <v>32</v>
      </c>
      <c r="J1138" t="s">
        <v>36</v>
      </c>
      <c r="K1138" t="s">
        <v>17</v>
      </c>
      <c r="L1138">
        <f>F1137*G1137*(1-H1137)</f>
        <v>1799.1000000000001</v>
      </c>
    </row>
    <row r="1139" spans="1:12">
      <c r="A1139" t="s">
        <v>1779</v>
      </c>
      <c r="B1139" s="1">
        <v>46118</v>
      </c>
      <c r="C1139" t="s">
        <v>1220</v>
      </c>
      <c r="D1139" t="s">
        <v>78</v>
      </c>
      <c r="E1139" t="s">
        <v>35</v>
      </c>
      <c r="F1139">
        <v>1</v>
      </c>
      <c r="G1139">
        <v>999</v>
      </c>
      <c r="H1139">
        <v>0</v>
      </c>
      <c r="I1139" t="s">
        <v>50</v>
      </c>
      <c r="J1139" t="s">
        <v>16</v>
      </c>
      <c r="K1139" t="s">
        <v>23</v>
      </c>
      <c r="L1139">
        <f>F1138*G1138*(1-H1138)</f>
        <v>759.05</v>
      </c>
    </row>
    <row r="1140" spans="1:12">
      <c r="A1140" t="s">
        <v>1780</v>
      </c>
      <c r="B1140" s="1">
        <v>46105</v>
      </c>
      <c r="C1140" t="s">
        <v>1050</v>
      </c>
      <c r="D1140" t="s">
        <v>59</v>
      </c>
      <c r="E1140" t="s">
        <v>40</v>
      </c>
      <c r="F1140">
        <v>2</v>
      </c>
      <c r="G1140">
        <v>999</v>
      </c>
      <c r="H1140">
        <v>0.05</v>
      </c>
      <c r="I1140" t="s">
        <v>47</v>
      </c>
      <c r="J1140" t="s">
        <v>22</v>
      </c>
      <c r="K1140" t="s">
        <v>17</v>
      </c>
      <c r="L1140">
        <f>F1139*G1139*(1-H1139)</f>
        <v>999</v>
      </c>
    </row>
    <row r="1141" spans="1:12">
      <c r="A1141" t="s">
        <v>1781</v>
      </c>
      <c r="B1141" s="1">
        <v>46185</v>
      </c>
      <c r="C1141" t="s">
        <v>618</v>
      </c>
      <c r="D1141" t="s">
        <v>56</v>
      </c>
      <c r="E1141" t="s">
        <v>35</v>
      </c>
      <c r="F1141">
        <v>4</v>
      </c>
      <c r="G1141">
        <v>799</v>
      </c>
      <c r="H1141">
        <v>0</v>
      </c>
      <c r="I1141" t="s">
        <v>15</v>
      </c>
      <c r="J1141" t="s">
        <v>16</v>
      </c>
      <c r="K1141" t="s">
        <v>17</v>
      </c>
      <c r="L1141">
        <f>F1140*G1140*(1-H1140)</f>
        <v>1898.1</v>
      </c>
    </row>
    <row r="1142" spans="1:12">
      <c r="A1142" t="s">
        <v>1782</v>
      </c>
      <c r="B1142" s="1">
        <v>46248</v>
      </c>
      <c r="C1142" t="s">
        <v>1732</v>
      </c>
      <c r="D1142" t="s">
        <v>26</v>
      </c>
      <c r="E1142" t="s">
        <v>35</v>
      </c>
      <c r="F1142">
        <v>3</v>
      </c>
      <c r="G1142">
        <v>1999</v>
      </c>
      <c r="H1142">
        <v>0</v>
      </c>
      <c r="I1142" t="s">
        <v>32</v>
      </c>
      <c r="J1142" t="s">
        <v>28</v>
      </c>
      <c r="K1142" t="s">
        <v>23</v>
      </c>
      <c r="L1142">
        <f>F1141*G1141*(1-H1141)</f>
        <v>3196</v>
      </c>
    </row>
    <row r="1143" spans="1:12">
      <c r="A1143" t="s">
        <v>1783</v>
      </c>
      <c r="B1143" s="1">
        <v>46193</v>
      </c>
      <c r="C1143" t="s">
        <v>130</v>
      </c>
      <c r="D1143" t="s">
        <v>78</v>
      </c>
      <c r="E1143" t="s">
        <v>21</v>
      </c>
      <c r="F1143">
        <v>1</v>
      </c>
      <c r="G1143">
        <v>1999</v>
      </c>
      <c r="H1143">
        <v>0</v>
      </c>
      <c r="I1143" t="s">
        <v>15</v>
      </c>
      <c r="J1143" t="s">
        <v>22</v>
      </c>
      <c r="K1143" t="s">
        <v>37</v>
      </c>
      <c r="L1143">
        <f>F1142*G1142*(1-H1142)</f>
        <v>5997</v>
      </c>
    </row>
    <row r="1144" spans="1:12">
      <c r="A1144" t="s">
        <v>1784</v>
      </c>
      <c r="B1144" s="1">
        <v>46204</v>
      </c>
      <c r="C1144" t="s">
        <v>685</v>
      </c>
      <c r="D1144" t="s">
        <v>78</v>
      </c>
      <c r="E1144" t="s">
        <v>27</v>
      </c>
      <c r="F1144">
        <v>5</v>
      </c>
      <c r="G1144">
        <v>499</v>
      </c>
      <c r="H1144">
        <v>0.15</v>
      </c>
      <c r="I1144" t="s">
        <v>47</v>
      </c>
      <c r="J1144" t="s">
        <v>22</v>
      </c>
      <c r="K1144" t="s">
        <v>17</v>
      </c>
      <c r="L1144">
        <f>F1143*G1143*(1-H1143)</f>
        <v>1999</v>
      </c>
    </row>
    <row r="1145" spans="1:12">
      <c r="A1145" t="s">
        <v>1785</v>
      </c>
      <c r="B1145" s="1">
        <v>46136</v>
      </c>
      <c r="C1145" t="s">
        <v>1786</v>
      </c>
      <c r="D1145" t="s">
        <v>78</v>
      </c>
      <c r="E1145" t="s">
        <v>35</v>
      </c>
      <c r="F1145">
        <v>4</v>
      </c>
      <c r="G1145">
        <v>599</v>
      </c>
      <c r="H1145">
        <v>0.05</v>
      </c>
      <c r="I1145" t="s">
        <v>32</v>
      </c>
      <c r="J1145" t="s">
        <v>22</v>
      </c>
      <c r="K1145" t="s">
        <v>17</v>
      </c>
      <c r="L1145">
        <f>F1144*G1144*(1-H1144)</f>
        <v>2120.75</v>
      </c>
    </row>
    <row r="1146" spans="1:12">
      <c r="A1146" t="s">
        <v>1787</v>
      </c>
      <c r="B1146" s="1">
        <v>46147</v>
      </c>
      <c r="C1146" t="s">
        <v>938</v>
      </c>
      <c r="D1146" t="s">
        <v>71</v>
      </c>
      <c r="E1146" t="s">
        <v>40</v>
      </c>
      <c r="F1146">
        <v>5</v>
      </c>
      <c r="G1146">
        <v>1299</v>
      </c>
      <c r="H1146">
        <v>0.15</v>
      </c>
      <c r="I1146" t="s">
        <v>50</v>
      </c>
      <c r="J1146" t="s">
        <v>36</v>
      </c>
      <c r="K1146" t="s">
        <v>37</v>
      </c>
      <c r="L1146">
        <f>F1145*G1145*(1-H1145)</f>
        <v>2276.1999999999998</v>
      </c>
    </row>
    <row r="1147" spans="1:12">
      <c r="A1147" t="s">
        <v>1788</v>
      </c>
      <c r="B1147" s="1">
        <v>46260</v>
      </c>
      <c r="C1147" t="s">
        <v>886</v>
      </c>
      <c r="D1147" t="s">
        <v>59</v>
      </c>
      <c r="E1147" t="s">
        <v>14</v>
      </c>
      <c r="F1147">
        <v>3</v>
      </c>
      <c r="G1147">
        <v>799</v>
      </c>
      <c r="H1147">
        <v>0</v>
      </c>
      <c r="I1147" t="s">
        <v>44</v>
      </c>
      <c r="J1147" t="s">
        <v>28</v>
      </c>
      <c r="K1147" t="s">
        <v>17</v>
      </c>
      <c r="L1147">
        <f>F1146*G1146*(1-H1146)</f>
        <v>5520.75</v>
      </c>
    </row>
    <row r="1148" spans="1:12">
      <c r="A1148" t="s">
        <v>1789</v>
      </c>
      <c r="B1148" s="1">
        <v>46154</v>
      </c>
      <c r="C1148" t="s">
        <v>883</v>
      </c>
      <c r="D1148" t="s">
        <v>43</v>
      </c>
      <c r="E1148" t="s">
        <v>35</v>
      </c>
      <c r="F1148">
        <v>5</v>
      </c>
      <c r="G1148">
        <v>2499</v>
      </c>
      <c r="H1148">
        <v>0</v>
      </c>
      <c r="I1148" t="s">
        <v>32</v>
      </c>
      <c r="J1148" t="s">
        <v>28</v>
      </c>
      <c r="K1148" t="s">
        <v>17</v>
      </c>
      <c r="L1148">
        <f>F1147*G1147*(1-H1147)</f>
        <v>2397</v>
      </c>
    </row>
    <row r="1149" spans="1:12">
      <c r="A1149" t="s">
        <v>1790</v>
      </c>
      <c r="B1149" s="1">
        <v>46248</v>
      </c>
      <c r="C1149" t="s">
        <v>877</v>
      </c>
      <c r="D1149" t="s">
        <v>13</v>
      </c>
      <c r="E1149" t="s">
        <v>35</v>
      </c>
      <c r="F1149">
        <v>3</v>
      </c>
      <c r="G1149">
        <v>1299</v>
      </c>
      <c r="H1149">
        <v>0</v>
      </c>
      <c r="I1149" t="s">
        <v>15</v>
      </c>
      <c r="J1149" t="s">
        <v>16</v>
      </c>
      <c r="K1149" t="s">
        <v>17</v>
      </c>
      <c r="L1149">
        <f>F1148*G1148*(1-H1148)</f>
        <v>12495</v>
      </c>
    </row>
    <row r="1150" spans="1:12">
      <c r="A1150" t="s">
        <v>1791</v>
      </c>
      <c r="B1150" s="1">
        <v>46155</v>
      </c>
      <c r="C1150" t="s">
        <v>485</v>
      </c>
      <c r="D1150" t="s">
        <v>13</v>
      </c>
      <c r="E1150" t="s">
        <v>27</v>
      </c>
      <c r="F1150">
        <v>5</v>
      </c>
      <c r="G1150">
        <v>499</v>
      </c>
      <c r="H1150">
        <v>0</v>
      </c>
      <c r="I1150" t="s">
        <v>32</v>
      </c>
      <c r="J1150" t="s">
        <v>28</v>
      </c>
      <c r="K1150" t="s">
        <v>23</v>
      </c>
      <c r="L1150">
        <f>F1149*G1149*(1-H1149)</f>
        <v>3897</v>
      </c>
    </row>
    <row r="1151" spans="1:12">
      <c r="A1151" t="s">
        <v>1792</v>
      </c>
      <c r="B1151" s="1">
        <v>46244</v>
      </c>
      <c r="C1151" t="s">
        <v>818</v>
      </c>
      <c r="D1151" t="s">
        <v>56</v>
      </c>
      <c r="E1151" t="s">
        <v>14</v>
      </c>
      <c r="F1151">
        <v>2</v>
      </c>
      <c r="G1151">
        <v>1499</v>
      </c>
      <c r="H1151">
        <v>0.1</v>
      </c>
      <c r="I1151" t="s">
        <v>15</v>
      </c>
      <c r="J1151" t="s">
        <v>22</v>
      </c>
      <c r="K1151" t="s">
        <v>17</v>
      </c>
      <c r="L1151">
        <f>F1150*G1150*(1-H1150)</f>
        <v>2495</v>
      </c>
    </row>
    <row r="1152" spans="1:12">
      <c r="A1152" t="s">
        <v>1793</v>
      </c>
      <c r="B1152" s="1">
        <v>46094</v>
      </c>
      <c r="C1152" t="s">
        <v>64</v>
      </c>
      <c r="D1152" t="s">
        <v>59</v>
      </c>
      <c r="E1152" t="s">
        <v>40</v>
      </c>
      <c r="F1152">
        <v>4</v>
      </c>
      <c r="G1152">
        <v>999</v>
      </c>
      <c r="H1152">
        <v>0</v>
      </c>
      <c r="I1152" t="s">
        <v>44</v>
      </c>
      <c r="J1152" t="s">
        <v>22</v>
      </c>
      <c r="K1152" t="s">
        <v>17</v>
      </c>
      <c r="L1152">
        <f>F1151*G1151*(1-H1151)</f>
        <v>2698.2000000000003</v>
      </c>
    </row>
    <row r="1153" spans="1:12">
      <c r="A1153" t="s">
        <v>1794</v>
      </c>
      <c r="B1153" s="1">
        <v>46177</v>
      </c>
      <c r="C1153" t="s">
        <v>1795</v>
      </c>
      <c r="D1153" t="s">
        <v>20</v>
      </c>
      <c r="E1153" t="s">
        <v>27</v>
      </c>
      <c r="F1153">
        <v>3</v>
      </c>
      <c r="G1153">
        <v>1499</v>
      </c>
      <c r="H1153">
        <v>0.15</v>
      </c>
      <c r="I1153" t="s">
        <v>47</v>
      </c>
      <c r="J1153" t="s">
        <v>22</v>
      </c>
      <c r="K1153" t="s">
        <v>23</v>
      </c>
      <c r="L1153">
        <f>F1152*G1152*(1-H1152)</f>
        <v>3996</v>
      </c>
    </row>
    <row r="1154" spans="1:12">
      <c r="A1154" t="s">
        <v>1796</v>
      </c>
      <c r="B1154" s="1">
        <v>46237</v>
      </c>
      <c r="C1154" t="s">
        <v>1797</v>
      </c>
      <c r="D1154" t="s">
        <v>20</v>
      </c>
      <c r="E1154" t="s">
        <v>21</v>
      </c>
      <c r="F1154">
        <v>1</v>
      </c>
      <c r="G1154">
        <v>799</v>
      </c>
      <c r="H1154">
        <v>0</v>
      </c>
      <c r="I1154" t="s">
        <v>32</v>
      </c>
      <c r="J1154" t="s">
        <v>16</v>
      </c>
      <c r="K1154" t="s">
        <v>17</v>
      </c>
      <c r="L1154">
        <f>F1153*G1153*(1-H1153)</f>
        <v>3822.45</v>
      </c>
    </row>
    <row r="1155" spans="1:12">
      <c r="A1155" t="s">
        <v>1798</v>
      </c>
      <c r="B1155" s="1">
        <v>46071</v>
      </c>
      <c r="C1155" t="s">
        <v>134</v>
      </c>
      <c r="D1155" t="s">
        <v>62</v>
      </c>
      <c r="E1155" t="s">
        <v>40</v>
      </c>
      <c r="F1155">
        <v>1</v>
      </c>
      <c r="G1155">
        <v>7999</v>
      </c>
      <c r="H1155">
        <v>0</v>
      </c>
      <c r="I1155" t="s">
        <v>32</v>
      </c>
      <c r="J1155" t="s">
        <v>16</v>
      </c>
      <c r="K1155" t="s">
        <v>17</v>
      </c>
      <c r="L1155">
        <f>F1154*G1154*(1-H1154)</f>
        <v>799</v>
      </c>
    </row>
    <row r="1156" spans="1:12">
      <c r="A1156" t="s">
        <v>1799</v>
      </c>
      <c r="B1156" s="1">
        <v>46056</v>
      </c>
      <c r="C1156" t="s">
        <v>1800</v>
      </c>
      <c r="D1156" t="s">
        <v>26</v>
      </c>
      <c r="E1156" t="s">
        <v>21</v>
      </c>
      <c r="F1156">
        <v>5</v>
      </c>
      <c r="G1156">
        <v>1299</v>
      </c>
      <c r="H1156">
        <v>0.05</v>
      </c>
      <c r="I1156" t="s">
        <v>50</v>
      </c>
      <c r="J1156" t="s">
        <v>16</v>
      </c>
      <c r="K1156" t="s">
        <v>17</v>
      </c>
      <c r="L1156">
        <f>F1155*G1155*(1-H1155)</f>
        <v>7999</v>
      </c>
    </row>
    <row r="1157" spans="1:12">
      <c r="A1157" t="s">
        <v>1801</v>
      </c>
      <c r="B1157" s="1">
        <v>46082</v>
      </c>
      <c r="C1157" t="s">
        <v>239</v>
      </c>
      <c r="D1157" t="s">
        <v>78</v>
      </c>
      <c r="E1157" t="s">
        <v>35</v>
      </c>
      <c r="F1157">
        <v>5</v>
      </c>
      <c r="G1157">
        <v>799</v>
      </c>
      <c r="H1157">
        <v>0.1</v>
      </c>
      <c r="I1157" t="s">
        <v>44</v>
      </c>
      <c r="J1157" t="s">
        <v>36</v>
      </c>
      <c r="K1157" t="s">
        <v>17</v>
      </c>
      <c r="L1157">
        <f>F1156*G1156*(1-H1156)</f>
        <v>6170.25</v>
      </c>
    </row>
    <row r="1158" spans="1:12">
      <c r="A1158" t="s">
        <v>1802</v>
      </c>
      <c r="B1158" s="1">
        <v>46276</v>
      </c>
      <c r="C1158" t="s">
        <v>1344</v>
      </c>
      <c r="D1158" t="s">
        <v>71</v>
      </c>
      <c r="E1158" t="s">
        <v>14</v>
      </c>
      <c r="F1158">
        <v>1</v>
      </c>
      <c r="G1158">
        <v>4999</v>
      </c>
      <c r="H1158">
        <v>0</v>
      </c>
      <c r="I1158" t="s">
        <v>32</v>
      </c>
      <c r="J1158" t="s">
        <v>28</v>
      </c>
      <c r="K1158" t="s">
        <v>23</v>
      </c>
      <c r="L1158">
        <f>F1157*G1157*(1-H1157)</f>
        <v>3595.5</v>
      </c>
    </row>
    <row r="1159" spans="1:12">
      <c r="A1159" t="s">
        <v>1803</v>
      </c>
      <c r="B1159" s="1">
        <v>46282</v>
      </c>
      <c r="C1159" t="s">
        <v>1804</v>
      </c>
      <c r="D1159" t="s">
        <v>26</v>
      </c>
      <c r="E1159" t="s">
        <v>35</v>
      </c>
      <c r="F1159">
        <v>2</v>
      </c>
      <c r="G1159">
        <v>599</v>
      </c>
      <c r="H1159">
        <v>0.05</v>
      </c>
      <c r="I1159" t="s">
        <v>44</v>
      </c>
      <c r="J1159" t="s">
        <v>36</v>
      </c>
      <c r="K1159" t="s">
        <v>37</v>
      </c>
      <c r="L1159">
        <f>F1158*G1158*(1-H1158)</f>
        <v>4999</v>
      </c>
    </row>
    <row r="1160" spans="1:12">
      <c r="A1160" t="s">
        <v>1805</v>
      </c>
      <c r="B1160" s="1">
        <v>46094</v>
      </c>
      <c r="C1160" t="s">
        <v>1194</v>
      </c>
      <c r="D1160" t="s">
        <v>56</v>
      </c>
      <c r="E1160" t="s">
        <v>21</v>
      </c>
      <c r="F1160">
        <v>1</v>
      </c>
      <c r="G1160">
        <v>4999</v>
      </c>
      <c r="H1160">
        <v>0</v>
      </c>
      <c r="I1160" t="s">
        <v>15</v>
      </c>
      <c r="J1160" t="s">
        <v>22</v>
      </c>
      <c r="K1160" t="s">
        <v>17</v>
      </c>
      <c r="L1160">
        <f>F1159*G1159*(1-H1159)</f>
        <v>1138.0999999999999</v>
      </c>
    </row>
    <row r="1161" spans="1:12">
      <c r="A1161" t="s">
        <v>1806</v>
      </c>
      <c r="B1161" s="1">
        <v>46268</v>
      </c>
      <c r="C1161" t="s">
        <v>1257</v>
      </c>
      <c r="D1161" t="s">
        <v>78</v>
      </c>
      <c r="E1161" t="s">
        <v>40</v>
      </c>
      <c r="F1161">
        <v>2</v>
      </c>
      <c r="G1161">
        <v>4999</v>
      </c>
      <c r="H1161">
        <v>0</v>
      </c>
      <c r="I1161" t="s">
        <v>44</v>
      </c>
      <c r="J1161" t="s">
        <v>22</v>
      </c>
      <c r="K1161" t="s">
        <v>17</v>
      </c>
      <c r="L1161">
        <f>F1160*G1160*(1-H1160)</f>
        <v>4999</v>
      </c>
    </row>
    <row r="1162" spans="1:12">
      <c r="A1162" t="s">
        <v>1807</v>
      </c>
      <c r="B1162" s="1">
        <v>46233</v>
      </c>
      <c r="C1162" t="s">
        <v>287</v>
      </c>
      <c r="D1162" t="s">
        <v>62</v>
      </c>
      <c r="E1162" t="s">
        <v>14</v>
      </c>
      <c r="F1162">
        <v>3</v>
      </c>
      <c r="G1162">
        <v>1299</v>
      </c>
      <c r="H1162">
        <v>0.05</v>
      </c>
      <c r="I1162" t="s">
        <v>15</v>
      </c>
      <c r="J1162" t="s">
        <v>28</v>
      </c>
      <c r="K1162" t="s">
        <v>17</v>
      </c>
      <c r="L1162">
        <f>F1161*G1161*(1-H1161)</f>
        <v>9998</v>
      </c>
    </row>
    <row r="1163" spans="1:12">
      <c r="A1163" t="s">
        <v>1808</v>
      </c>
      <c r="B1163" s="1">
        <v>46181</v>
      </c>
      <c r="C1163" t="s">
        <v>483</v>
      </c>
      <c r="D1163" t="s">
        <v>71</v>
      </c>
      <c r="E1163" t="s">
        <v>14</v>
      </c>
      <c r="F1163">
        <v>5</v>
      </c>
      <c r="G1163">
        <v>1499</v>
      </c>
      <c r="H1163">
        <v>0.05</v>
      </c>
      <c r="I1163" t="s">
        <v>47</v>
      </c>
      <c r="J1163" t="s">
        <v>22</v>
      </c>
      <c r="K1163" t="s">
        <v>17</v>
      </c>
      <c r="L1163">
        <f>F1162*G1162*(1-H1162)</f>
        <v>3702.1499999999996</v>
      </c>
    </row>
    <row r="1164" spans="1:12">
      <c r="A1164" t="s">
        <v>1809</v>
      </c>
      <c r="B1164" s="1">
        <v>46081</v>
      </c>
      <c r="C1164" t="s">
        <v>1420</v>
      </c>
      <c r="D1164" t="s">
        <v>62</v>
      </c>
      <c r="E1164" t="s">
        <v>35</v>
      </c>
      <c r="F1164">
        <v>4</v>
      </c>
      <c r="G1164">
        <v>799</v>
      </c>
      <c r="H1164">
        <v>0.15</v>
      </c>
      <c r="I1164" t="s">
        <v>50</v>
      </c>
      <c r="J1164" t="s">
        <v>28</v>
      </c>
      <c r="K1164" t="s">
        <v>37</v>
      </c>
      <c r="L1164">
        <f>F1163*G1163*(1-H1163)</f>
        <v>7120.25</v>
      </c>
    </row>
    <row r="1165" spans="1:12">
      <c r="A1165" t="s">
        <v>1810</v>
      </c>
      <c r="B1165" s="1">
        <v>46077</v>
      </c>
      <c r="C1165" t="s">
        <v>989</v>
      </c>
      <c r="D1165" t="s">
        <v>20</v>
      </c>
      <c r="E1165" t="s">
        <v>27</v>
      </c>
      <c r="F1165">
        <v>3</v>
      </c>
      <c r="G1165">
        <v>7999</v>
      </c>
      <c r="H1165">
        <v>0</v>
      </c>
      <c r="I1165" t="s">
        <v>44</v>
      </c>
      <c r="J1165" t="s">
        <v>51</v>
      </c>
      <c r="K1165" t="s">
        <v>17</v>
      </c>
      <c r="L1165">
        <f>F1164*G1164*(1-H1164)</f>
        <v>2716.6</v>
      </c>
    </row>
    <row r="1166" spans="1:12">
      <c r="A1166" t="s">
        <v>1811</v>
      </c>
      <c r="B1166" s="1">
        <v>46092</v>
      </c>
      <c r="C1166" t="s">
        <v>1812</v>
      </c>
      <c r="D1166" t="s">
        <v>62</v>
      </c>
      <c r="E1166" t="s">
        <v>21</v>
      </c>
      <c r="F1166">
        <v>2</v>
      </c>
      <c r="G1166">
        <v>599</v>
      </c>
      <c r="H1166">
        <v>0</v>
      </c>
      <c r="I1166" t="s">
        <v>15</v>
      </c>
      <c r="J1166" t="s">
        <v>51</v>
      </c>
      <c r="K1166" t="s">
        <v>37</v>
      </c>
      <c r="L1166">
        <f>F1165*G1165*(1-H1165)</f>
        <v>23997</v>
      </c>
    </row>
    <row r="1167" spans="1:12">
      <c r="A1167" t="s">
        <v>1813</v>
      </c>
      <c r="B1167" s="1">
        <v>46089</v>
      </c>
      <c r="C1167" t="s">
        <v>64</v>
      </c>
      <c r="D1167" t="s">
        <v>62</v>
      </c>
      <c r="E1167" t="s">
        <v>14</v>
      </c>
      <c r="F1167">
        <v>4</v>
      </c>
      <c r="G1167">
        <v>499</v>
      </c>
      <c r="H1167">
        <v>0.1</v>
      </c>
      <c r="I1167" t="s">
        <v>32</v>
      </c>
      <c r="J1167" t="s">
        <v>22</v>
      </c>
      <c r="K1167" t="s">
        <v>17</v>
      </c>
      <c r="L1167">
        <f>F1166*G1166*(1-H1166)</f>
        <v>1198</v>
      </c>
    </row>
    <row r="1168" spans="1:12">
      <c r="A1168" t="s">
        <v>1814</v>
      </c>
      <c r="B1168" s="1">
        <v>46047</v>
      </c>
      <c r="C1168" t="s">
        <v>168</v>
      </c>
      <c r="D1168" t="s">
        <v>13</v>
      </c>
      <c r="E1168" t="s">
        <v>40</v>
      </c>
      <c r="F1168">
        <v>5</v>
      </c>
      <c r="G1168">
        <v>1499</v>
      </c>
      <c r="H1168">
        <v>0.05</v>
      </c>
      <c r="I1168" t="s">
        <v>47</v>
      </c>
      <c r="J1168" t="s">
        <v>22</v>
      </c>
      <c r="K1168" t="s">
        <v>17</v>
      </c>
      <c r="L1168">
        <f>F1167*G1167*(1-H1167)</f>
        <v>1796.4</v>
      </c>
    </row>
    <row r="1169" spans="1:12">
      <c r="A1169" t="s">
        <v>1815</v>
      </c>
      <c r="B1169" s="1">
        <v>46280</v>
      </c>
      <c r="C1169" t="s">
        <v>353</v>
      </c>
      <c r="D1169" t="s">
        <v>78</v>
      </c>
      <c r="E1169" t="s">
        <v>35</v>
      </c>
      <c r="F1169">
        <v>3</v>
      </c>
      <c r="G1169">
        <v>2499</v>
      </c>
      <c r="H1169">
        <v>0.15</v>
      </c>
      <c r="I1169" t="s">
        <v>44</v>
      </c>
      <c r="J1169" t="s">
        <v>28</v>
      </c>
      <c r="K1169" t="s">
        <v>17</v>
      </c>
      <c r="L1169">
        <f>F1168*G1168*(1-H1168)</f>
        <v>7120.25</v>
      </c>
    </row>
    <row r="1170" spans="1:12">
      <c r="A1170" t="s">
        <v>1816</v>
      </c>
      <c r="B1170" s="1">
        <v>46269</v>
      </c>
      <c r="C1170" t="s">
        <v>843</v>
      </c>
      <c r="D1170" t="s">
        <v>26</v>
      </c>
      <c r="E1170" t="s">
        <v>35</v>
      </c>
      <c r="F1170">
        <v>1</v>
      </c>
      <c r="G1170">
        <v>1499</v>
      </c>
      <c r="H1170">
        <v>0</v>
      </c>
      <c r="I1170" t="s">
        <v>50</v>
      </c>
      <c r="J1170" t="s">
        <v>22</v>
      </c>
      <c r="K1170" t="s">
        <v>23</v>
      </c>
      <c r="L1170">
        <f>F1169*G1169*(1-H1169)</f>
        <v>6372.45</v>
      </c>
    </row>
    <row r="1171" spans="1:12">
      <c r="A1171" t="s">
        <v>1817</v>
      </c>
      <c r="B1171" s="1">
        <v>46225</v>
      </c>
      <c r="C1171" t="s">
        <v>608</v>
      </c>
      <c r="D1171" t="s">
        <v>26</v>
      </c>
      <c r="E1171" t="s">
        <v>21</v>
      </c>
      <c r="F1171">
        <v>1</v>
      </c>
      <c r="G1171">
        <v>599</v>
      </c>
      <c r="H1171">
        <v>0.05</v>
      </c>
      <c r="I1171" t="s">
        <v>32</v>
      </c>
      <c r="J1171" t="s">
        <v>16</v>
      </c>
      <c r="K1171" t="s">
        <v>17</v>
      </c>
      <c r="L1171">
        <f>F1170*G1170*(1-H1170)</f>
        <v>1499</v>
      </c>
    </row>
    <row r="1172" spans="1:12">
      <c r="A1172" t="s">
        <v>1818</v>
      </c>
      <c r="B1172" s="1">
        <v>46132</v>
      </c>
      <c r="C1172" t="s">
        <v>1563</v>
      </c>
      <c r="D1172" t="s">
        <v>56</v>
      </c>
      <c r="E1172" t="s">
        <v>14</v>
      </c>
      <c r="F1172">
        <v>3</v>
      </c>
      <c r="G1172">
        <v>599</v>
      </c>
      <c r="H1172">
        <v>0.1</v>
      </c>
      <c r="I1172" t="s">
        <v>32</v>
      </c>
      <c r="J1172" t="s">
        <v>36</v>
      </c>
      <c r="K1172" t="s">
        <v>17</v>
      </c>
      <c r="L1172">
        <f>F1171*G1171*(1-H1171)</f>
        <v>569.04999999999995</v>
      </c>
    </row>
    <row r="1173" spans="1:12">
      <c r="A1173" t="s">
        <v>1819</v>
      </c>
      <c r="B1173" s="1">
        <v>46040</v>
      </c>
      <c r="C1173" t="s">
        <v>316</v>
      </c>
      <c r="D1173" t="s">
        <v>62</v>
      </c>
      <c r="E1173" t="s">
        <v>40</v>
      </c>
      <c r="F1173">
        <v>1</v>
      </c>
      <c r="G1173">
        <v>599</v>
      </c>
      <c r="H1173">
        <v>0</v>
      </c>
      <c r="I1173" t="s">
        <v>15</v>
      </c>
      <c r="J1173" t="s">
        <v>51</v>
      </c>
      <c r="K1173" t="s">
        <v>17</v>
      </c>
      <c r="L1173">
        <f>F1172*G1172*(1-H1172)</f>
        <v>1617.3</v>
      </c>
    </row>
    <row r="1174" spans="1:12">
      <c r="A1174" t="s">
        <v>1820</v>
      </c>
      <c r="B1174" s="1">
        <v>46170</v>
      </c>
      <c r="C1174" t="s">
        <v>1821</v>
      </c>
      <c r="D1174" t="s">
        <v>43</v>
      </c>
      <c r="E1174" t="s">
        <v>14</v>
      </c>
      <c r="F1174">
        <v>4</v>
      </c>
      <c r="G1174">
        <v>599</v>
      </c>
      <c r="H1174">
        <v>0</v>
      </c>
      <c r="I1174" t="s">
        <v>15</v>
      </c>
      <c r="J1174" t="s">
        <v>36</v>
      </c>
      <c r="K1174" t="s">
        <v>37</v>
      </c>
      <c r="L1174">
        <f>F1173*G1173*(1-H1173)</f>
        <v>599</v>
      </c>
    </row>
    <row r="1175" spans="1:12">
      <c r="A1175" t="s">
        <v>1822</v>
      </c>
      <c r="B1175" s="1">
        <v>46120</v>
      </c>
      <c r="C1175" t="s">
        <v>152</v>
      </c>
      <c r="D1175" t="s">
        <v>71</v>
      </c>
      <c r="E1175" t="s">
        <v>40</v>
      </c>
      <c r="F1175">
        <v>4</v>
      </c>
      <c r="G1175">
        <v>1999</v>
      </c>
      <c r="H1175">
        <v>0.1</v>
      </c>
      <c r="I1175" t="s">
        <v>50</v>
      </c>
      <c r="J1175" t="s">
        <v>51</v>
      </c>
      <c r="K1175" t="s">
        <v>37</v>
      </c>
      <c r="L1175">
        <f>F1174*G1174*(1-H1174)</f>
        <v>2396</v>
      </c>
    </row>
    <row r="1176" spans="1:12">
      <c r="A1176" t="s">
        <v>1823</v>
      </c>
      <c r="B1176" s="1">
        <v>46045</v>
      </c>
      <c r="C1176" t="s">
        <v>1578</v>
      </c>
      <c r="D1176" t="s">
        <v>31</v>
      </c>
      <c r="E1176" t="s">
        <v>40</v>
      </c>
      <c r="F1176">
        <v>1</v>
      </c>
      <c r="G1176">
        <v>2499</v>
      </c>
      <c r="H1176">
        <v>0.15</v>
      </c>
      <c r="I1176" t="s">
        <v>44</v>
      </c>
      <c r="J1176" t="s">
        <v>51</v>
      </c>
      <c r="K1176" t="s">
        <v>17</v>
      </c>
      <c r="L1176">
        <f>F1175*G1175*(1-H1175)</f>
        <v>7196.4000000000005</v>
      </c>
    </row>
    <row r="1177" spans="1:12">
      <c r="A1177" t="s">
        <v>1824</v>
      </c>
      <c r="B1177" s="1">
        <v>46097</v>
      </c>
      <c r="C1177" t="s">
        <v>132</v>
      </c>
      <c r="D1177" t="s">
        <v>71</v>
      </c>
      <c r="E1177" t="s">
        <v>21</v>
      </c>
      <c r="F1177">
        <v>4</v>
      </c>
      <c r="G1177">
        <v>1999</v>
      </c>
      <c r="H1177">
        <v>0.1</v>
      </c>
      <c r="I1177" t="s">
        <v>32</v>
      </c>
      <c r="J1177" t="s">
        <v>22</v>
      </c>
      <c r="K1177" t="s">
        <v>17</v>
      </c>
      <c r="L1177">
        <f>F1176*G1176*(1-H1176)</f>
        <v>2124.15</v>
      </c>
    </row>
    <row r="1178" spans="1:12">
      <c r="A1178" t="s">
        <v>1825</v>
      </c>
      <c r="B1178" s="1">
        <v>46095</v>
      </c>
      <c r="C1178" t="s">
        <v>489</v>
      </c>
      <c r="D1178" t="s">
        <v>78</v>
      </c>
      <c r="E1178" t="s">
        <v>21</v>
      </c>
      <c r="F1178">
        <v>2</v>
      </c>
      <c r="G1178">
        <v>599</v>
      </c>
      <c r="H1178">
        <v>0.1</v>
      </c>
      <c r="I1178" t="s">
        <v>47</v>
      </c>
      <c r="J1178" t="s">
        <v>28</v>
      </c>
      <c r="K1178" t="s">
        <v>23</v>
      </c>
      <c r="L1178">
        <f>F1177*G1177*(1-H1177)</f>
        <v>7196.4000000000005</v>
      </c>
    </row>
    <row r="1179" spans="1:12">
      <c r="A1179" t="s">
        <v>1826</v>
      </c>
      <c r="B1179" s="1">
        <v>46201</v>
      </c>
      <c r="C1179" t="s">
        <v>1827</v>
      </c>
      <c r="D1179" t="s">
        <v>31</v>
      </c>
      <c r="E1179" t="s">
        <v>35</v>
      </c>
      <c r="F1179">
        <v>5</v>
      </c>
      <c r="G1179">
        <v>1999</v>
      </c>
      <c r="H1179">
        <v>0.1</v>
      </c>
      <c r="I1179" t="s">
        <v>50</v>
      </c>
      <c r="J1179" t="s">
        <v>51</v>
      </c>
      <c r="K1179" t="s">
        <v>17</v>
      </c>
      <c r="L1179">
        <f>F1178*G1178*(1-H1178)</f>
        <v>1078.2</v>
      </c>
    </row>
    <row r="1180" spans="1:12">
      <c r="A1180" t="s">
        <v>1828</v>
      </c>
      <c r="B1180" s="1">
        <v>46121</v>
      </c>
      <c r="C1180" t="s">
        <v>1652</v>
      </c>
      <c r="D1180" t="s">
        <v>20</v>
      </c>
      <c r="E1180" t="s">
        <v>21</v>
      </c>
      <c r="F1180">
        <v>4</v>
      </c>
      <c r="G1180">
        <v>1999</v>
      </c>
      <c r="H1180">
        <v>0</v>
      </c>
      <c r="I1180" t="s">
        <v>47</v>
      </c>
      <c r="J1180" t="s">
        <v>36</v>
      </c>
      <c r="K1180" t="s">
        <v>17</v>
      </c>
      <c r="L1180">
        <f>F1179*G1179*(1-H1179)</f>
        <v>8995.5</v>
      </c>
    </row>
    <row r="1181" spans="1:12">
      <c r="A1181" t="s">
        <v>1829</v>
      </c>
      <c r="B1181" s="1">
        <v>46036</v>
      </c>
      <c r="C1181" t="s">
        <v>442</v>
      </c>
      <c r="D1181" t="s">
        <v>78</v>
      </c>
      <c r="E1181" t="s">
        <v>40</v>
      </c>
      <c r="F1181">
        <v>1</v>
      </c>
      <c r="G1181">
        <v>1999</v>
      </c>
      <c r="H1181">
        <v>0</v>
      </c>
      <c r="I1181" t="s">
        <v>50</v>
      </c>
      <c r="J1181" t="s">
        <v>28</v>
      </c>
      <c r="K1181" t="s">
        <v>17</v>
      </c>
      <c r="L1181">
        <f>F1180*G1180*(1-H1180)</f>
        <v>7996</v>
      </c>
    </row>
    <row r="1182" spans="1:12">
      <c r="A1182" t="s">
        <v>1830</v>
      </c>
      <c r="B1182" s="1">
        <v>46253</v>
      </c>
      <c r="C1182" t="s">
        <v>1831</v>
      </c>
      <c r="D1182" t="s">
        <v>56</v>
      </c>
      <c r="E1182" t="s">
        <v>40</v>
      </c>
      <c r="F1182">
        <v>2</v>
      </c>
      <c r="G1182">
        <v>1499</v>
      </c>
      <c r="H1182">
        <v>0</v>
      </c>
      <c r="I1182" t="s">
        <v>15</v>
      </c>
      <c r="J1182" t="s">
        <v>36</v>
      </c>
      <c r="K1182" t="s">
        <v>17</v>
      </c>
      <c r="L1182">
        <f>F1181*G1181*(1-H1181)</f>
        <v>1999</v>
      </c>
    </row>
    <row r="1183" spans="1:12">
      <c r="A1183" t="s">
        <v>1832</v>
      </c>
      <c r="B1183" s="1">
        <v>46088</v>
      </c>
      <c r="C1183" t="s">
        <v>423</v>
      </c>
      <c r="D1183" t="s">
        <v>62</v>
      </c>
      <c r="E1183" t="s">
        <v>14</v>
      </c>
      <c r="F1183">
        <v>4</v>
      </c>
      <c r="G1183">
        <v>4999</v>
      </c>
      <c r="H1183">
        <v>0.05</v>
      </c>
      <c r="I1183" t="s">
        <v>50</v>
      </c>
      <c r="J1183" t="s">
        <v>22</v>
      </c>
      <c r="K1183" t="s">
        <v>17</v>
      </c>
      <c r="L1183">
        <f>F1182*G1182*(1-H1182)</f>
        <v>2998</v>
      </c>
    </row>
    <row r="1184" spans="1:12">
      <c r="A1184" t="s">
        <v>1833</v>
      </c>
      <c r="B1184" s="1">
        <v>46176</v>
      </c>
      <c r="C1184" t="s">
        <v>604</v>
      </c>
      <c r="D1184" t="s">
        <v>71</v>
      </c>
      <c r="E1184" t="s">
        <v>35</v>
      </c>
      <c r="F1184">
        <v>4</v>
      </c>
      <c r="G1184">
        <v>4999</v>
      </c>
      <c r="H1184">
        <v>0.05</v>
      </c>
      <c r="I1184" t="s">
        <v>15</v>
      </c>
      <c r="J1184" t="s">
        <v>28</v>
      </c>
      <c r="K1184" t="s">
        <v>17</v>
      </c>
      <c r="L1184">
        <f>F1183*G1183*(1-H1183)</f>
        <v>18996.2</v>
      </c>
    </row>
    <row r="1185" spans="1:12">
      <c r="A1185" t="s">
        <v>1834</v>
      </c>
      <c r="B1185" s="1">
        <v>46256</v>
      </c>
      <c r="C1185" t="s">
        <v>472</v>
      </c>
      <c r="D1185" t="s">
        <v>20</v>
      </c>
      <c r="E1185" t="s">
        <v>21</v>
      </c>
      <c r="F1185">
        <v>3</v>
      </c>
      <c r="G1185">
        <v>2499</v>
      </c>
      <c r="H1185">
        <v>0.05</v>
      </c>
      <c r="I1185" t="s">
        <v>15</v>
      </c>
      <c r="J1185" t="s">
        <v>36</v>
      </c>
      <c r="K1185" t="s">
        <v>23</v>
      </c>
      <c r="L1185">
        <f>F1184*G1184*(1-H1184)</f>
        <v>18996.2</v>
      </c>
    </row>
    <row r="1186" spans="1:12">
      <c r="A1186" t="s">
        <v>1835</v>
      </c>
      <c r="B1186" s="1">
        <v>46063</v>
      </c>
      <c r="C1186" t="s">
        <v>1836</v>
      </c>
      <c r="D1186" t="s">
        <v>78</v>
      </c>
      <c r="E1186" t="s">
        <v>40</v>
      </c>
      <c r="F1186">
        <v>5</v>
      </c>
      <c r="G1186">
        <v>4999</v>
      </c>
      <c r="H1186">
        <v>0.05</v>
      </c>
      <c r="I1186" t="s">
        <v>50</v>
      </c>
      <c r="J1186" t="s">
        <v>16</v>
      </c>
      <c r="K1186" t="s">
        <v>23</v>
      </c>
      <c r="L1186">
        <f>F1185*G1185*(1-H1185)</f>
        <v>7122.15</v>
      </c>
    </row>
    <row r="1187" spans="1:12">
      <c r="A1187" t="s">
        <v>1837</v>
      </c>
      <c r="B1187" s="1">
        <v>46027</v>
      </c>
      <c r="C1187" t="s">
        <v>195</v>
      </c>
      <c r="D1187" t="s">
        <v>26</v>
      </c>
      <c r="E1187" t="s">
        <v>35</v>
      </c>
      <c r="F1187">
        <v>5</v>
      </c>
      <c r="G1187">
        <v>499</v>
      </c>
      <c r="H1187">
        <v>0</v>
      </c>
      <c r="I1187" t="s">
        <v>44</v>
      </c>
      <c r="J1187" t="s">
        <v>16</v>
      </c>
      <c r="K1187" t="s">
        <v>17</v>
      </c>
      <c r="L1187">
        <f>F1186*G1186*(1-H1186)</f>
        <v>23745.25</v>
      </c>
    </row>
    <row r="1188" spans="1:12">
      <c r="A1188" t="s">
        <v>1838</v>
      </c>
      <c r="B1188" s="1">
        <v>46196</v>
      </c>
      <c r="C1188" t="s">
        <v>1034</v>
      </c>
      <c r="D1188" t="s">
        <v>43</v>
      </c>
      <c r="E1188" t="s">
        <v>35</v>
      </c>
      <c r="F1188">
        <v>5</v>
      </c>
      <c r="G1188">
        <v>2499</v>
      </c>
      <c r="H1188">
        <v>0.05</v>
      </c>
      <c r="I1188" t="s">
        <v>47</v>
      </c>
      <c r="J1188" t="s">
        <v>22</v>
      </c>
      <c r="K1188" t="s">
        <v>23</v>
      </c>
      <c r="L1188">
        <f>F1187*G1187*(1-H1187)</f>
        <v>2495</v>
      </c>
    </row>
    <row r="1189" spans="1:12">
      <c r="A1189" t="s">
        <v>1839</v>
      </c>
      <c r="B1189" s="1">
        <v>46173</v>
      </c>
      <c r="C1189" t="s">
        <v>1250</v>
      </c>
      <c r="D1189" t="s">
        <v>43</v>
      </c>
      <c r="E1189" t="s">
        <v>27</v>
      </c>
      <c r="F1189">
        <v>1</v>
      </c>
      <c r="G1189">
        <v>599</v>
      </c>
      <c r="H1189">
        <v>0.1</v>
      </c>
      <c r="I1189" t="s">
        <v>50</v>
      </c>
      <c r="J1189" t="s">
        <v>36</v>
      </c>
      <c r="K1189" t="s">
        <v>17</v>
      </c>
      <c r="L1189">
        <f>F1188*G1188*(1-H1188)</f>
        <v>11870.25</v>
      </c>
    </row>
    <row r="1190" spans="1:12">
      <c r="A1190" t="s">
        <v>1840</v>
      </c>
      <c r="B1190" s="1">
        <v>46068</v>
      </c>
      <c r="C1190" t="s">
        <v>1176</v>
      </c>
      <c r="D1190" t="s">
        <v>56</v>
      </c>
      <c r="E1190" t="s">
        <v>14</v>
      </c>
      <c r="F1190">
        <v>1</v>
      </c>
      <c r="G1190">
        <v>1299</v>
      </c>
      <c r="H1190">
        <v>0</v>
      </c>
      <c r="I1190" t="s">
        <v>50</v>
      </c>
      <c r="J1190" t="s">
        <v>51</v>
      </c>
      <c r="K1190" t="s">
        <v>17</v>
      </c>
      <c r="L1190">
        <f>F1189*G1189*(1-H1189)</f>
        <v>539.1</v>
      </c>
    </row>
    <row r="1191" spans="1:12">
      <c r="A1191" t="s">
        <v>1841</v>
      </c>
      <c r="B1191" s="1">
        <v>46095</v>
      </c>
      <c r="C1191" t="s">
        <v>1709</v>
      </c>
      <c r="D1191" t="s">
        <v>26</v>
      </c>
      <c r="E1191" t="s">
        <v>35</v>
      </c>
      <c r="F1191">
        <v>1</v>
      </c>
      <c r="G1191">
        <v>999</v>
      </c>
      <c r="H1191">
        <v>0</v>
      </c>
      <c r="I1191" t="s">
        <v>47</v>
      </c>
      <c r="J1191" t="s">
        <v>51</v>
      </c>
      <c r="K1191" t="s">
        <v>17</v>
      </c>
      <c r="L1191">
        <f>F1190*G1190*(1-H1190)</f>
        <v>1299</v>
      </c>
    </row>
    <row r="1192" spans="1:12">
      <c r="A1192" t="s">
        <v>1842</v>
      </c>
      <c r="B1192" s="1">
        <v>46166</v>
      </c>
      <c r="C1192" t="s">
        <v>921</v>
      </c>
      <c r="D1192" t="s">
        <v>71</v>
      </c>
      <c r="E1192" t="s">
        <v>27</v>
      </c>
      <c r="F1192">
        <v>2</v>
      </c>
      <c r="G1192">
        <v>4999</v>
      </c>
      <c r="H1192">
        <v>0.05</v>
      </c>
      <c r="I1192" t="s">
        <v>32</v>
      </c>
      <c r="J1192" t="s">
        <v>28</v>
      </c>
      <c r="K1192" t="s">
        <v>17</v>
      </c>
      <c r="L1192">
        <f>F1191*G1191*(1-H1191)</f>
        <v>999</v>
      </c>
    </row>
    <row r="1193" spans="1:12">
      <c r="A1193" t="s">
        <v>1843</v>
      </c>
      <c r="B1193" s="1">
        <v>46214</v>
      </c>
      <c r="C1193" t="s">
        <v>870</v>
      </c>
      <c r="D1193" t="s">
        <v>43</v>
      </c>
      <c r="E1193" t="s">
        <v>27</v>
      </c>
      <c r="F1193">
        <v>1</v>
      </c>
      <c r="G1193">
        <v>1499</v>
      </c>
      <c r="H1193">
        <v>0</v>
      </c>
      <c r="I1193" t="s">
        <v>50</v>
      </c>
      <c r="J1193" t="s">
        <v>22</v>
      </c>
      <c r="K1193" t="s">
        <v>23</v>
      </c>
      <c r="L1193">
        <f>F1192*G1192*(1-H1192)</f>
        <v>9498.1</v>
      </c>
    </row>
    <row r="1194" spans="1:12">
      <c r="A1194" t="s">
        <v>1844</v>
      </c>
      <c r="B1194" s="1">
        <v>46209</v>
      </c>
      <c r="C1194" t="s">
        <v>1845</v>
      </c>
      <c r="D1194" t="s">
        <v>71</v>
      </c>
      <c r="E1194" t="s">
        <v>35</v>
      </c>
      <c r="F1194">
        <v>3</v>
      </c>
      <c r="G1194">
        <v>4999</v>
      </c>
      <c r="H1194">
        <v>0</v>
      </c>
      <c r="I1194" t="s">
        <v>47</v>
      </c>
      <c r="J1194" t="s">
        <v>36</v>
      </c>
      <c r="K1194" t="s">
        <v>17</v>
      </c>
      <c r="L1194">
        <f>F1193*G1193*(1-H1193)</f>
        <v>1499</v>
      </c>
    </row>
    <row r="1195" spans="1:12">
      <c r="A1195" t="s">
        <v>1846</v>
      </c>
      <c r="B1195" s="1">
        <v>46028</v>
      </c>
      <c r="C1195" t="s">
        <v>215</v>
      </c>
      <c r="D1195" t="s">
        <v>31</v>
      </c>
      <c r="E1195" t="s">
        <v>40</v>
      </c>
      <c r="F1195">
        <v>4</v>
      </c>
      <c r="G1195">
        <v>2499</v>
      </c>
      <c r="H1195">
        <v>0.05</v>
      </c>
      <c r="I1195" t="s">
        <v>32</v>
      </c>
      <c r="J1195" t="s">
        <v>36</v>
      </c>
      <c r="K1195" t="s">
        <v>37</v>
      </c>
      <c r="L1195">
        <f>F1194*G1194*(1-H1194)</f>
        <v>14997</v>
      </c>
    </row>
    <row r="1196" spans="1:12">
      <c r="A1196" t="s">
        <v>1847</v>
      </c>
      <c r="B1196" s="1">
        <v>46264</v>
      </c>
      <c r="C1196" t="s">
        <v>294</v>
      </c>
      <c r="D1196" t="s">
        <v>78</v>
      </c>
      <c r="E1196" t="s">
        <v>35</v>
      </c>
      <c r="F1196">
        <v>5</v>
      </c>
      <c r="G1196">
        <v>1499</v>
      </c>
      <c r="H1196">
        <v>0</v>
      </c>
      <c r="I1196" t="s">
        <v>44</v>
      </c>
      <c r="J1196" t="s">
        <v>51</v>
      </c>
      <c r="K1196" t="s">
        <v>37</v>
      </c>
      <c r="L1196">
        <f>F1195*G1195*(1-H1195)</f>
        <v>9496.1999999999989</v>
      </c>
    </row>
    <row r="1197" spans="1:12">
      <c r="A1197" t="s">
        <v>1848</v>
      </c>
      <c r="B1197" s="1">
        <v>46148</v>
      </c>
      <c r="C1197" t="s">
        <v>162</v>
      </c>
      <c r="D1197" t="s">
        <v>26</v>
      </c>
      <c r="E1197" t="s">
        <v>27</v>
      </c>
      <c r="F1197">
        <v>4</v>
      </c>
      <c r="G1197">
        <v>599</v>
      </c>
      <c r="H1197">
        <v>0</v>
      </c>
      <c r="I1197" t="s">
        <v>47</v>
      </c>
      <c r="J1197" t="s">
        <v>28</v>
      </c>
      <c r="K1197" t="s">
        <v>17</v>
      </c>
      <c r="L1197">
        <f>F1196*G1196*(1-H1196)</f>
        <v>7495</v>
      </c>
    </row>
    <row r="1198" spans="1:12">
      <c r="A1198" t="s">
        <v>1849</v>
      </c>
      <c r="B1198" s="1">
        <v>46247</v>
      </c>
      <c r="C1198" t="s">
        <v>1812</v>
      </c>
      <c r="D1198" t="s">
        <v>56</v>
      </c>
      <c r="E1198" t="s">
        <v>21</v>
      </c>
      <c r="F1198">
        <v>4</v>
      </c>
      <c r="G1198">
        <v>4999</v>
      </c>
      <c r="H1198">
        <v>0</v>
      </c>
      <c r="I1198" t="s">
        <v>44</v>
      </c>
      <c r="J1198" t="s">
        <v>22</v>
      </c>
      <c r="K1198" t="s">
        <v>37</v>
      </c>
      <c r="L1198">
        <f>F1197*G1197*(1-H1197)</f>
        <v>2396</v>
      </c>
    </row>
    <row r="1199" spans="1:12">
      <c r="A1199" t="s">
        <v>1850</v>
      </c>
      <c r="B1199" s="1">
        <v>46288</v>
      </c>
      <c r="C1199" t="s">
        <v>1218</v>
      </c>
      <c r="D1199" t="s">
        <v>62</v>
      </c>
      <c r="E1199" t="s">
        <v>40</v>
      </c>
      <c r="F1199">
        <v>3</v>
      </c>
      <c r="G1199">
        <v>799</v>
      </c>
      <c r="H1199">
        <v>0</v>
      </c>
      <c r="I1199" t="s">
        <v>44</v>
      </c>
      <c r="J1199" t="s">
        <v>36</v>
      </c>
      <c r="K1199" t="s">
        <v>17</v>
      </c>
      <c r="L1199">
        <f>F1198*G1198*(1-H1198)</f>
        <v>19996</v>
      </c>
    </row>
    <row r="1200" spans="1:12">
      <c r="A1200" t="s">
        <v>1851</v>
      </c>
      <c r="B1200" s="1">
        <v>46269</v>
      </c>
      <c r="C1200" t="s">
        <v>226</v>
      </c>
      <c r="D1200" t="s">
        <v>78</v>
      </c>
      <c r="E1200" t="s">
        <v>35</v>
      </c>
      <c r="F1200">
        <v>2</v>
      </c>
      <c r="G1200">
        <v>7999</v>
      </c>
      <c r="H1200">
        <v>0.15</v>
      </c>
      <c r="I1200" t="s">
        <v>47</v>
      </c>
      <c r="J1200" t="s">
        <v>28</v>
      </c>
      <c r="K1200" t="s">
        <v>17</v>
      </c>
      <c r="L1200">
        <f>F1199*G1199*(1-H1199)</f>
        <v>2397</v>
      </c>
    </row>
    <row r="1201" spans="1:12">
      <c r="A1201" t="s">
        <v>1852</v>
      </c>
      <c r="B1201" s="1">
        <v>46026</v>
      </c>
      <c r="C1201" t="s">
        <v>524</v>
      </c>
      <c r="D1201" t="s">
        <v>56</v>
      </c>
      <c r="E1201" t="s">
        <v>40</v>
      </c>
      <c r="F1201">
        <v>2</v>
      </c>
      <c r="G1201">
        <v>999</v>
      </c>
      <c r="H1201">
        <v>0</v>
      </c>
      <c r="I1201" t="s">
        <v>15</v>
      </c>
      <c r="J1201" t="s">
        <v>51</v>
      </c>
      <c r="K1201" t="s">
        <v>17</v>
      </c>
      <c r="L1201">
        <f>F1200*G1200*(1-H1200)</f>
        <v>13598.3</v>
      </c>
    </row>
    <row r="1202" spans="1:12">
      <c r="A1202" t="s">
        <v>1853</v>
      </c>
      <c r="B1202" s="1">
        <v>46267</v>
      </c>
      <c r="C1202" t="s">
        <v>401</v>
      </c>
      <c r="D1202" t="s">
        <v>59</v>
      </c>
      <c r="E1202" t="s">
        <v>35</v>
      </c>
      <c r="F1202">
        <v>2</v>
      </c>
      <c r="G1202">
        <v>7999</v>
      </c>
      <c r="H1202">
        <v>0.05</v>
      </c>
      <c r="I1202" t="s">
        <v>50</v>
      </c>
      <c r="J1202" t="s">
        <v>28</v>
      </c>
      <c r="K1202" t="s">
        <v>17</v>
      </c>
      <c r="L1202">
        <f>F1201*G1201*(1-H1201)</f>
        <v>1998</v>
      </c>
    </row>
    <row r="1203" spans="1:12">
      <c r="A1203" t="s">
        <v>1854</v>
      </c>
      <c r="B1203" s="1">
        <v>46225</v>
      </c>
      <c r="C1203" t="s">
        <v>1068</v>
      </c>
      <c r="D1203" t="s">
        <v>59</v>
      </c>
      <c r="E1203" t="s">
        <v>40</v>
      </c>
      <c r="F1203">
        <v>5</v>
      </c>
      <c r="G1203">
        <v>7999</v>
      </c>
      <c r="H1203">
        <v>0</v>
      </c>
      <c r="I1203" t="s">
        <v>47</v>
      </c>
      <c r="J1203" t="s">
        <v>16</v>
      </c>
      <c r="K1203" t="s">
        <v>17</v>
      </c>
      <c r="L1203">
        <f>F1202*G1202*(1-H1202)</f>
        <v>15198.099999999999</v>
      </c>
    </row>
    <row r="1204" spans="1:12">
      <c r="A1204" t="s">
        <v>1855</v>
      </c>
      <c r="B1204" s="1">
        <v>46266</v>
      </c>
      <c r="C1204" t="s">
        <v>1856</v>
      </c>
      <c r="D1204" t="s">
        <v>59</v>
      </c>
      <c r="E1204" t="s">
        <v>21</v>
      </c>
      <c r="F1204">
        <v>1</v>
      </c>
      <c r="G1204">
        <v>2499</v>
      </c>
      <c r="H1204">
        <v>0.05</v>
      </c>
      <c r="I1204" t="s">
        <v>47</v>
      </c>
      <c r="J1204" t="s">
        <v>22</v>
      </c>
      <c r="K1204" t="s">
        <v>23</v>
      </c>
      <c r="L1204">
        <f>F1203*G1203*(1-H1203)</f>
        <v>39995</v>
      </c>
    </row>
    <row r="1205" spans="1:12">
      <c r="A1205" t="s">
        <v>1857</v>
      </c>
      <c r="B1205" s="1">
        <v>46165</v>
      </c>
      <c r="C1205" t="s">
        <v>322</v>
      </c>
      <c r="D1205" t="s">
        <v>56</v>
      </c>
      <c r="E1205" t="s">
        <v>27</v>
      </c>
      <c r="F1205">
        <v>4</v>
      </c>
      <c r="G1205">
        <v>1499</v>
      </c>
      <c r="H1205">
        <v>0.15</v>
      </c>
      <c r="I1205" t="s">
        <v>15</v>
      </c>
      <c r="J1205" t="s">
        <v>28</v>
      </c>
      <c r="K1205" t="s">
        <v>17</v>
      </c>
      <c r="L1205">
        <f>F1204*G1204*(1-H1204)</f>
        <v>2374.0499999999997</v>
      </c>
    </row>
    <row r="1206" spans="1:12">
      <c r="A1206" t="s">
        <v>1858</v>
      </c>
      <c r="B1206" s="1">
        <v>46111</v>
      </c>
      <c r="C1206" t="s">
        <v>1859</v>
      </c>
      <c r="D1206" t="s">
        <v>31</v>
      </c>
      <c r="E1206" t="s">
        <v>14</v>
      </c>
      <c r="F1206">
        <v>1</v>
      </c>
      <c r="G1206">
        <v>1999</v>
      </c>
      <c r="H1206">
        <v>0.15</v>
      </c>
      <c r="I1206" t="s">
        <v>44</v>
      </c>
      <c r="J1206" t="s">
        <v>28</v>
      </c>
      <c r="K1206" t="s">
        <v>23</v>
      </c>
      <c r="L1206">
        <f>F1205*G1205*(1-H1205)</f>
        <v>5096.5999999999995</v>
      </c>
    </row>
    <row r="1207" spans="1:12">
      <c r="A1207" t="s">
        <v>1860</v>
      </c>
      <c r="B1207" s="1">
        <v>46170</v>
      </c>
      <c r="C1207" t="s">
        <v>1861</v>
      </c>
      <c r="D1207" t="s">
        <v>78</v>
      </c>
      <c r="E1207" t="s">
        <v>21</v>
      </c>
      <c r="F1207">
        <v>1</v>
      </c>
      <c r="G1207">
        <v>2499</v>
      </c>
      <c r="H1207">
        <v>0.1</v>
      </c>
      <c r="I1207" t="s">
        <v>15</v>
      </c>
      <c r="J1207" t="s">
        <v>51</v>
      </c>
      <c r="K1207" t="s">
        <v>23</v>
      </c>
      <c r="L1207">
        <f>F1206*G1206*(1-H1206)</f>
        <v>1699.1499999999999</v>
      </c>
    </row>
    <row r="1208" spans="1:12">
      <c r="A1208" t="s">
        <v>1862</v>
      </c>
      <c r="B1208" s="1">
        <v>46266</v>
      </c>
      <c r="C1208" t="s">
        <v>86</v>
      </c>
      <c r="D1208" t="s">
        <v>43</v>
      </c>
      <c r="E1208" t="s">
        <v>21</v>
      </c>
      <c r="F1208">
        <v>2</v>
      </c>
      <c r="G1208">
        <v>4999</v>
      </c>
      <c r="H1208">
        <v>0</v>
      </c>
      <c r="I1208" t="s">
        <v>50</v>
      </c>
      <c r="J1208" t="s">
        <v>28</v>
      </c>
      <c r="K1208" t="s">
        <v>23</v>
      </c>
      <c r="L1208">
        <f>F1207*G1207*(1-H1207)</f>
        <v>2249.1</v>
      </c>
    </row>
    <row r="1209" spans="1:12">
      <c r="A1209" t="s">
        <v>1863</v>
      </c>
      <c r="B1209" s="1">
        <v>46147</v>
      </c>
      <c r="C1209" t="s">
        <v>1363</v>
      </c>
      <c r="D1209" t="s">
        <v>59</v>
      </c>
      <c r="E1209" t="s">
        <v>27</v>
      </c>
      <c r="F1209">
        <v>5</v>
      </c>
      <c r="G1209">
        <v>599</v>
      </c>
      <c r="H1209">
        <v>0</v>
      </c>
      <c r="I1209" t="s">
        <v>32</v>
      </c>
      <c r="J1209" t="s">
        <v>28</v>
      </c>
      <c r="K1209" t="s">
        <v>23</v>
      </c>
      <c r="L1209">
        <f>F1208*G1208*(1-H1208)</f>
        <v>9998</v>
      </c>
    </row>
    <row r="1210" spans="1:12">
      <c r="A1210" t="s">
        <v>1864</v>
      </c>
      <c r="B1210" s="1">
        <v>46221</v>
      </c>
      <c r="C1210" t="s">
        <v>102</v>
      </c>
      <c r="D1210" t="s">
        <v>56</v>
      </c>
      <c r="E1210" t="s">
        <v>35</v>
      </c>
      <c r="F1210">
        <v>4</v>
      </c>
      <c r="G1210">
        <v>1499</v>
      </c>
      <c r="H1210">
        <v>0.15</v>
      </c>
      <c r="I1210" t="s">
        <v>47</v>
      </c>
      <c r="J1210" t="s">
        <v>36</v>
      </c>
      <c r="K1210" t="s">
        <v>37</v>
      </c>
      <c r="L1210">
        <f>F1209*G1209*(1-H1209)</f>
        <v>2995</v>
      </c>
    </row>
    <row r="1211" spans="1:12">
      <c r="A1211" t="s">
        <v>1865</v>
      </c>
      <c r="B1211" s="1">
        <v>46095</v>
      </c>
      <c r="C1211" t="s">
        <v>1606</v>
      </c>
      <c r="D1211" t="s">
        <v>71</v>
      </c>
      <c r="E1211" t="s">
        <v>35</v>
      </c>
      <c r="F1211">
        <v>4</v>
      </c>
      <c r="G1211">
        <v>1499</v>
      </c>
      <c r="H1211">
        <v>0.15</v>
      </c>
      <c r="I1211" t="s">
        <v>15</v>
      </c>
      <c r="J1211" t="s">
        <v>51</v>
      </c>
      <c r="K1211" t="s">
        <v>17</v>
      </c>
      <c r="L1211">
        <f>F1210*G1210*(1-H1210)</f>
        <v>5096.5999999999995</v>
      </c>
    </row>
    <row r="1212" spans="1:12">
      <c r="A1212" t="s">
        <v>1866</v>
      </c>
      <c r="B1212" s="1">
        <v>46221</v>
      </c>
      <c r="C1212" t="s">
        <v>1471</v>
      </c>
      <c r="D1212" t="s">
        <v>20</v>
      </c>
      <c r="E1212" t="s">
        <v>35</v>
      </c>
      <c r="F1212">
        <v>2</v>
      </c>
      <c r="G1212">
        <v>499</v>
      </c>
      <c r="H1212">
        <v>0</v>
      </c>
      <c r="I1212" t="s">
        <v>50</v>
      </c>
      <c r="J1212" t="s">
        <v>22</v>
      </c>
      <c r="K1212" t="s">
        <v>23</v>
      </c>
      <c r="L1212">
        <f>F1211*G1211*(1-H1211)</f>
        <v>5096.5999999999995</v>
      </c>
    </row>
    <row r="1213" spans="1:12">
      <c r="A1213" t="s">
        <v>1867</v>
      </c>
      <c r="B1213" s="1">
        <v>46028</v>
      </c>
      <c r="C1213" t="s">
        <v>349</v>
      </c>
      <c r="D1213" t="s">
        <v>71</v>
      </c>
      <c r="E1213" t="s">
        <v>27</v>
      </c>
      <c r="F1213">
        <v>1</v>
      </c>
      <c r="G1213">
        <v>1499</v>
      </c>
      <c r="H1213">
        <v>0</v>
      </c>
      <c r="I1213" t="s">
        <v>50</v>
      </c>
      <c r="J1213" t="s">
        <v>22</v>
      </c>
      <c r="K1213" t="s">
        <v>23</v>
      </c>
      <c r="L1213">
        <f>F1212*G1212*(1-H1212)</f>
        <v>998</v>
      </c>
    </row>
    <row r="1214" spans="1:12">
      <c r="A1214" t="s">
        <v>1868</v>
      </c>
      <c r="B1214" s="1">
        <v>46291</v>
      </c>
      <c r="C1214" t="s">
        <v>1268</v>
      </c>
      <c r="D1214" t="s">
        <v>78</v>
      </c>
      <c r="E1214" t="s">
        <v>40</v>
      </c>
      <c r="F1214">
        <v>5</v>
      </c>
      <c r="G1214">
        <v>1499</v>
      </c>
      <c r="H1214">
        <v>0</v>
      </c>
      <c r="I1214" t="s">
        <v>15</v>
      </c>
      <c r="J1214" t="s">
        <v>51</v>
      </c>
      <c r="K1214" t="s">
        <v>17</v>
      </c>
      <c r="L1214">
        <f>F1213*G1213*(1-H1213)</f>
        <v>1499</v>
      </c>
    </row>
    <row r="1215" spans="1:12">
      <c r="A1215" t="s">
        <v>1869</v>
      </c>
      <c r="B1215" s="1">
        <v>46145</v>
      </c>
      <c r="C1215" t="s">
        <v>450</v>
      </c>
      <c r="D1215" t="s">
        <v>31</v>
      </c>
      <c r="E1215" t="s">
        <v>35</v>
      </c>
      <c r="F1215">
        <v>1</v>
      </c>
      <c r="G1215">
        <v>799</v>
      </c>
      <c r="H1215">
        <v>0.15</v>
      </c>
      <c r="I1215" t="s">
        <v>44</v>
      </c>
      <c r="J1215" t="s">
        <v>16</v>
      </c>
      <c r="K1215" t="s">
        <v>17</v>
      </c>
      <c r="L1215">
        <f>F1214*G1214*(1-H1214)</f>
        <v>7495</v>
      </c>
    </row>
    <row r="1216" spans="1:12">
      <c r="A1216" t="s">
        <v>1870</v>
      </c>
      <c r="B1216" s="1">
        <v>46271</v>
      </c>
      <c r="C1216" t="s">
        <v>117</v>
      </c>
      <c r="D1216" t="s">
        <v>13</v>
      </c>
      <c r="E1216" t="s">
        <v>40</v>
      </c>
      <c r="F1216">
        <v>5</v>
      </c>
      <c r="G1216">
        <v>599</v>
      </c>
      <c r="H1216">
        <v>0</v>
      </c>
      <c r="I1216" t="s">
        <v>44</v>
      </c>
      <c r="J1216" t="s">
        <v>28</v>
      </c>
      <c r="K1216" t="s">
        <v>17</v>
      </c>
      <c r="L1216">
        <f>F1215*G1215*(1-H1215)</f>
        <v>679.15</v>
      </c>
    </row>
    <row r="1217" spans="1:12">
      <c r="A1217" t="s">
        <v>1871</v>
      </c>
      <c r="B1217" s="1">
        <v>46292</v>
      </c>
      <c r="C1217" t="s">
        <v>725</v>
      </c>
      <c r="D1217" t="s">
        <v>43</v>
      </c>
      <c r="E1217" t="s">
        <v>35</v>
      </c>
      <c r="F1217">
        <v>4</v>
      </c>
      <c r="G1217">
        <v>1999</v>
      </c>
      <c r="H1217">
        <v>0</v>
      </c>
      <c r="I1217" t="s">
        <v>47</v>
      </c>
      <c r="J1217" t="s">
        <v>28</v>
      </c>
      <c r="K1217" t="s">
        <v>17</v>
      </c>
      <c r="L1217">
        <f>F1216*G1216*(1-H1216)</f>
        <v>2995</v>
      </c>
    </row>
    <row r="1218" spans="1:12">
      <c r="A1218" t="s">
        <v>1872</v>
      </c>
      <c r="B1218" s="1">
        <v>46203</v>
      </c>
      <c r="C1218" t="s">
        <v>150</v>
      </c>
      <c r="D1218" t="s">
        <v>20</v>
      </c>
      <c r="E1218" t="s">
        <v>27</v>
      </c>
      <c r="F1218">
        <v>2</v>
      </c>
      <c r="G1218">
        <v>4999</v>
      </c>
      <c r="H1218">
        <v>0</v>
      </c>
      <c r="I1218" t="s">
        <v>32</v>
      </c>
      <c r="J1218" t="s">
        <v>16</v>
      </c>
      <c r="K1218" t="s">
        <v>17</v>
      </c>
      <c r="L1218">
        <f>F1217*G1217*(1-H1217)</f>
        <v>7996</v>
      </c>
    </row>
    <row r="1219" spans="1:12">
      <c r="A1219" t="s">
        <v>1873</v>
      </c>
      <c r="B1219" s="1">
        <v>46269</v>
      </c>
      <c r="C1219" t="s">
        <v>285</v>
      </c>
      <c r="D1219" t="s">
        <v>78</v>
      </c>
      <c r="E1219" t="s">
        <v>21</v>
      </c>
      <c r="F1219">
        <v>2</v>
      </c>
      <c r="G1219">
        <v>1999</v>
      </c>
      <c r="H1219">
        <v>0.1</v>
      </c>
      <c r="I1219" t="s">
        <v>32</v>
      </c>
      <c r="J1219" t="s">
        <v>51</v>
      </c>
      <c r="K1219" t="s">
        <v>17</v>
      </c>
      <c r="L1219">
        <f>F1218*G1218*(1-H1218)</f>
        <v>9998</v>
      </c>
    </row>
    <row r="1220" spans="1:12">
      <c r="A1220" t="s">
        <v>1874</v>
      </c>
      <c r="B1220" s="1">
        <v>46264</v>
      </c>
      <c r="C1220" t="s">
        <v>504</v>
      </c>
      <c r="D1220" t="s">
        <v>31</v>
      </c>
      <c r="E1220" t="s">
        <v>40</v>
      </c>
      <c r="F1220">
        <v>5</v>
      </c>
      <c r="G1220">
        <v>4999</v>
      </c>
      <c r="H1220">
        <v>0.15</v>
      </c>
      <c r="I1220" t="s">
        <v>44</v>
      </c>
      <c r="J1220" t="s">
        <v>22</v>
      </c>
      <c r="K1220" t="s">
        <v>17</v>
      </c>
      <c r="L1220">
        <f>F1219*G1219*(1-H1219)</f>
        <v>3598.2000000000003</v>
      </c>
    </row>
    <row r="1221" spans="1:12">
      <c r="A1221" t="s">
        <v>1875</v>
      </c>
      <c r="B1221" s="1">
        <v>46072</v>
      </c>
      <c r="C1221" t="s">
        <v>1572</v>
      </c>
      <c r="D1221" t="s">
        <v>56</v>
      </c>
      <c r="E1221" t="s">
        <v>27</v>
      </c>
      <c r="F1221">
        <v>2</v>
      </c>
      <c r="G1221">
        <v>7999</v>
      </c>
      <c r="H1221">
        <v>0</v>
      </c>
      <c r="I1221" t="s">
        <v>47</v>
      </c>
      <c r="J1221" t="s">
        <v>22</v>
      </c>
      <c r="K1221" t="s">
        <v>17</v>
      </c>
      <c r="L1221">
        <f>F1220*G1220*(1-H1220)</f>
        <v>21245.75</v>
      </c>
    </row>
    <row r="1222" spans="1:12">
      <c r="A1222" t="s">
        <v>1876</v>
      </c>
      <c r="B1222" s="1">
        <v>46259</v>
      </c>
      <c r="C1222" t="s">
        <v>615</v>
      </c>
      <c r="D1222" t="s">
        <v>20</v>
      </c>
      <c r="E1222" t="s">
        <v>35</v>
      </c>
      <c r="F1222">
        <v>1</v>
      </c>
      <c r="G1222">
        <v>799</v>
      </c>
      <c r="H1222">
        <v>0</v>
      </c>
      <c r="I1222" t="s">
        <v>44</v>
      </c>
      <c r="J1222" t="s">
        <v>16</v>
      </c>
      <c r="K1222" t="s">
        <v>17</v>
      </c>
      <c r="L1222">
        <f>F1221*G1221*(1-H1221)</f>
        <v>15998</v>
      </c>
    </row>
    <row r="1223" spans="1:12">
      <c r="A1223" t="s">
        <v>1877</v>
      </c>
      <c r="B1223" s="1">
        <v>46179</v>
      </c>
      <c r="C1223" t="s">
        <v>1636</v>
      </c>
      <c r="D1223" t="s">
        <v>59</v>
      </c>
      <c r="E1223" t="s">
        <v>40</v>
      </c>
      <c r="F1223">
        <v>1</v>
      </c>
      <c r="G1223">
        <v>1999</v>
      </c>
      <c r="H1223">
        <v>0.05</v>
      </c>
      <c r="I1223" t="s">
        <v>44</v>
      </c>
      <c r="J1223" t="s">
        <v>16</v>
      </c>
      <c r="K1223" t="s">
        <v>23</v>
      </c>
      <c r="L1223">
        <f>F1222*G1222*(1-H1222)</f>
        <v>799</v>
      </c>
    </row>
    <row r="1224" spans="1:12">
      <c r="A1224" t="s">
        <v>1878</v>
      </c>
      <c r="B1224" s="1">
        <v>46061</v>
      </c>
      <c r="C1224" t="s">
        <v>688</v>
      </c>
      <c r="D1224" t="s">
        <v>20</v>
      </c>
      <c r="E1224" t="s">
        <v>14</v>
      </c>
      <c r="F1224">
        <v>4</v>
      </c>
      <c r="G1224">
        <v>499</v>
      </c>
      <c r="H1224">
        <v>0.05</v>
      </c>
      <c r="I1224" t="s">
        <v>32</v>
      </c>
      <c r="J1224" t="s">
        <v>36</v>
      </c>
      <c r="K1224" t="s">
        <v>23</v>
      </c>
      <c r="L1224">
        <f>F1223*G1223*(1-H1223)</f>
        <v>1899.05</v>
      </c>
    </row>
    <row r="1225" spans="1:12">
      <c r="A1225" t="s">
        <v>1879</v>
      </c>
      <c r="B1225" s="1">
        <v>46095</v>
      </c>
      <c r="C1225" t="s">
        <v>1146</v>
      </c>
      <c r="D1225" t="s">
        <v>71</v>
      </c>
      <c r="E1225" t="s">
        <v>14</v>
      </c>
      <c r="F1225">
        <v>1</v>
      </c>
      <c r="G1225">
        <v>599</v>
      </c>
      <c r="H1225">
        <v>0.1</v>
      </c>
      <c r="I1225" t="s">
        <v>32</v>
      </c>
      <c r="J1225" t="s">
        <v>16</v>
      </c>
      <c r="K1225" t="s">
        <v>37</v>
      </c>
      <c r="L1225">
        <f>F1224*G1224*(1-H1224)</f>
        <v>1896.1999999999998</v>
      </c>
    </row>
    <row r="1226" spans="1:12">
      <c r="A1226" t="s">
        <v>1880</v>
      </c>
      <c r="B1226" s="1">
        <v>46213</v>
      </c>
      <c r="C1226" t="s">
        <v>215</v>
      </c>
      <c r="D1226" t="s">
        <v>13</v>
      </c>
      <c r="E1226" t="s">
        <v>14</v>
      </c>
      <c r="F1226">
        <v>2</v>
      </c>
      <c r="G1226">
        <v>4999</v>
      </c>
      <c r="H1226">
        <v>0.1</v>
      </c>
      <c r="I1226" t="s">
        <v>32</v>
      </c>
      <c r="J1226" t="s">
        <v>51</v>
      </c>
      <c r="K1226" t="s">
        <v>17</v>
      </c>
      <c r="L1226">
        <f>F1225*G1225*(1-H1225)</f>
        <v>539.1</v>
      </c>
    </row>
    <row r="1227" spans="1:12">
      <c r="A1227" t="s">
        <v>1881</v>
      </c>
      <c r="B1227" s="1">
        <v>46233</v>
      </c>
      <c r="C1227" t="s">
        <v>1013</v>
      </c>
      <c r="D1227" t="s">
        <v>26</v>
      </c>
      <c r="E1227" t="s">
        <v>21</v>
      </c>
      <c r="F1227">
        <v>1</v>
      </c>
      <c r="G1227">
        <v>999</v>
      </c>
      <c r="H1227">
        <v>0.1</v>
      </c>
      <c r="I1227" t="s">
        <v>32</v>
      </c>
      <c r="J1227" t="s">
        <v>51</v>
      </c>
      <c r="K1227" t="s">
        <v>17</v>
      </c>
      <c r="L1227">
        <f>F1226*G1226*(1-H1226)</f>
        <v>8998.2000000000007</v>
      </c>
    </row>
    <row r="1228" spans="1:12">
      <c r="A1228" t="s">
        <v>1882</v>
      </c>
      <c r="B1228" s="1">
        <v>46144</v>
      </c>
      <c r="C1228" t="s">
        <v>602</v>
      </c>
      <c r="D1228" t="s">
        <v>78</v>
      </c>
      <c r="E1228" t="s">
        <v>27</v>
      </c>
      <c r="F1228">
        <v>2</v>
      </c>
      <c r="G1228">
        <v>599</v>
      </c>
      <c r="H1228">
        <v>0</v>
      </c>
      <c r="I1228" t="s">
        <v>15</v>
      </c>
      <c r="J1228" t="s">
        <v>51</v>
      </c>
      <c r="K1228" t="s">
        <v>37</v>
      </c>
      <c r="L1228">
        <f>F1227*G1227*(1-H1227)</f>
        <v>899.1</v>
      </c>
    </row>
    <row r="1229" spans="1:12">
      <c r="A1229" t="s">
        <v>1883</v>
      </c>
      <c r="B1229" s="1">
        <v>46040</v>
      </c>
      <c r="C1229" t="s">
        <v>458</v>
      </c>
      <c r="D1229" t="s">
        <v>56</v>
      </c>
      <c r="E1229" t="s">
        <v>21</v>
      </c>
      <c r="F1229">
        <v>5</v>
      </c>
      <c r="G1229">
        <v>4999</v>
      </c>
      <c r="H1229">
        <v>0.15</v>
      </c>
      <c r="I1229" t="s">
        <v>50</v>
      </c>
      <c r="J1229" t="s">
        <v>22</v>
      </c>
      <c r="K1229" t="s">
        <v>17</v>
      </c>
      <c r="L1229">
        <f>F1228*G1228*(1-H1228)</f>
        <v>1198</v>
      </c>
    </row>
    <row r="1230" spans="1:12">
      <c r="A1230" t="s">
        <v>1884</v>
      </c>
      <c r="B1230" s="1">
        <v>46136</v>
      </c>
      <c r="C1230" t="s">
        <v>948</v>
      </c>
      <c r="D1230" t="s">
        <v>26</v>
      </c>
      <c r="E1230" t="s">
        <v>27</v>
      </c>
      <c r="F1230">
        <v>2</v>
      </c>
      <c r="G1230">
        <v>1299</v>
      </c>
      <c r="H1230">
        <v>0</v>
      </c>
      <c r="I1230" t="s">
        <v>44</v>
      </c>
      <c r="J1230" t="s">
        <v>22</v>
      </c>
      <c r="K1230" t="s">
        <v>37</v>
      </c>
      <c r="L1230">
        <f>F1229*G1229*(1-H1229)</f>
        <v>21245.75</v>
      </c>
    </row>
    <row r="1231" spans="1:12">
      <c r="A1231" t="s">
        <v>1885</v>
      </c>
      <c r="B1231" s="1">
        <v>46163</v>
      </c>
      <c r="C1231" t="s">
        <v>1077</v>
      </c>
      <c r="D1231" t="s">
        <v>31</v>
      </c>
      <c r="E1231" t="s">
        <v>27</v>
      </c>
      <c r="F1231">
        <v>3</v>
      </c>
      <c r="G1231">
        <v>7999</v>
      </c>
      <c r="H1231">
        <v>0</v>
      </c>
      <c r="I1231" t="s">
        <v>47</v>
      </c>
      <c r="J1231" t="s">
        <v>16</v>
      </c>
      <c r="K1231" t="s">
        <v>17</v>
      </c>
      <c r="L1231">
        <f>F1230*G1230*(1-H1230)</f>
        <v>2598</v>
      </c>
    </row>
    <row r="1232" spans="1:12">
      <c r="A1232" t="s">
        <v>1886</v>
      </c>
      <c r="B1232" s="1">
        <v>46052</v>
      </c>
      <c r="C1232" t="s">
        <v>1887</v>
      </c>
      <c r="D1232" t="s">
        <v>56</v>
      </c>
      <c r="E1232" t="s">
        <v>40</v>
      </c>
      <c r="F1232">
        <v>5</v>
      </c>
      <c r="G1232">
        <v>2499</v>
      </c>
      <c r="H1232">
        <v>0.05</v>
      </c>
      <c r="I1232" t="s">
        <v>32</v>
      </c>
      <c r="J1232" t="s">
        <v>28</v>
      </c>
      <c r="K1232" t="s">
        <v>17</v>
      </c>
      <c r="L1232">
        <f>F1231*G1231*(1-H1231)</f>
        <v>23997</v>
      </c>
    </row>
    <row r="1233" spans="1:12">
      <c r="A1233" t="s">
        <v>1888</v>
      </c>
      <c r="B1233" s="1">
        <v>46234</v>
      </c>
      <c r="C1233" t="s">
        <v>1889</v>
      </c>
      <c r="D1233" t="s">
        <v>20</v>
      </c>
      <c r="E1233" t="s">
        <v>35</v>
      </c>
      <c r="F1233">
        <v>4</v>
      </c>
      <c r="G1233">
        <v>2499</v>
      </c>
      <c r="H1233">
        <v>0</v>
      </c>
      <c r="I1233" t="s">
        <v>15</v>
      </c>
      <c r="J1233" t="s">
        <v>28</v>
      </c>
      <c r="K1233" t="s">
        <v>37</v>
      </c>
      <c r="L1233">
        <f>F1232*G1232*(1-H1232)</f>
        <v>11870.25</v>
      </c>
    </row>
    <row r="1234" spans="1:12">
      <c r="A1234" t="s">
        <v>1890</v>
      </c>
      <c r="B1234" s="1">
        <v>46247</v>
      </c>
      <c r="C1234" t="s">
        <v>1040</v>
      </c>
      <c r="D1234" t="s">
        <v>26</v>
      </c>
      <c r="E1234" t="s">
        <v>35</v>
      </c>
      <c r="F1234">
        <v>1</v>
      </c>
      <c r="G1234">
        <v>4999</v>
      </c>
      <c r="H1234">
        <v>0</v>
      </c>
      <c r="I1234" t="s">
        <v>50</v>
      </c>
      <c r="J1234" t="s">
        <v>22</v>
      </c>
      <c r="K1234" t="s">
        <v>17</v>
      </c>
      <c r="L1234">
        <f>F1233*G1233*(1-H1233)</f>
        <v>9996</v>
      </c>
    </row>
    <row r="1235" spans="1:12">
      <c r="A1235" t="s">
        <v>1891</v>
      </c>
      <c r="B1235" s="1">
        <v>46154</v>
      </c>
      <c r="C1235" t="s">
        <v>1768</v>
      </c>
      <c r="D1235" t="s">
        <v>43</v>
      </c>
      <c r="E1235" t="s">
        <v>35</v>
      </c>
      <c r="F1235">
        <v>1</v>
      </c>
      <c r="G1235">
        <v>1999</v>
      </c>
      <c r="H1235">
        <v>0.15</v>
      </c>
      <c r="I1235" t="s">
        <v>32</v>
      </c>
      <c r="J1235" t="s">
        <v>16</v>
      </c>
      <c r="K1235" t="s">
        <v>17</v>
      </c>
      <c r="L1235">
        <f>F1234*G1234*(1-H1234)</f>
        <v>4999</v>
      </c>
    </row>
    <row r="1236" spans="1:12">
      <c r="A1236" t="s">
        <v>1892</v>
      </c>
      <c r="B1236" s="1">
        <v>46031</v>
      </c>
      <c r="C1236" t="s">
        <v>217</v>
      </c>
      <c r="D1236" t="s">
        <v>13</v>
      </c>
      <c r="E1236" t="s">
        <v>35</v>
      </c>
      <c r="F1236">
        <v>2</v>
      </c>
      <c r="G1236">
        <v>4999</v>
      </c>
      <c r="H1236">
        <v>0.15</v>
      </c>
      <c r="I1236" t="s">
        <v>15</v>
      </c>
      <c r="J1236" t="s">
        <v>51</v>
      </c>
      <c r="K1236" t="s">
        <v>17</v>
      </c>
      <c r="L1236">
        <f>F1235*G1235*(1-H1235)</f>
        <v>1699.1499999999999</v>
      </c>
    </row>
    <row r="1237" spans="1:12">
      <c r="A1237" t="s">
        <v>1893</v>
      </c>
      <c r="B1237" s="1">
        <v>46238</v>
      </c>
      <c r="C1237" t="s">
        <v>401</v>
      </c>
      <c r="D1237" t="s">
        <v>71</v>
      </c>
      <c r="E1237" t="s">
        <v>40</v>
      </c>
      <c r="F1237">
        <v>2</v>
      </c>
      <c r="G1237">
        <v>1299</v>
      </c>
      <c r="H1237">
        <v>0.1</v>
      </c>
      <c r="I1237" t="s">
        <v>32</v>
      </c>
      <c r="J1237" t="s">
        <v>28</v>
      </c>
      <c r="K1237" t="s">
        <v>17</v>
      </c>
      <c r="L1237">
        <f>F1236*G1236*(1-H1236)</f>
        <v>8498.2999999999993</v>
      </c>
    </row>
    <row r="1238" spans="1:12">
      <c r="A1238" t="s">
        <v>1894</v>
      </c>
      <c r="B1238" s="1">
        <v>46062</v>
      </c>
      <c r="C1238" t="s">
        <v>1895</v>
      </c>
      <c r="D1238" t="s">
        <v>78</v>
      </c>
      <c r="E1238" t="s">
        <v>21</v>
      </c>
      <c r="F1238">
        <v>1</v>
      </c>
      <c r="G1238">
        <v>599</v>
      </c>
      <c r="H1238">
        <v>0.1</v>
      </c>
      <c r="I1238" t="s">
        <v>47</v>
      </c>
      <c r="J1238" t="s">
        <v>28</v>
      </c>
      <c r="K1238" t="s">
        <v>37</v>
      </c>
      <c r="L1238">
        <f>F1237*G1237*(1-H1237)</f>
        <v>2338.2000000000003</v>
      </c>
    </row>
    <row r="1239" spans="1:12">
      <c r="A1239" t="s">
        <v>1896</v>
      </c>
      <c r="B1239" s="1">
        <v>46027</v>
      </c>
      <c r="C1239" t="s">
        <v>725</v>
      </c>
      <c r="D1239" t="s">
        <v>31</v>
      </c>
      <c r="E1239" t="s">
        <v>14</v>
      </c>
      <c r="F1239">
        <v>4</v>
      </c>
      <c r="G1239">
        <v>2499</v>
      </c>
      <c r="H1239">
        <v>0.1</v>
      </c>
      <c r="I1239" t="s">
        <v>32</v>
      </c>
      <c r="J1239" t="s">
        <v>22</v>
      </c>
      <c r="K1239" t="s">
        <v>23</v>
      </c>
      <c r="L1239">
        <f>F1238*G1238*(1-H1238)</f>
        <v>539.1</v>
      </c>
    </row>
    <row r="1240" spans="1:12">
      <c r="A1240" t="s">
        <v>1897</v>
      </c>
      <c r="B1240" s="1">
        <v>46272</v>
      </c>
      <c r="C1240" t="s">
        <v>1898</v>
      </c>
      <c r="D1240" t="s">
        <v>26</v>
      </c>
      <c r="E1240" t="s">
        <v>40</v>
      </c>
      <c r="F1240">
        <v>2</v>
      </c>
      <c r="G1240">
        <v>1299</v>
      </c>
      <c r="H1240">
        <v>0.05</v>
      </c>
      <c r="I1240" t="s">
        <v>32</v>
      </c>
      <c r="J1240" t="s">
        <v>22</v>
      </c>
      <c r="K1240" t="s">
        <v>23</v>
      </c>
      <c r="L1240">
        <f>F1239*G1239*(1-H1239)</f>
        <v>8996.4</v>
      </c>
    </row>
    <row r="1241" spans="1:12">
      <c r="A1241" t="s">
        <v>1899</v>
      </c>
      <c r="B1241" s="1">
        <v>46130</v>
      </c>
      <c r="C1241" t="s">
        <v>608</v>
      </c>
      <c r="D1241" t="s">
        <v>43</v>
      </c>
      <c r="E1241" t="s">
        <v>21</v>
      </c>
      <c r="F1241">
        <v>3</v>
      </c>
      <c r="G1241">
        <v>1499</v>
      </c>
      <c r="H1241">
        <v>0.05</v>
      </c>
      <c r="I1241" t="s">
        <v>50</v>
      </c>
      <c r="J1241" t="s">
        <v>51</v>
      </c>
      <c r="K1241" t="s">
        <v>17</v>
      </c>
      <c r="L1241">
        <f>F1240*G1240*(1-H1240)</f>
        <v>2468.1</v>
      </c>
    </row>
    <row r="1242" spans="1:12">
      <c r="A1242" t="s">
        <v>1900</v>
      </c>
      <c r="B1242" s="1">
        <v>46267</v>
      </c>
      <c r="C1242" t="s">
        <v>353</v>
      </c>
      <c r="D1242" t="s">
        <v>31</v>
      </c>
      <c r="E1242" t="s">
        <v>35</v>
      </c>
      <c r="F1242">
        <v>5</v>
      </c>
      <c r="G1242">
        <v>499</v>
      </c>
      <c r="H1242">
        <v>0</v>
      </c>
      <c r="I1242" t="s">
        <v>15</v>
      </c>
      <c r="J1242" t="s">
        <v>51</v>
      </c>
      <c r="K1242" t="s">
        <v>17</v>
      </c>
      <c r="L1242">
        <f>F1241*G1241*(1-H1241)</f>
        <v>4272.1499999999996</v>
      </c>
    </row>
    <row r="1243" spans="1:12">
      <c r="A1243" t="s">
        <v>1901</v>
      </c>
      <c r="B1243" s="1">
        <v>46248</v>
      </c>
      <c r="C1243" t="s">
        <v>1384</v>
      </c>
      <c r="D1243" t="s">
        <v>56</v>
      </c>
      <c r="E1243" t="s">
        <v>21</v>
      </c>
      <c r="F1243">
        <v>5</v>
      </c>
      <c r="G1243">
        <v>1499</v>
      </c>
      <c r="H1243">
        <v>0.05</v>
      </c>
      <c r="I1243" t="s">
        <v>47</v>
      </c>
      <c r="J1243" t="s">
        <v>36</v>
      </c>
      <c r="K1243" t="s">
        <v>37</v>
      </c>
      <c r="L1243">
        <f>F1242*G1242*(1-H1242)</f>
        <v>2495</v>
      </c>
    </row>
    <row r="1244" spans="1:12">
      <c r="A1244" t="s">
        <v>1902</v>
      </c>
      <c r="B1244" s="1">
        <v>46109</v>
      </c>
      <c r="C1244" t="s">
        <v>1903</v>
      </c>
      <c r="D1244" t="s">
        <v>31</v>
      </c>
      <c r="E1244" t="s">
        <v>40</v>
      </c>
      <c r="F1244">
        <v>1</v>
      </c>
      <c r="G1244">
        <v>1499</v>
      </c>
      <c r="H1244">
        <v>0.15</v>
      </c>
      <c r="I1244" t="s">
        <v>50</v>
      </c>
      <c r="J1244" t="s">
        <v>36</v>
      </c>
      <c r="K1244" t="s">
        <v>17</v>
      </c>
      <c r="L1244">
        <f>F1243*G1243*(1-H1243)</f>
        <v>7120.25</v>
      </c>
    </row>
    <row r="1245" spans="1:12">
      <c r="A1245" t="s">
        <v>1904</v>
      </c>
      <c r="B1245" s="1">
        <v>46038</v>
      </c>
      <c r="C1245" t="s">
        <v>1040</v>
      </c>
      <c r="D1245" t="s">
        <v>71</v>
      </c>
      <c r="E1245" t="s">
        <v>27</v>
      </c>
      <c r="F1245">
        <v>1</v>
      </c>
      <c r="G1245">
        <v>599</v>
      </c>
      <c r="H1245">
        <v>0</v>
      </c>
      <c r="I1245" t="s">
        <v>47</v>
      </c>
      <c r="J1245" t="s">
        <v>22</v>
      </c>
      <c r="K1245" t="s">
        <v>17</v>
      </c>
      <c r="L1245">
        <f>F1244*G1244*(1-H1244)</f>
        <v>1274.1499999999999</v>
      </c>
    </row>
    <row r="1246" spans="1:12">
      <c r="A1246" t="s">
        <v>1905</v>
      </c>
      <c r="B1246" s="1">
        <v>46103</v>
      </c>
      <c r="C1246" t="s">
        <v>380</v>
      </c>
      <c r="D1246" t="s">
        <v>71</v>
      </c>
      <c r="E1246" t="s">
        <v>27</v>
      </c>
      <c r="F1246">
        <v>5</v>
      </c>
      <c r="G1246">
        <v>599</v>
      </c>
      <c r="H1246">
        <v>0</v>
      </c>
      <c r="I1246" t="s">
        <v>47</v>
      </c>
      <c r="J1246" t="s">
        <v>28</v>
      </c>
      <c r="K1246" t="s">
        <v>17</v>
      </c>
      <c r="L1246">
        <f>F1245*G1245*(1-H1245)</f>
        <v>599</v>
      </c>
    </row>
    <row r="1247" spans="1:12">
      <c r="A1247" t="s">
        <v>1906</v>
      </c>
      <c r="B1247" s="1">
        <v>46150</v>
      </c>
      <c r="C1247" t="s">
        <v>164</v>
      </c>
      <c r="D1247" t="s">
        <v>56</v>
      </c>
      <c r="E1247" t="s">
        <v>27</v>
      </c>
      <c r="F1247">
        <v>4</v>
      </c>
      <c r="G1247">
        <v>599</v>
      </c>
      <c r="H1247">
        <v>0</v>
      </c>
      <c r="I1247" t="s">
        <v>15</v>
      </c>
      <c r="J1247" t="s">
        <v>16</v>
      </c>
      <c r="K1247" t="s">
        <v>23</v>
      </c>
      <c r="L1247">
        <f>F1246*G1246*(1-H1246)</f>
        <v>2995</v>
      </c>
    </row>
    <row r="1248" spans="1:12">
      <c r="A1248" t="s">
        <v>1907</v>
      </c>
      <c r="B1248" s="1">
        <v>46048</v>
      </c>
      <c r="C1248" t="s">
        <v>1357</v>
      </c>
      <c r="D1248" t="s">
        <v>78</v>
      </c>
      <c r="E1248" t="s">
        <v>21</v>
      </c>
      <c r="F1248">
        <v>2</v>
      </c>
      <c r="G1248">
        <v>1499</v>
      </c>
      <c r="H1248">
        <v>0</v>
      </c>
      <c r="I1248" t="s">
        <v>15</v>
      </c>
      <c r="J1248" t="s">
        <v>22</v>
      </c>
      <c r="K1248" t="s">
        <v>17</v>
      </c>
      <c r="L1248">
        <f>F1247*G1247*(1-H1247)</f>
        <v>2396</v>
      </c>
    </row>
    <row r="1249" spans="1:12">
      <c r="A1249" t="s">
        <v>1908</v>
      </c>
      <c r="B1249" s="1">
        <v>46072</v>
      </c>
      <c r="C1249" t="s">
        <v>1173</v>
      </c>
      <c r="D1249" t="s">
        <v>43</v>
      </c>
      <c r="E1249" t="s">
        <v>14</v>
      </c>
      <c r="F1249">
        <v>1</v>
      </c>
      <c r="G1249">
        <v>999</v>
      </c>
      <c r="H1249">
        <v>0</v>
      </c>
      <c r="I1249" t="s">
        <v>32</v>
      </c>
      <c r="J1249" t="s">
        <v>51</v>
      </c>
      <c r="K1249" t="s">
        <v>23</v>
      </c>
      <c r="L1249">
        <f>F1248*G1248*(1-H1248)</f>
        <v>2998</v>
      </c>
    </row>
    <row r="1250" spans="1:12">
      <c r="A1250" t="s">
        <v>1909</v>
      </c>
      <c r="B1250" s="1">
        <v>46266</v>
      </c>
      <c r="C1250" t="s">
        <v>434</v>
      </c>
      <c r="D1250" t="s">
        <v>43</v>
      </c>
      <c r="E1250" t="s">
        <v>27</v>
      </c>
      <c r="F1250">
        <v>1</v>
      </c>
      <c r="G1250">
        <v>799</v>
      </c>
      <c r="H1250">
        <v>0</v>
      </c>
      <c r="I1250" t="s">
        <v>15</v>
      </c>
      <c r="J1250" t="s">
        <v>51</v>
      </c>
      <c r="K1250" t="s">
        <v>17</v>
      </c>
      <c r="L1250">
        <f>F1249*G1249*(1-H1249)</f>
        <v>999</v>
      </c>
    </row>
    <row r="1251" spans="1:12">
      <c r="A1251" t="s">
        <v>1910</v>
      </c>
      <c r="B1251" s="1">
        <v>46286</v>
      </c>
      <c r="C1251" t="s">
        <v>1911</v>
      </c>
      <c r="D1251" t="s">
        <v>71</v>
      </c>
      <c r="E1251" t="s">
        <v>35</v>
      </c>
      <c r="F1251">
        <v>2</v>
      </c>
      <c r="G1251">
        <v>1299</v>
      </c>
      <c r="H1251">
        <v>0.15</v>
      </c>
      <c r="I1251" t="s">
        <v>50</v>
      </c>
      <c r="J1251" t="s">
        <v>16</v>
      </c>
      <c r="K1251" t="s">
        <v>17</v>
      </c>
      <c r="L1251">
        <f>F1250*G1250*(1-H1250)</f>
        <v>799</v>
      </c>
    </row>
    <row r="1252" spans="1:12">
      <c r="A1252" t="s">
        <v>1912</v>
      </c>
      <c r="B1252" s="1">
        <v>46135</v>
      </c>
      <c r="C1252" t="s">
        <v>90</v>
      </c>
      <c r="D1252" t="s">
        <v>59</v>
      </c>
      <c r="E1252" t="s">
        <v>27</v>
      </c>
      <c r="F1252">
        <v>4</v>
      </c>
      <c r="G1252">
        <v>2499</v>
      </c>
      <c r="H1252">
        <v>0</v>
      </c>
      <c r="I1252" t="s">
        <v>47</v>
      </c>
      <c r="J1252" t="s">
        <v>16</v>
      </c>
      <c r="K1252" t="s">
        <v>37</v>
      </c>
      <c r="L1252">
        <f>F1251*G1251*(1-H1251)</f>
        <v>2208.2999999999997</v>
      </c>
    </row>
    <row r="1253" spans="1:12">
      <c r="A1253" t="s">
        <v>1913</v>
      </c>
      <c r="B1253" s="1">
        <v>46073</v>
      </c>
      <c r="C1253" t="s">
        <v>207</v>
      </c>
      <c r="D1253" t="s">
        <v>26</v>
      </c>
      <c r="E1253" t="s">
        <v>27</v>
      </c>
      <c r="F1253">
        <v>4</v>
      </c>
      <c r="G1253">
        <v>999</v>
      </c>
      <c r="H1253">
        <v>0.1</v>
      </c>
      <c r="I1253" t="s">
        <v>32</v>
      </c>
      <c r="J1253" t="s">
        <v>22</v>
      </c>
      <c r="K1253" t="s">
        <v>17</v>
      </c>
      <c r="L1253">
        <f>F1252*G1252*(1-H1252)</f>
        <v>9996</v>
      </c>
    </row>
    <row r="1254" spans="1:12">
      <c r="A1254" t="s">
        <v>1914</v>
      </c>
      <c r="B1254" s="1">
        <v>46293</v>
      </c>
      <c r="C1254" t="s">
        <v>956</v>
      </c>
      <c r="D1254" t="s">
        <v>31</v>
      </c>
      <c r="E1254" t="s">
        <v>21</v>
      </c>
      <c r="F1254">
        <v>1</v>
      </c>
      <c r="G1254">
        <v>1499</v>
      </c>
      <c r="H1254">
        <v>0</v>
      </c>
      <c r="I1254" t="s">
        <v>15</v>
      </c>
      <c r="J1254" t="s">
        <v>22</v>
      </c>
      <c r="K1254" t="s">
        <v>23</v>
      </c>
      <c r="L1254">
        <f>F1253*G1253*(1-H1253)</f>
        <v>3596.4</v>
      </c>
    </row>
    <row r="1255" spans="1:12">
      <c r="A1255" t="s">
        <v>1915</v>
      </c>
      <c r="B1255" s="1">
        <v>46088</v>
      </c>
      <c r="C1255" t="s">
        <v>1916</v>
      </c>
      <c r="D1255" t="s">
        <v>78</v>
      </c>
      <c r="E1255" t="s">
        <v>35</v>
      </c>
      <c r="F1255">
        <v>3</v>
      </c>
      <c r="G1255">
        <v>2499</v>
      </c>
      <c r="H1255">
        <v>0</v>
      </c>
      <c r="I1255" t="s">
        <v>32</v>
      </c>
      <c r="J1255" t="s">
        <v>16</v>
      </c>
      <c r="K1255" t="s">
        <v>17</v>
      </c>
      <c r="L1255">
        <f>F1254*G1254*(1-H1254)</f>
        <v>1499</v>
      </c>
    </row>
    <row r="1256" spans="1:12">
      <c r="A1256" t="s">
        <v>1917</v>
      </c>
      <c r="B1256" s="1">
        <v>46075</v>
      </c>
      <c r="C1256" t="s">
        <v>1563</v>
      </c>
      <c r="D1256" t="s">
        <v>78</v>
      </c>
      <c r="E1256" t="s">
        <v>35</v>
      </c>
      <c r="F1256">
        <v>4</v>
      </c>
      <c r="G1256">
        <v>1999</v>
      </c>
      <c r="H1256">
        <v>0.15</v>
      </c>
      <c r="I1256" t="s">
        <v>15</v>
      </c>
      <c r="J1256" t="s">
        <v>36</v>
      </c>
      <c r="K1256" t="s">
        <v>37</v>
      </c>
      <c r="L1256">
        <f>F1255*G1255*(1-H1255)</f>
        <v>7497</v>
      </c>
    </row>
    <row r="1257" spans="1:12">
      <c r="A1257" t="s">
        <v>1918</v>
      </c>
      <c r="B1257" s="1">
        <v>46179</v>
      </c>
      <c r="C1257" t="s">
        <v>963</v>
      </c>
      <c r="D1257" t="s">
        <v>62</v>
      </c>
      <c r="E1257" t="s">
        <v>21</v>
      </c>
      <c r="F1257">
        <v>4</v>
      </c>
      <c r="G1257">
        <v>999</v>
      </c>
      <c r="H1257">
        <v>0.05</v>
      </c>
      <c r="I1257" t="s">
        <v>44</v>
      </c>
      <c r="J1257" t="s">
        <v>22</v>
      </c>
      <c r="K1257" t="s">
        <v>17</v>
      </c>
      <c r="L1257">
        <f>F1256*G1256*(1-H1256)</f>
        <v>6796.5999999999995</v>
      </c>
    </row>
    <row r="1258" spans="1:12">
      <c r="A1258" t="s">
        <v>1919</v>
      </c>
      <c r="B1258" s="1">
        <v>46226</v>
      </c>
      <c r="C1258" t="s">
        <v>73</v>
      </c>
      <c r="D1258" t="s">
        <v>31</v>
      </c>
      <c r="E1258" t="s">
        <v>35</v>
      </c>
      <c r="F1258">
        <v>1</v>
      </c>
      <c r="G1258">
        <v>1999</v>
      </c>
      <c r="H1258">
        <v>0.05</v>
      </c>
      <c r="I1258" t="s">
        <v>44</v>
      </c>
      <c r="J1258" t="s">
        <v>28</v>
      </c>
      <c r="K1258" t="s">
        <v>17</v>
      </c>
      <c r="L1258">
        <f>F1257*G1257*(1-H1257)</f>
        <v>3796.2</v>
      </c>
    </row>
    <row r="1259" spans="1:12">
      <c r="A1259" t="s">
        <v>1920</v>
      </c>
      <c r="B1259" s="1">
        <v>46044</v>
      </c>
      <c r="C1259" t="s">
        <v>1004</v>
      </c>
      <c r="D1259" t="s">
        <v>56</v>
      </c>
      <c r="E1259" t="s">
        <v>40</v>
      </c>
      <c r="F1259">
        <v>2</v>
      </c>
      <c r="G1259">
        <v>4999</v>
      </c>
      <c r="H1259">
        <v>0.05</v>
      </c>
      <c r="I1259" t="s">
        <v>50</v>
      </c>
      <c r="J1259" t="s">
        <v>51</v>
      </c>
      <c r="K1259" t="s">
        <v>17</v>
      </c>
      <c r="L1259">
        <f>F1258*G1258*(1-H1258)</f>
        <v>1899.05</v>
      </c>
    </row>
    <row r="1260" spans="1:12">
      <c r="A1260" t="s">
        <v>1921</v>
      </c>
      <c r="B1260" s="1">
        <v>46110</v>
      </c>
      <c r="C1260" t="s">
        <v>285</v>
      </c>
      <c r="D1260" t="s">
        <v>71</v>
      </c>
      <c r="E1260" t="s">
        <v>40</v>
      </c>
      <c r="F1260">
        <v>5</v>
      </c>
      <c r="G1260">
        <v>7999</v>
      </c>
      <c r="H1260">
        <v>0.15</v>
      </c>
      <c r="I1260" t="s">
        <v>50</v>
      </c>
      <c r="J1260" t="s">
        <v>51</v>
      </c>
      <c r="K1260" t="s">
        <v>37</v>
      </c>
      <c r="L1260">
        <f>F1259*G1259*(1-H1259)</f>
        <v>9498.1</v>
      </c>
    </row>
    <row r="1261" spans="1:12">
      <c r="A1261" t="s">
        <v>1922</v>
      </c>
      <c r="B1261" s="1">
        <v>46235</v>
      </c>
      <c r="C1261" t="s">
        <v>1923</v>
      </c>
      <c r="D1261" t="s">
        <v>56</v>
      </c>
      <c r="E1261" t="s">
        <v>27</v>
      </c>
      <c r="F1261">
        <v>5</v>
      </c>
      <c r="G1261">
        <v>999</v>
      </c>
      <c r="H1261">
        <v>0</v>
      </c>
      <c r="I1261" t="s">
        <v>50</v>
      </c>
      <c r="J1261" t="s">
        <v>16</v>
      </c>
      <c r="K1261" t="s">
        <v>23</v>
      </c>
      <c r="L1261">
        <f>F1260*G1260*(1-H1260)</f>
        <v>33995.75</v>
      </c>
    </row>
    <row r="1262" spans="1:12">
      <c r="A1262" t="s">
        <v>1924</v>
      </c>
      <c r="B1262" s="1">
        <v>46281</v>
      </c>
      <c r="C1262" t="s">
        <v>300</v>
      </c>
      <c r="D1262" t="s">
        <v>26</v>
      </c>
      <c r="E1262" t="s">
        <v>14</v>
      </c>
      <c r="F1262">
        <v>4</v>
      </c>
      <c r="G1262">
        <v>1299</v>
      </c>
      <c r="H1262">
        <v>0.1</v>
      </c>
      <c r="I1262" t="s">
        <v>32</v>
      </c>
      <c r="J1262" t="s">
        <v>22</v>
      </c>
      <c r="K1262" t="s">
        <v>17</v>
      </c>
      <c r="L1262">
        <f>F1261*G1261*(1-H1261)</f>
        <v>4995</v>
      </c>
    </row>
    <row r="1263" spans="1:12">
      <c r="A1263" t="s">
        <v>1925</v>
      </c>
      <c r="B1263" s="1">
        <v>46139</v>
      </c>
      <c r="C1263" t="s">
        <v>243</v>
      </c>
      <c r="D1263" t="s">
        <v>13</v>
      </c>
      <c r="E1263" t="s">
        <v>21</v>
      </c>
      <c r="F1263">
        <v>3</v>
      </c>
      <c r="G1263">
        <v>599</v>
      </c>
      <c r="H1263">
        <v>0.15</v>
      </c>
      <c r="I1263" t="s">
        <v>44</v>
      </c>
      <c r="J1263" t="s">
        <v>22</v>
      </c>
      <c r="K1263" t="s">
        <v>17</v>
      </c>
      <c r="L1263">
        <f>F1262*G1262*(1-H1262)</f>
        <v>4676.4000000000005</v>
      </c>
    </row>
    <row r="1264" spans="1:12">
      <c r="A1264" t="s">
        <v>1926</v>
      </c>
      <c r="B1264" s="1">
        <v>46196</v>
      </c>
      <c r="C1264" t="s">
        <v>1795</v>
      </c>
      <c r="D1264" t="s">
        <v>56</v>
      </c>
      <c r="E1264" t="s">
        <v>27</v>
      </c>
      <c r="F1264">
        <v>2</v>
      </c>
      <c r="G1264">
        <v>499</v>
      </c>
      <c r="H1264">
        <v>0</v>
      </c>
      <c r="I1264" t="s">
        <v>44</v>
      </c>
      <c r="J1264" t="s">
        <v>51</v>
      </c>
      <c r="K1264" t="s">
        <v>17</v>
      </c>
      <c r="L1264">
        <f>F1263*G1263*(1-H1263)</f>
        <v>1527.45</v>
      </c>
    </row>
    <row r="1265" spans="1:12">
      <c r="A1265" t="s">
        <v>1927</v>
      </c>
      <c r="B1265" s="1">
        <v>46078</v>
      </c>
      <c r="C1265" t="s">
        <v>257</v>
      </c>
      <c r="D1265" t="s">
        <v>59</v>
      </c>
      <c r="E1265" t="s">
        <v>14</v>
      </c>
      <c r="F1265">
        <v>3</v>
      </c>
      <c r="G1265">
        <v>599</v>
      </c>
      <c r="H1265">
        <v>0.1</v>
      </c>
      <c r="I1265" t="s">
        <v>50</v>
      </c>
      <c r="J1265" t="s">
        <v>36</v>
      </c>
      <c r="K1265" t="s">
        <v>23</v>
      </c>
      <c r="L1265">
        <f>F1264*G1264*(1-H1264)</f>
        <v>998</v>
      </c>
    </row>
    <row r="1266" spans="1:12">
      <c r="A1266" t="s">
        <v>1928</v>
      </c>
      <c r="B1266" s="1">
        <v>46228</v>
      </c>
      <c r="C1266" t="s">
        <v>1632</v>
      </c>
      <c r="D1266" t="s">
        <v>71</v>
      </c>
      <c r="E1266" t="s">
        <v>14</v>
      </c>
      <c r="F1266">
        <v>5</v>
      </c>
      <c r="G1266">
        <v>799</v>
      </c>
      <c r="H1266">
        <v>0</v>
      </c>
      <c r="I1266" t="s">
        <v>47</v>
      </c>
      <c r="J1266" t="s">
        <v>28</v>
      </c>
      <c r="K1266" t="s">
        <v>17</v>
      </c>
      <c r="L1266">
        <f>F1265*G1265*(1-H1265)</f>
        <v>1617.3</v>
      </c>
    </row>
    <row r="1267" spans="1:12">
      <c r="A1267" t="s">
        <v>1929</v>
      </c>
      <c r="B1267" s="1">
        <v>46280</v>
      </c>
      <c r="C1267" t="s">
        <v>148</v>
      </c>
      <c r="D1267" t="s">
        <v>59</v>
      </c>
      <c r="E1267" t="s">
        <v>40</v>
      </c>
      <c r="F1267">
        <v>5</v>
      </c>
      <c r="G1267">
        <v>2499</v>
      </c>
      <c r="H1267">
        <v>0.05</v>
      </c>
      <c r="I1267" t="s">
        <v>44</v>
      </c>
      <c r="J1267" t="s">
        <v>36</v>
      </c>
      <c r="K1267" t="s">
        <v>17</v>
      </c>
      <c r="L1267">
        <f>F1266*G1266*(1-H1266)</f>
        <v>3995</v>
      </c>
    </row>
    <row r="1268" spans="1:12">
      <c r="A1268" t="s">
        <v>1930</v>
      </c>
      <c r="B1268" s="1">
        <v>46219</v>
      </c>
      <c r="C1268" t="s">
        <v>439</v>
      </c>
      <c r="D1268" t="s">
        <v>71</v>
      </c>
      <c r="E1268" t="s">
        <v>40</v>
      </c>
      <c r="F1268">
        <v>4</v>
      </c>
      <c r="G1268">
        <v>4999</v>
      </c>
      <c r="H1268">
        <v>0.05</v>
      </c>
      <c r="I1268" t="s">
        <v>47</v>
      </c>
      <c r="J1268" t="s">
        <v>36</v>
      </c>
      <c r="K1268" t="s">
        <v>17</v>
      </c>
      <c r="L1268">
        <f>F1267*G1267*(1-H1267)</f>
        <v>11870.25</v>
      </c>
    </row>
    <row r="1269" spans="1:12">
      <c r="A1269" t="s">
        <v>1931</v>
      </c>
      <c r="B1269" s="1">
        <v>46262</v>
      </c>
      <c r="C1269" t="s">
        <v>75</v>
      </c>
      <c r="D1269" t="s">
        <v>31</v>
      </c>
      <c r="E1269" t="s">
        <v>14</v>
      </c>
      <c r="F1269">
        <v>5</v>
      </c>
      <c r="G1269">
        <v>4999</v>
      </c>
      <c r="H1269">
        <v>0</v>
      </c>
      <c r="I1269" t="s">
        <v>32</v>
      </c>
      <c r="J1269" t="s">
        <v>28</v>
      </c>
      <c r="K1269" t="s">
        <v>17</v>
      </c>
      <c r="L1269">
        <f>F1268*G1268*(1-H1268)</f>
        <v>18996.2</v>
      </c>
    </row>
    <row r="1270" spans="1:12">
      <c r="A1270" t="s">
        <v>1932</v>
      </c>
      <c r="B1270" s="1">
        <v>46153</v>
      </c>
      <c r="C1270" t="s">
        <v>1250</v>
      </c>
      <c r="D1270" t="s">
        <v>71</v>
      </c>
      <c r="E1270" t="s">
        <v>21</v>
      </c>
      <c r="F1270">
        <v>2</v>
      </c>
      <c r="G1270">
        <v>4999</v>
      </c>
      <c r="H1270">
        <v>0</v>
      </c>
      <c r="I1270" t="s">
        <v>47</v>
      </c>
      <c r="J1270" t="s">
        <v>51</v>
      </c>
      <c r="K1270" t="s">
        <v>23</v>
      </c>
      <c r="L1270">
        <f>F1269*G1269*(1-H1269)</f>
        <v>24995</v>
      </c>
    </row>
    <row r="1271" spans="1:12">
      <c r="A1271" t="s">
        <v>1933</v>
      </c>
      <c r="B1271" s="1">
        <v>46119</v>
      </c>
      <c r="C1271" t="s">
        <v>1934</v>
      </c>
      <c r="D1271" t="s">
        <v>26</v>
      </c>
      <c r="E1271" t="s">
        <v>27</v>
      </c>
      <c r="F1271">
        <v>1</v>
      </c>
      <c r="G1271">
        <v>499</v>
      </c>
      <c r="H1271">
        <v>0.1</v>
      </c>
      <c r="I1271" t="s">
        <v>47</v>
      </c>
      <c r="J1271" t="s">
        <v>16</v>
      </c>
      <c r="K1271" t="s">
        <v>17</v>
      </c>
      <c r="L1271">
        <f>F1270*G1270*(1-H1270)</f>
        <v>9998</v>
      </c>
    </row>
    <row r="1272" spans="1:12">
      <c r="A1272" t="s">
        <v>1935</v>
      </c>
      <c r="B1272" s="1">
        <v>46073</v>
      </c>
      <c r="C1272" t="s">
        <v>1211</v>
      </c>
      <c r="D1272" t="s">
        <v>62</v>
      </c>
      <c r="E1272" t="s">
        <v>40</v>
      </c>
      <c r="F1272">
        <v>3</v>
      </c>
      <c r="G1272">
        <v>999</v>
      </c>
      <c r="H1272">
        <v>0</v>
      </c>
      <c r="I1272" t="s">
        <v>15</v>
      </c>
      <c r="J1272" t="s">
        <v>28</v>
      </c>
      <c r="K1272" t="s">
        <v>17</v>
      </c>
      <c r="L1272">
        <f>F1271*G1271*(1-H1271)</f>
        <v>449.1</v>
      </c>
    </row>
    <row r="1273" spans="1:12">
      <c r="A1273" t="s">
        <v>1936</v>
      </c>
      <c r="B1273" s="1">
        <v>46069</v>
      </c>
      <c r="C1273" t="s">
        <v>1937</v>
      </c>
      <c r="D1273" t="s">
        <v>62</v>
      </c>
      <c r="E1273" t="s">
        <v>40</v>
      </c>
      <c r="F1273">
        <v>5</v>
      </c>
      <c r="G1273">
        <v>1499</v>
      </c>
      <c r="H1273">
        <v>0.1</v>
      </c>
      <c r="I1273" t="s">
        <v>50</v>
      </c>
      <c r="J1273" t="s">
        <v>51</v>
      </c>
      <c r="K1273" t="s">
        <v>37</v>
      </c>
      <c r="L1273">
        <f>F1272*G1272*(1-H1272)</f>
        <v>2997</v>
      </c>
    </row>
    <row r="1274" spans="1:12">
      <c r="A1274" t="s">
        <v>1938</v>
      </c>
      <c r="B1274" s="1">
        <v>46082</v>
      </c>
      <c r="C1274" t="s">
        <v>1384</v>
      </c>
      <c r="D1274" t="s">
        <v>31</v>
      </c>
      <c r="E1274" t="s">
        <v>40</v>
      </c>
      <c r="F1274">
        <v>5</v>
      </c>
      <c r="G1274">
        <v>499</v>
      </c>
      <c r="H1274">
        <v>0.05</v>
      </c>
      <c r="I1274" t="s">
        <v>44</v>
      </c>
      <c r="J1274" t="s">
        <v>51</v>
      </c>
      <c r="K1274" t="s">
        <v>17</v>
      </c>
      <c r="L1274">
        <f>F1273*G1273*(1-H1273)</f>
        <v>6745.5</v>
      </c>
    </row>
    <row r="1275" spans="1:12">
      <c r="A1275" t="s">
        <v>1939</v>
      </c>
      <c r="B1275" s="1">
        <v>46260</v>
      </c>
      <c r="C1275" t="s">
        <v>304</v>
      </c>
      <c r="D1275" t="s">
        <v>13</v>
      </c>
      <c r="E1275" t="s">
        <v>27</v>
      </c>
      <c r="F1275">
        <v>1</v>
      </c>
      <c r="G1275">
        <v>599</v>
      </c>
      <c r="H1275">
        <v>0.15</v>
      </c>
      <c r="I1275" t="s">
        <v>44</v>
      </c>
      <c r="J1275" t="s">
        <v>36</v>
      </c>
      <c r="K1275" t="s">
        <v>37</v>
      </c>
      <c r="L1275">
        <f>F1274*G1274*(1-H1274)</f>
        <v>2370.25</v>
      </c>
    </row>
    <row r="1276" spans="1:12">
      <c r="A1276" t="s">
        <v>1940</v>
      </c>
      <c r="B1276" s="1">
        <v>46159</v>
      </c>
      <c r="C1276" t="s">
        <v>1601</v>
      </c>
      <c r="D1276" t="s">
        <v>62</v>
      </c>
      <c r="E1276" t="s">
        <v>40</v>
      </c>
      <c r="F1276">
        <v>2</v>
      </c>
      <c r="G1276">
        <v>999</v>
      </c>
      <c r="H1276">
        <v>0.05</v>
      </c>
      <c r="I1276" t="s">
        <v>15</v>
      </c>
      <c r="J1276" t="s">
        <v>51</v>
      </c>
      <c r="K1276" t="s">
        <v>23</v>
      </c>
      <c r="L1276">
        <f>F1275*G1275*(1-H1275)</f>
        <v>509.15</v>
      </c>
    </row>
    <row r="1277" spans="1:12">
      <c r="A1277" t="s">
        <v>1941</v>
      </c>
      <c r="B1277" s="1">
        <v>46236</v>
      </c>
      <c r="C1277" t="s">
        <v>1523</v>
      </c>
      <c r="D1277" t="s">
        <v>26</v>
      </c>
      <c r="E1277" t="s">
        <v>27</v>
      </c>
      <c r="F1277">
        <v>5</v>
      </c>
      <c r="G1277">
        <v>799</v>
      </c>
      <c r="H1277">
        <v>0.1</v>
      </c>
      <c r="I1277" t="s">
        <v>32</v>
      </c>
      <c r="J1277" t="s">
        <v>28</v>
      </c>
      <c r="K1277" t="s">
        <v>17</v>
      </c>
      <c r="L1277">
        <f>F1276*G1276*(1-H1276)</f>
        <v>1898.1</v>
      </c>
    </row>
    <row r="1278" spans="1:12">
      <c r="A1278" t="s">
        <v>1942</v>
      </c>
      <c r="B1278" s="1">
        <v>46029</v>
      </c>
      <c r="C1278" t="s">
        <v>454</v>
      </c>
      <c r="D1278" t="s">
        <v>43</v>
      </c>
      <c r="E1278" t="s">
        <v>27</v>
      </c>
      <c r="F1278">
        <v>1</v>
      </c>
      <c r="G1278">
        <v>2499</v>
      </c>
      <c r="H1278">
        <v>0.05</v>
      </c>
      <c r="I1278" t="s">
        <v>50</v>
      </c>
      <c r="J1278" t="s">
        <v>22</v>
      </c>
      <c r="K1278" t="s">
        <v>17</v>
      </c>
      <c r="L1278">
        <f>F1277*G1277*(1-H1277)</f>
        <v>3595.5</v>
      </c>
    </row>
    <row r="1279" spans="1:12">
      <c r="A1279" t="s">
        <v>1943</v>
      </c>
      <c r="B1279" s="1">
        <v>46066</v>
      </c>
      <c r="C1279" t="s">
        <v>1146</v>
      </c>
      <c r="D1279" t="s">
        <v>78</v>
      </c>
      <c r="E1279" t="s">
        <v>35</v>
      </c>
      <c r="F1279">
        <v>4</v>
      </c>
      <c r="G1279">
        <v>999</v>
      </c>
      <c r="H1279">
        <v>0</v>
      </c>
      <c r="I1279" t="s">
        <v>32</v>
      </c>
      <c r="J1279" t="s">
        <v>51</v>
      </c>
      <c r="K1279" t="s">
        <v>17</v>
      </c>
      <c r="L1279">
        <f>F1278*G1278*(1-H1278)</f>
        <v>2374.0499999999997</v>
      </c>
    </row>
    <row r="1280" spans="1:12">
      <c r="A1280" t="s">
        <v>1944</v>
      </c>
      <c r="B1280" s="1">
        <v>46283</v>
      </c>
      <c r="C1280" t="s">
        <v>575</v>
      </c>
      <c r="D1280" t="s">
        <v>13</v>
      </c>
      <c r="E1280" t="s">
        <v>35</v>
      </c>
      <c r="F1280">
        <v>3</v>
      </c>
      <c r="G1280">
        <v>2499</v>
      </c>
      <c r="H1280">
        <v>0.05</v>
      </c>
      <c r="I1280" t="s">
        <v>32</v>
      </c>
      <c r="J1280" t="s">
        <v>28</v>
      </c>
      <c r="K1280" t="s">
        <v>17</v>
      </c>
      <c r="L1280">
        <f>F1279*G1279*(1-H1279)</f>
        <v>3996</v>
      </c>
    </row>
    <row r="1281" spans="1:12">
      <c r="A1281" t="s">
        <v>1945</v>
      </c>
      <c r="B1281" s="1">
        <v>46152</v>
      </c>
      <c r="C1281" t="s">
        <v>938</v>
      </c>
      <c r="D1281" t="s">
        <v>71</v>
      </c>
      <c r="E1281" t="s">
        <v>35</v>
      </c>
      <c r="F1281">
        <v>1</v>
      </c>
      <c r="G1281">
        <v>1999</v>
      </c>
      <c r="H1281">
        <v>0</v>
      </c>
      <c r="I1281" t="s">
        <v>32</v>
      </c>
      <c r="J1281" t="s">
        <v>36</v>
      </c>
      <c r="K1281" t="s">
        <v>37</v>
      </c>
      <c r="L1281">
        <f>F1280*G1280*(1-H1280)</f>
        <v>7122.15</v>
      </c>
    </row>
    <row r="1282" spans="1:12">
      <c r="A1282" t="s">
        <v>1946</v>
      </c>
      <c r="B1282" s="1">
        <v>46070</v>
      </c>
      <c r="C1282" t="s">
        <v>874</v>
      </c>
      <c r="D1282" t="s">
        <v>78</v>
      </c>
      <c r="E1282" t="s">
        <v>40</v>
      </c>
      <c r="F1282">
        <v>4</v>
      </c>
      <c r="G1282">
        <v>4999</v>
      </c>
      <c r="H1282">
        <v>0</v>
      </c>
      <c r="I1282" t="s">
        <v>50</v>
      </c>
      <c r="J1282" t="s">
        <v>22</v>
      </c>
      <c r="K1282" t="s">
        <v>23</v>
      </c>
      <c r="L1282">
        <f>F1281*G1281*(1-H1281)</f>
        <v>1999</v>
      </c>
    </row>
    <row r="1283" spans="1:12">
      <c r="A1283" t="s">
        <v>1947</v>
      </c>
      <c r="B1283" s="1">
        <v>46158</v>
      </c>
      <c r="C1283" t="s">
        <v>1291</v>
      </c>
      <c r="D1283" t="s">
        <v>59</v>
      </c>
      <c r="E1283" t="s">
        <v>35</v>
      </c>
      <c r="F1283">
        <v>5</v>
      </c>
      <c r="G1283">
        <v>1299</v>
      </c>
      <c r="H1283">
        <v>0</v>
      </c>
      <c r="I1283" t="s">
        <v>47</v>
      </c>
      <c r="J1283" t="s">
        <v>16</v>
      </c>
      <c r="K1283" t="s">
        <v>17</v>
      </c>
      <c r="L1283">
        <f>F1282*G1282*(1-H1282)</f>
        <v>19996</v>
      </c>
    </row>
    <row r="1284" spans="1:12">
      <c r="A1284" t="s">
        <v>1948</v>
      </c>
      <c r="B1284" s="1">
        <v>46258</v>
      </c>
      <c r="C1284" t="s">
        <v>213</v>
      </c>
      <c r="D1284" t="s">
        <v>78</v>
      </c>
      <c r="E1284" t="s">
        <v>27</v>
      </c>
      <c r="F1284">
        <v>3</v>
      </c>
      <c r="G1284">
        <v>1499</v>
      </c>
      <c r="H1284">
        <v>0</v>
      </c>
      <c r="I1284" t="s">
        <v>15</v>
      </c>
      <c r="J1284" t="s">
        <v>16</v>
      </c>
      <c r="K1284" t="s">
        <v>17</v>
      </c>
      <c r="L1284">
        <f>F1283*G1283*(1-H1283)</f>
        <v>6495</v>
      </c>
    </row>
    <row r="1285" spans="1:12">
      <c r="A1285" t="s">
        <v>1949</v>
      </c>
      <c r="B1285" s="1">
        <v>46267</v>
      </c>
      <c r="C1285" t="s">
        <v>667</v>
      </c>
      <c r="D1285" t="s">
        <v>20</v>
      </c>
      <c r="E1285" t="s">
        <v>35</v>
      </c>
      <c r="F1285">
        <v>2</v>
      </c>
      <c r="G1285">
        <v>4999</v>
      </c>
      <c r="H1285">
        <v>0</v>
      </c>
      <c r="I1285" t="s">
        <v>32</v>
      </c>
      <c r="J1285" t="s">
        <v>28</v>
      </c>
      <c r="K1285" t="s">
        <v>37</v>
      </c>
      <c r="L1285">
        <f>F1284*G1284*(1-H1284)</f>
        <v>4497</v>
      </c>
    </row>
    <row r="1286" spans="1:12">
      <c r="A1286" t="s">
        <v>1950</v>
      </c>
      <c r="B1286" s="1">
        <v>46262</v>
      </c>
      <c r="C1286" t="s">
        <v>1951</v>
      </c>
      <c r="D1286" t="s">
        <v>26</v>
      </c>
      <c r="E1286" t="s">
        <v>40</v>
      </c>
      <c r="F1286">
        <v>1</v>
      </c>
      <c r="G1286">
        <v>4999</v>
      </c>
      <c r="H1286">
        <v>0</v>
      </c>
      <c r="I1286" t="s">
        <v>32</v>
      </c>
      <c r="J1286" t="s">
        <v>28</v>
      </c>
      <c r="K1286" t="s">
        <v>17</v>
      </c>
      <c r="L1286">
        <f>F1285*G1285*(1-H1285)</f>
        <v>9998</v>
      </c>
    </row>
    <row r="1287" spans="1:12">
      <c r="A1287" t="s">
        <v>1952</v>
      </c>
      <c r="B1287" s="1">
        <v>46065</v>
      </c>
      <c r="C1287" t="s">
        <v>1454</v>
      </c>
      <c r="D1287" t="s">
        <v>13</v>
      </c>
      <c r="E1287" t="s">
        <v>27</v>
      </c>
      <c r="F1287">
        <v>1</v>
      </c>
      <c r="G1287">
        <v>999</v>
      </c>
      <c r="H1287">
        <v>0</v>
      </c>
      <c r="I1287" t="s">
        <v>15</v>
      </c>
      <c r="J1287" t="s">
        <v>22</v>
      </c>
      <c r="K1287" t="s">
        <v>17</v>
      </c>
      <c r="L1287">
        <f>F1286*G1286*(1-H1286)</f>
        <v>4999</v>
      </c>
    </row>
    <row r="1288" spans="1:12">
      <c r="A1288" t="s">
        <v>1953</v>
      </c>
      <c r="B1288" s="1">
        <v>46063</v>
      </c>
      <c r="C1288" t="s">
        <v>1954</v>
      </c>
      <c r="D1288" t="s">
        <v>43</v>
      </c>
      <c r="E1288" t="s">
        <v>27</v>
      </c>
      <c r="F1288">
        <v>2</v>
      </c>
      <c r="G1288">
        <v>7999</v>
      </c>
      <c r="H1288">
        <v>0</v>
      </c>
      <c r="I1288" t="s">
        <v>50</v>
      </c>
      <c r="J1288" t="s">
        <v>16</v>
      </c>
      <c r="K1288" t="s">
        <v>17</v>
      </c>
      <c r="L1288">
        <f>F1287*G1287*(1-H1287)</f>
        <v>999</v>
      </c>
    </row>
    <row r="1289" spans="1:12">
      <c r="A1289" t="s">
        <v>1955</v>
      </c>
      <c r="B1289" s="1">
        <v>46093</v>
      </c>
      <c r="C1289" t="s">
        <v>1956</v>
      </c>
      <c r="D1289" t="s">
        <v>56</v>
      </c>
      <c r="E1289" t="s">
        <v>27</v>
      </c>
      <c r="F1289">
        <v>3</v>
      </c>
      <c r="G1289">
        <v>1299</v>
      </c>
      <c r="H1289">
        <v>0.15</v>
      </c>
      <c r="I1289" t="s">
        <v>50</v>
      </c>
      <c r="J1289" t="s">
        <v>28</v>
      </c>
      <c r="K1289" t="s">
        <v>17</v>
      </c>
      <c r="L1289">
        <f>F1288*G1288*(1-H1288)</f>
        <v>15998</v>
      </c>
    </row>
    <row r="1290" spans="1:12">
      <c r="A1290" t="s">
        <v>1957</v>
      </c>
      <c r="B1290" s="1">
        <v>46034</v>
      </c>
      <c r="C1290" t="s">
        <v>1958</v>
      </c>
      <c r="D1290" t="s">
        <v>13</v>
      </c>
      <c r="E1290" t="s">
        <v>14</v>
      </c>
      <c r="F1290">
        <v>4</v>
      </c>
      <c r="G1290">
        <v>1999</v>
      </c>
      <c r="H1290">
        <v>0.1</v>
      </c>
      <c r="I1290" t="s">
        <v>44</v>
      </c>
      <c r="J1290" t="s">
        <v>22</v>
      </c>
      <c r="K1290" t="s">
        <v>17</v>
      </c>
      <c r="L1290">
        <f>F1289*G1289*(1-H1289)</f>
        <v>3312.45</v>
      </c>
    </row>
    <row r="1291" spans="1:12">
      <c r="A1291" t="s">
        <v>1959</v>
      </c>
      <c r="B1291" s="1">
        <v>46226</v>
      </c>
      <c r="C1291" t="s">
        <v>1351</v>
      </c>
      <c r="D1291" t="s">
        <v>26</v>
      </c>
      <c r="E1291" t="s">
        <v>35</v>
      </c>
      <c r="F1291">
        <v>5</v>
      </c>
      <c r="G1291">
        <v>7999</v>
      </c>
      <c r="H1291">
        <v>0</v>
      </c>
      <c r="I1291" t="s">
        <v>47</v>
      </c>
      <c r="J1291" t="s">
        <v>51</v>
      </c>
      <c r="K1291" t="s">
        <v>37</v>
      </c>
      <c r="L1291">
        <f>F1290*G1290*(1-H1290)</f>
        <v>7196.4000000000005</v>
      </c>
    </row>
    <row r="1292" spans="1:12">
      <c r="A1292" t="s">
        <v>1960</v>
      </c>
      <c r="B1292" s="1">
        <v>46105</v>
      </c>
      <c r="C1292" t="s">
        <v>152</v>
      </c>
      <c r="D1292" t="s">
        <v>26</v>
      </c>
      <c r="E1292" t="s">
        <v>40</v>
      </c>
      <c r="F1292">
        <v>3</v>
      </c>
      <c r="G1292">
        <v>1999</v>
      </c>
      <c r="H1292">
        <v>0</v>
      </c>
      <c r="I1292" t="s">
        <v>47</v>
      </c>
      <c r="J1292" t="s">
        <v>16</v>
      </c>
      <c r="K1292" t="s">
        <v>17</v>
      </c>
      <c r="L1292">
        <f>F1291*G1291*(1-H1291)</f>
        <v>39995</v>
      </c>
    </row>
    <row r="1293" spans="1:12">
      <c r="A1293" t="s">
        <v>1961</v>
      </c>
      <c r="B1293" s="1">
        <v>46054</v>
      </c>
      <c r="C1293" t="s">
        <v>1768</v>
      </c>
      <c r="D1293" t="s">
        <v>59</v>
      </c>
      <c r="E1293" t="s">
        <v>40</v>
      </c>
      <c r="F1293">
        <v>5</v>
      </c>
      <c r="G1293">
        <v>999</v>
      </c>
      <c r="H1293">
        <v>0</v>
      </c>
      <c r="I1293" t="s">
        <v>44</v>
      </c>
      <c r="J1293" t="s">
        <v>22</v>
      </c>
      <c r="K1293" t="s">
        <v>17</v>
      </c>
      <c r="L1293">
        <f>F1292*G1292*(1-H1292)</f>
        <v>5997</v>
      </c>
    </row>
    <row r="1294" spans="1:12">
      <c r="A1294" t="s">
        <v>1962</v>
      </c>
      <c r="B1294" s="1">
        <v>46089</v>
      </c>
      <c r="C1294" t="s">
        <v>622</v>
      </c>
      <c r="D1294" t="s">
        <v>13</v>
      </c>
      <c r="E1294" t="s">
        <v>35</v>
      </c>
      <c r="F1294">
        <v>2</v>
      </c>
      <c r="G1294">
        <v>2499</v>
      </c>
      <c r="H1294">
        <v>0.15</v>
      </c>
      <c r="I1294" t="s">
        <v>44</v>
      </c>
      <c r="J1294" t="s">
        <v>28</v>
      </c>
      <c r="K1294" t="s">
        <v>17</v>
      </c>
      <c r="L1294">
        <f>F1293*G1293*(1-H1293)</f>
        <v>4995</v>
      </c>
    </row>
    <row r="1295" spans="1:12">
      <c r="A1295" t="s">
        <v>1963</v>
      </c>
      <c r="B1295" s="1">
        <v>46143</v>
      </c>
      <c r="C1295" t="s">
        <v>944</v>
      </c>
      <c r="D1295" t="s">
        <v>26</v>
      </c>
      <c r="E1295" t="s">
        <v>40</v>
      </c>
      <c r="F1295">
        <v>4</v>
      </c>
      <c r="G1295">
        <v>999</v>
      </c>
      <c r="H1295">
        <v>0</v>
      </c>
      <c r="I1295" t="s">
        <v>15</v>
      </c>
      <c r="J1295" t="s">
        <v>51</v>
      </c>
      <c r="K1295" t="s">
        <v>17</v>
      </c>
      <c r="L1295">
        <f>F1294*G1294*(1-H1294)</f>
        <v>4248.3</v>
      </c>
    </row>
    <row r="1296" spans="1:12">
      <c r="A1296" t="s">
        <v>1964</v>
      </c>
      <c r="B1296" s="1">
        <v>46138</v>
      </c>
      <c r="C1296" t="s">
        <v>536</v>
      </c>
      <c r="D1296" t="s">
        <v>31</v>
      </c>
      <c r="E1296" t="s">
        <v>35</v>
      </c>
      <c r="F1296">
        <v>4</v>
      </c>
      <c r="G1296">
        <v>7999</v>
      </c>
      <c r="H1296">
        <v>0.15</v>
      </c>
      <c r="I1296" t="s">
        <v>44</v>
      </c>
      <c r="J1296" t="s">
        <v>22</v>
      </c>
      <c r="K1296" t="s">
        <v>23</v>
      </c>
      <c r="L1296">
        <f>F1295*G1295*(1-H1295)</f>
        <v>3996</v>
      </c>
    </row>
    <row r="1297" spans="1:12">
      <c r="A1297" t="s">
        <v>1965</v>
      </c>
      <c r="B1297" s="1">
        <v>46164</v>
      </c>
      <c r="C1297" t="s">
        <v>805</v>
      </c>
      <c r="D1297" t="s">
        <v>71</v>
      </c>
      <c r="E1297" t="s">
        <v>14</v>
      </c>
      <c r="F1297">
        <v>5</v>
      </c>
      <c r="G1297">
        <v>599</v>
      </c>
      <c r="H1297">
        <v>0</v>
      </c>
      <c r="I1297" t="s">
        <v>15</v>
      </c>
      <c r="J1297" t="s">
        <v>16</v>
      </c>
      <c r="K1297" t="s">
        <v>23</v>
      </c>
      <c r="L1297">
        <f>F1296*G1296*(1-H1296)</f>
        <v>27196.6</v>
      </c>
    </row>
    <row r="1298" spans="1:12">
      <c r="A1298" t="s">
        <v>1966</v>
      </c>
      <c r="B1298" s="1">
        <v>46154</v>
      </c>
      <c r="C1298" t="s">
        <v>1845</v>
      </c>
      <c r="D1298" t="s">
        <v>20</v>
      </c>
      <c r="E1298" t="s">
        <v>40</v>
      </c>
      <c r="F1298">
        <v>1</v>
      </c>
      <c r="G1298">
        <v>999</v>
      </c>
      <c r="H1298">
        <v>0.1</v>
      </c>
      <c r="I1298" t="s">
        <v>32</v>
      </c>
      <c r="J1298" t="s">
        <v>16</v>
      </c>
      <c r="K1298" t="s">
        <v>17</v>
      </c>
      <c r="L1298">
        <f>F1297*G1297*(1-H1297)</f>
        <v>2995</v>
      </c>
    </row>
    <row r="1299" spans="1:12">
      <c r="A1299" t="s">
        <v>1967</v>
      </c>
      <c r="B1299" s="1">
        <v>46214</v>
      </c>
      <c r="C1299" t="s">
        <v>1968</v>
      </c>
      <c r="D1299" t="s">
        <v>71</v>
      </c>
      <c r="E1299" t="s">
        <v>40</v>
      </c>
      <c r="F1299">
        <v>3</v>
      </c>
      <c r="G1299">
        <v>2499</v>
      </c>
      <c r="H1299">
        <v>0.15</v>
      </c>
      <c r="I1299" t="s">
        <v>15</v>
      </c>
      <c r="J1299" t="s">
        <v>36</v>
      </c>
      <c r="K1299" t="s">
        <v>23</v>
      </c>
      <c r="L1299">
        <f>F1298*G1298*(1-H1298)</f>
        <v>899.1</v>
      </c>
    </row>
    <row r="1300" spans="1:12">
      <c r="A1300" t="s">
        <v>1969</v>
      </c>
      <c r="B1300" s="1">
        <v>46114</v>
      </c>
      <c r="C1300" t="s">
        <v>144</v>
      </c>
      <c r="D1300" t="s">
        <v>59</v>
      </c>
      <c r="E1300" t="s">
        <v>14</v>
      </c>
      <c r="F1300">
        <v>5</v>
      </c>
      <c r="G1300">
        <v>1499</v>
      </c>
      <c r="H1300">
        <v>0.1</v>
      </c>
      <c r="I1300" t="s">
        <v>50</v>
      </c>
      <c r="J1300" t="s">
        <v>16</v>
      </c>
      <c r="K1300" t="s">
        <v>17</v>
      </c>
      <c r="L1300">
        <f>F1299*G1299*(1-H1299)</f>
        <v>6372.45</v>
      </c>
    </row>
    <row r="1301" spans="1:12">
      <c r="A1301" t="s">
        <v>1970</v>
      </c>
      <c r="B1301" s="1">
        <v>46124</v>
      </c>
      <c r="C1301" t="s">
        <v>843</v>
      </c>
      <c r="D1301" t="s">
        <v>31</v>
      </c>
      <c r="E1301" t="s">
        <v>40</v>
      </c>
      <c r="F1301">
        <v>5</v>
      </c>
      <c r="G1301">
        <v>7999</v>
      </c>
      <c r="H1301">
        <v>0</v>
      </c>
      <c r="I1301" t="s">
        <v>15</v>
      </c>
      <c r="J1301" t="s">
        <v>22</v>
      </c>
      <c r="K1301" t="s">
        <v>23</v>
      </c>
      <c r="L1301">
        <f>F1300*G1300*(1-H1300)</f>
        <v>6745.5</v>
      </c>
    </row>
    <row r="1302" spans="1:12">
      <c r="A1302" t="s">
        <v>1971</v>
      </c>
      <c r="B1302" s="1">
        <v>46033</v>
      </c>
      <c r="C1302" t="s">
        <v>320</v>
      </c>
      <c r="D1302" t="s">
        <v>62</v>
      </c>
      <c r="E1302" t="s">
        <v>35</v>
      </c>
      <c r="F1302">
        <v>1</v>
      </c>
      <c r="G1302">
        <v>1499</v>
      </c>
      <c r="H1302">
        <v>0.05</v>
      </c>
      <c r="I1302" t="s">
        <v>44</v>
      </c>
      <c r="J1302" t="s">
        <v>36</v>
      </c>
      <c r="K1302" t="s">
        <v>17</v>
      </c>
      <c r="L1302">
        <f>F1301*G1301*(1-H1301)</f>
        <v>39995</v>
      </c>
    </row>
    <row r="1303" spans="1:12">
      <c r="A1303" t="s">
        <v>1972</v>
      </c>
      <c r="B1303" s="1">
        <v>46160</v>
      </c>
      <c r="C1303" t="s">
        <v>1973</v>
      </c>
      <c r="D1303" t="s">
        <v>59</v>
      </c>
      <c r="E1303" t="s">
        <v>14</v>
      </c>
      <c r="F1303">
        <v>2</v>
      </c>
      <c r="G1303">
        <v>7999</v>
      </c>
      <c r="H1303">
        <v>0.1</v>
      </c>
      <c r="I1303" t="s">
        <v>32</v>
      </c>
      <c r="J1303" t="s">
        <v>28</v>
      </c>
      <c r="K1303" t="s">
        <v>23</v>
      </c>
      <c r="L1303">
        <f>F1302*G1302*(1-H1302)</f>
        <v>1424.05</v>
      </c>
    </row>
    <row r="1304" spans="1:12">
      <c r="A1304" t="s">
        <v>1974</v>
      </c>
      <c r="B1304" s="1">
        <v>46110</v>
      </c>
      <c r="C1304" t="s">
        <v>419</v>
      </c>
      <c r="D1304" t="s">
        <v>13</v>
      </c>
      <c r="E1304" t="s">
        <v>40</v>
      </c>
      <c r="F1304">
        <v>5</v>
      </c>
      <c r="G1304">
        <v>499</v>
      </c>
      <c r="H1304">
        <v>0</v>
      </c>
      <c r="I1304" t="s">
        <v>47</v>
      </c>
      <c r="J1304" t="s">
        <v>16</v>
      </c>
      <c r="K1304" t="s">
        <v>17</v>
      </c>
      <c r="L1304">
        <f>F1303*G1303*(1-H1303)</f>
        <v>14398.2</v>
      </c>
    </row>
    <row r="1305" spans="1:12">
      <c r="A1305" t="s">
        <v>1975</v>
      </c>
      <c r="B1305" s="1">
        <v>46076</v>
      </c>
      <c r="C1305" t="s">
        <v>1859</v>
      </c>
      <c r="D1305" t="s">
        <v>78</v>
      </c>
      <c r="E1305" t="s">
        <v>14</v>
      </c>
      <c r="F1305">
        <v>3</v>
      </c>
      <c r="G1305">
        <v>7999</v>
      </c>
      <c r="H1305">
        <v>0</v>
      </c>
      <c r="I1305" t="s">
        <v>50</v>
      </c>
      <c r="J1305" t="s">
        <v>28</v>
      </c>
      <c r="K1305" t="s">
        <v>37</v>
      </c>
      <c r="L1305">
        <f>F1304*G1304*(1-H1304)</f>
        <v>2495</v>
      </c>
    </row>
    <row r="1306" spans="1:12">
      <c r="A1306" t="s">
        <v>1976</v>
      </c>
      <c r="B1306" s="1">
        <v>46052</v>
      </c>
      <c r="C1306" t="s">
        <v>1353</v>
      </c>
      <c r="D1306" t="s">
        <v>26</v>
      </c>
      <c r="E1306" t="s">
        <v>21</v>
      </c>
      <c r="F1306">
        <v>4</v>
      </c>
      <c r="G1306">
        <v>799</v>
      </c>
      <c r="H1306">
        <v>0</v>
      </c>
      <c r="I1306" t="s">
        <v>15</v>
      </c>
      <c r="J1306" t="s">
        <v>22</v>
      </c>
      <c r="K1306" t="s">
        <v>23</v>
      </c>
      <c r="L1306">
        <f>F1305*G1305*(1-H1305)</f>
        <v>23997</v>
      </c>
    </row>
    <row r="1307" spans="1:12">
      <c r="A1307" t="s">
        <v>1977</v>
      </c>
      <c r="B1307" s="1">
        <v>46170</v>
      </c>
      <c r="C1307" t="s">
        <v>792</v>
      </c>
      <c r="D1307" t="s">
        <v>56</v>
      </c>
      <c r="E1307" t="s">
        <v>27</v>
      </c>
      <c r="F1307">
        <v>3</v>
      </c>
      <c r="G1307">
        <v>7999</v>
      </c>
      <c r="H1307">
        <v>0.05</v>
      </c>
      <c r="I1307" t="s">
        <v>50</v>
      </c>
      <c r="J1307" t="s">
        <v>16</v>
      </c>
      <c r="K1307" t="s">
        <v>23</v>
      </c>
      <c r="L1307">
        <f>F1306*G1306*(1-H1306)</f>
        <v>3196</v>
      </c>
    </row>
    <row r="1308" spans="1:12">
      <c r="A1308" t="s">
        <v>1978</v>
      </c>
      <c r="B1308" s="1">
        <v>46214</v>
      </c>
      <c r="C1308" t="s">
        <v>699</v>
      </c>
      <c r="D1308" t="s">
        <v>43</v>
      </c>
      <c r="E1308" t="s">
        <v>14</v>
      </c>
      <c r="F1308">
        <v>1</v>
      </c>
      <c r="G1308">
        <v>1999</v>
      </c>
      <c r="H1308">
        <v>0.05</v>
      </c>
      <c r="I1308" t="s">
        <v>44</v>
      </c>
      <c r="J1308" t="s">
        <v>51</v>
      </c>
      <c r="K1308" t="s">
        <v>17</v>
      </c>
      <c r="L1308">
        <f>F1307*G1307*(1-H1307)</f>
        <v>22797.149999999998</v>
      </c>
    </row>
    <row r="1309" spans="1:12">
      <c r="A1309" t="s">
        <v>1979</v>
      </c>
      <c r="B1309" s="1">
        <v>46191</v>
      </c>
      <c r="C1309" t="s">
        <v>1495</v>
      </c>
      <c r="D1309" t="s">
        <v>56</v>
      </c>
      <c r="E1309" t="s">
        <v>21</v>
      </c>
      <c r="F1309">
        <v>4</v>
      </c>
      <c r="G1309">
        <v>1999</v>
      </c>
      <c r="H1309">
        <v>0</v>
      </c>
      <c r="I1309" t="s">
        <v>47</v>
      </c>
      <c r="J1309" t="s">
        <v>16</v>
      </c>
      <c r="K1309" t="s">
        <v>17</v>
      </c>
      <c r="L1309">
        <f>F1308*G1308*(1-H1308)</f>
        <v>1899.05</v>
      </c>
    </row>
    <row r="1310" spans="1:12">
      <c r="A1310" t="s">
        <v>1980</v>
      </c>
      <c r="B1310" s="1">
        <v>46114</v>
      </c>
      <c r="C1310" t="s">
        <v>1981</v>
      </c>
      <c r="D1310" t="s">
        <v>59</v>
      </c>
      <c r="E1310" t="s">
        <v>27</v>
      </c>
      <c r="F1310">
        <v>3</v>
      </c>
      <c r="G1310">
        <v>599</v>
      </c>
      <c r="H1310">
        <v>0.05</v>
      </c>
      <c r="I1310" t="s">
        <v>50</v>
      </c>
      <c r="J1310" t="s">
        <v>16</v>
      </c>
      <c r="K1310" t="s">
        <v>17</v>
      </c>
      <c r="L1310">
        <f>F1309*G1309*(1-H1309)</f>
        <v>7996</v>
      </c>
    </row>
    <row r="1311" spans="1:12">
      <c r="A1311" t="s">
        <v>1982</v>
      </c>
      <c r="B1311" s="1">
        <v>46289</v>
      </c>
      <c r="C1311" t="s">
        <v>1983</v>
      </c>
      <c r="D1311" t="s">
        <v>71</v>
      </c>
      <c r="E1311" t="s">
        <v>14</v>
      </c>
      <c r="F1311">
        <v>1</v>
      </c>
      <c r="G1311">
        <v>1499</v>
      </c>
      <c r="H1311">
        <v>0.05</v>
      </c>
      <c r="I1311" t="s">
        <v>15</v>
      </c>
      <c r="J1311" t="s">
        <v>36</v>
      </c>
      <c r="K1311" t="s">
        <v>23</v>
      </c>
      <c r="L1311">
        <f>F1310*G1310*(1-H1310)</f>
        <v>1707.1499999999999</v>
      </c>
    </row>
    <row r="1312" spans="1:12">
      <c r="A1312" t="s">
        <v>1984</v>
      </c>
      <c r="B1312" s="1">
        <v>46290</v>
      </c>
      <c r="C1312" t="s">
        <v>1652</v>
      </c>
      <c r="D1312" t="s">
        <v>31</v>
      </c>
      <c r="E1312" t="s">
        <v>27</v>
      </c>
      <c r="F1312">
        <v>2</v>
      </c>
      <c r="G1312">
        <v>499</v>
      </c>
      <c r="H1312">
        <v>0.15</v>
      </c>
      <c r="I1312" t="s">
        <v>44</v>
      </c>
      <c r="J1312" t="s">
        <v>36</v>
      </c>
      <c r="K1312" t="s">
        <v>17</v>
      </c>
      <c r="L1312">
        <f>F1311*G1311*(1-H1311)</f>
        <v>1424.05</v>
      </c>
    </row>
    <row r="1313" spans="1:12">
      <c r="A1313" t="s">
        <v>1985</v>
      </c>
      <c r="B1313" s="1">
        <v>46055</v>
      </c>
      <c r="C1313" t="s">
        <v>1821</v>
      </c>
      <c r="D1313" t="s">
        <v>56</v>
      </c>
      <c r="E1313" t="s">
        <v>40</v>
      </c>
      <c r="F1313">
        <v>3</v>
      </c>
      <c r="G1313">
        <v>999</v>
      </c>
      <c r="H1313">
        <v>0</v>
      </c>
      <c r="I1313" t="s">
        <v>50</v>
      </c>
      <c r="J1313" t="s">
        <v>16</v>
      </c>
      <c r="K1313" t="s">
        <v>23</v>
      </c>
      <c r="L1313">
        <f>F1312*G1312*(1-H1312)</f>
        <v>848.3</v>
      </c>
    </row>
    <row r="1314" spans="1:12">
      <c r="A1314" t="s">
        <v>1986</v>
      </c>
      <c r="B1314" s="1">
        <v>46048</v>
      </c>
      <c r="C1314" t="s">
        <v>316</v>
      </c>
      <c r="D1314" t="s">
        <v>56</v>
      </c>
      <c r="E1314" t="s">
        <v>40</v>
      </c>
      <c r="F1314">
        <v>3</v>
      </c>
      <c r="G1314">
        <v>1999</v>
      </c>
      <c r="H1314">
        <v>0</v>
      </c>
      <c r="I1314" t="s">
        <v>44</v>
      </c>
      <c r="J1314" t="s">
        <v>16</v>
      </c>
      <c r="K1314" t="s">
        <v>23</v>
      </c>
      <c r="L1314">
        <f>F1313*G1313*(1-H1313)</f>
        <v>2997</v>
      </c>
    </row>
    <row r="1315" spans="1:12">
      <c r="A1315" t="s">
        <v>1987</v>
      </c>
      <c r="B1315" s="1">
        <v>46070</v>
      </c>
      <c r="C1315" t="s">
        <v>567</v>
      </c>
      <c r="D1315" t="s">
        <v>26</v>
      </c>
      <c r="E1315" t="s">
        <v>35</v>
      </c>
      <c r="F1315">
        <v>4</v>
      </c>
      <c r="G1315">
        <v>499</v>
      </c>
      <c r="H1315">
        <v>0.1</v>
      </c>
      <c r="I1315" t="s">
        <v>50</v>
      </c>
      <c r="J1315" t="s">
        <v>36</v>
      </c>
      <c r="K1315" t="s">
        <v>17</v>
      </c>
      <c r="L1315">
        <f>F1314*G1314*(1-H1314)</f>
        <v>5997</v>
      </c>
    </row>
    <row r="1316" spans="1:12">
      <c r="A1316" t="s">
        <v>1988</v>
      </c>
      <c r="B1316" s="1">
        <v>46056</v>
      </c>
      <c r="C1316" t="s">
        <v>1372</v>
      </c>
      <c r="D1316" t="s">
        <v>62</v>
      </c>
      <c r="E1316" t="s">
        <v>35</v>
      </c>
      <c r="F1316">
        <v>1</v>
      </c>
      <c r="G1316">
        <v>1499</v>
      </c>
      <c r="H1316">
        <v>0.15</v>
      </c>
      <c r="I1316" t="s">
        <v>47</v>
      </c>
      <c r="J1316" t="s">
        <v>51</v>
      </c>
      <c r="K1316" t="s">
        <v>23</v>
      </c>
      <c r="L1316">
        <f>F1315*G1315*(1-H1315)</f>
        <v>1796.4</v>
      </c>
    </row>
    <row r="1317" spans="1:12">
      <c r="A1317" t="s">
        <v>1989</v>
      </c>
      <c r="B1317" s="1">
        <v>46072</v>
      </c>
      <c r="C1317" t="s">
        <v>1990</v>
      </c>
      <c r="D1317" t="s">
        <v>26</v>
      </c>
      <c r="E1317" t="s">
        <v>35</v>
      </c>
      <c r="F1317">
        <v>1</v>
      </c>
      <c r="G1317">
        <v>1499</v>
      </c>
      <c r="H1317">
        <v>0.15</v>
      </c>
      <c r="I1317" t="s">
        <v>47</v>
      </c>
      <c r="J1317" t="s">
        <v>51</v>
      </c>
      <c r="K1317" t="s">
        <v>37</v>
      </c>
      <c r="L1317">
        <f>F1316*G1316*(1-H1316)</f>
        <v>1274.1499999999999</v>
      </c>
    </row>
    <row r="1318" spans="1:12">
      <c r="A1318" t="s">
        <v>1991</v>
      </c>
      <c r="B1318" s="1">
        <v>46253</v>
      </c>
      <c r="C1318" t="s">
        <v>189</v>
      </c>
      <c r="D1318" t="s">
        <v>13</v>
      </c>
      <c r="E1318" t="s">
        <v>21</v>
      </c>
      <c r="F1318">
        <v>2</v>
      </c>
      <c r="G1318">
        <v>4999</v>
      </c>
      <c r="H1318">
        <v>0.15</v>
      </c>
      <c r="I1318" t="s">
        <v>47</v>
      </c>
      <c r="J1318" t="s">
        <v>16</v>
      </c>
      <c r="K1318" t="s">
        <v>17</v>
      </c>
      <c r="L1318">
        <f>F1317*G1317*(1-H1317)</f>
        <v>1274.1499999999999</v>
      </c>
    </row>
    <row r="1319" spans="1:12">
      <c r="A1319" t="s">
        <v>1992</v>
      </c>
      <c r="B1319" s="1">
        <v>46172</v>
      </c>
      <c r="C1319" t="s">
        <v>1993</v>
      </c>
      <c r="D1319" t="s">
        <v>43</v>
      </c>
      <c r="E1319" t="s">
        <v>27</v>
      </c>
      <c r="F1319">
        <v>3</v>
      </c>
      <c r="G1319">
        <v>2499</v>
      </c>
      <c r="H1319">
        <v>0.05</v>
      </c>
      <c r="I1319" t="s">
        <v>32</v>
      </c>
      <c r="J1319" t="s">
        <v>28</v>
      </c>
      <c r="K1319" t="s">
        <v>17</v>
      </c>
      <c r="L1319">
        <f>F1318*G1318*(1-H1318)</f>
        <v>8498.2999999999993</v>
      </c>
    </row>
    <row r="1320" spans="1:12">
      <c r="A1320" t="s">
        <v>1994</v>
      </c>
      <c r="B1320" s="1">
        <v>46185</v>
      </c>
      <c r="C1320" t="s">
        <v>117</v>
      </c>
      <c r="D1320" t="s">
        <v>71</v>
      </c>
      <c r="E1320" t="s">
        <v>35</v>
      </c>
      <c r="F1320">
        <v>1</v>
      </c>
      <c r="G1320">
        <v>2499</v>
      </c>
      <c r="H1320">
        <v>0</v>
      </c>
      <c r="I1320" t="s">
        <v>32</v>
      </c>
      <c r="J1320" t="s">
        <v>16</v>
      </c>
      <c r="K1320" t="s">
        <v>23</v>
      </c>
      <c r="L1320">
        <f>F1319*G1319*(1-H1319)</f>
        <v>7122.15</v>
      </c>
    </row>
    <row r="1321" spans="1:12">
      <c r="A1321" t="s">
        <v>1995</v>
      </c>
      <c r="B1321" s="1">
        <v>46109</v>
      </c>
      <c r="C1321" t="s">
        <v>519</v>
      </c>
      <c r="D1321" t="s">
        <v>78</v>
      </c>
      <c r="E1321" t="s">
        <v>21</v>
      </c>
      <c r="F1321">
        <v>1</v>
      </c>
      <c r="G1321">
        <v>4999</v>
      </c>
      <c r="H1321">
        <v>0</v>
      </c>
      <c r="I1321" t="s">
        <v>32</v>
      </c>
      <c r="J1321" t="s">
        <v>22</v>
      </c>
      <c r="K1321" t="s">
        <v>17</v>
      </c>
      <c r="L1321">
        <f>F1320*G1320*(1-H1320)</f>
        <v>2499</v>
      </c>
    </row>
    <row r="1322" spans="1:12">
      <c r="A1322" t="s">
        <v>1996</v>
      </c>
      <c r="B1322" s="1">
        <v>46285</v>
      </c>
      <c r="C1322" t="s">
        <v>594</v>
      </c>
      <c r="D1322" t="s">
        <v>26</v>
      </c>
      <c r="E1322" t="s">
        <v>40</v>
      </c>
      <c r="F1322">
        <v>2</v>
      </c>
      <c r="G1322">
        <v>1999</v>
      </c>
      <c r="H1322">
        <v>0.1</v>
      </c>
      <c r="I1322" t="s">
        <v>15</v>
      </c>
      <c r="J1322" t="s">
        <v>36</v>
      </c>
      <c r="K1322" t="s">
        <v>23</v>
      </c>
      <c r="L1322">
        <f>F1321*G1321*(1-H1321)</f>
        <v>4999</v>
      </c>
    </row>
    <row r="1323" spans="1:12">
      <c r="A1323" t="s">
        <v>1997</v>
      </c>
      <c r="B1323" s="1">
        <v>46185</v>
      </c>
      <c r="C1323" t="s">
        <v>1998</v>
      </c>
      <c r="D1323" t="s">
        <v>13</v>
      </c>
      <c r="E1323" t="s">
        <v>27</v>
      </c>
      <c r="F1323">
        <v>5</v>
      </c>
      <c r="G1323">
        <v>7999</v>
      </c>
      <c r="H1323">
        <v>0.1</v>
      </c>
      <c r="I1323" t="s">
        <v>32</v>
      </c>
      <c r="J1323" t="s">
        <v>22</v>
      </c>
      <c r="K1323" t="s">
        <v>23</v>
      </c>
      <c r="L1323">
        <f>F1322*G1322*(1-H1322)</f>
        <v>3598.2000000000003</v>
      </c>
    </row>
    <row r="1324" spans="1:12">
      <c r="A1324" t="s">
        <v>1999</v>
      </c>
      <c r="B1324" s="1">
        <v>46248</v>
      </c>
      <c r="C1324" t="s">
        <v>2000</v>
      </c>
      <c r="D1324" t="s">
        <v>78</v>
      </c>
      <c r="E1324" t="s">
        <v>14</v>
      </c>
      <c r="F1324">
        <v>2</v>
      </c>
      <c r="G1324">
        <v>799</v>
      </c>
      <c r="H1324">
        <v>0.05</v>
      </c>
      <c r="I1324" t="s">
        <v>32</v>
      </c>
      <c r="J1324" t="s">
        <v>22</v>
      </c>
      <c r="K1324" t="s">
        <v>17</v>
      </c>
      <c r="L1324">
        <f>F1323*G1323*(1-H1323)</f>
        <v>35995.5</v>
      </c>
    </row>
    <row r="1325" spans="1:12">
      <c r="A1325" t="s">
        <v>2001</v>
      </c>
      <c r="B1325" s="1">
        <v>46180</v>
      </c>
      <c r="C1325" t="s">
        <v>182</v>
      </c>
      <c r="D1325" t="s">
        <v>13</v>
      </c>
      <c r="E1325" t="s">
        <v>14</v>
      </c>
      <c r="F1325">
        <v>4</v>
      </c>
      <c r="G1325">
        <v>2499</v>
      </c>
      <c r="H1325">
        <v>0.1</v>
      </c>
      <c r="I1325" t="s">
        <v>50</v>
      </c>
      <c r="J1325" t="s">
        <v>28</v>
      </c>
      <c r="K1325" t="s">
        <v>23</v>
      </c>
      <c r="L1325">
        <f>F1324*G1324*(1-H1324)</f>
        <v>1518.1</v>
      </c>
    </row>
    <row r="1326" spans="1:12">
      <c r="A1326" t="s">
        <v>2002</v>
      </c>
      <c r="B1326" s="1">
        <v>46037</v>
      </c>
      <c r="C1326" t="s">
        <v>180</v>
      </c>
      <c r="D1326" t="s">
        <v>26</v>
      </c>
      <c r="E1326" t="s">
        <v>14</v>
      </c>
      <c r="F1326">
        <v>5</v>
      </c>
      <c r="G1326">
        <v>1999</v>
      </c>
      <c r="H1326">
        <v>0</v>
      </c>
      <c r="I1326" t="s">
        <v>50</v>
      </c>
      <c r="J1326" t="s">
        <v>51</v>
      </c>
      <c r="K1326" t="s">
        <v>17</v>
      </c>
      <c r="L1326">
        <f>F1325*G1325*(1-H1325)</f>
        <v>8996.4</v>
      </c>
    </row>
    <row r="1327" spans="1:12">
      <c r="A1327" t="s">
        <v>2003</v>
      </c>
      <c r="B1327" s="1">
        <v>46201</v>
      </c>
      <c r="C1327" t="s">
        <v>950</v>
      </c>
      <c r="D1327" t="s">
        <v>26</v>
      </c>
      <c r="E1327" t="s">
        <v>27</v>
      </c>
      <c r="F1327">
        <v>4</v>
      </c>
      <c r="G1327">
        <v>1999</v>
      </c>
      <c r="H1327">
        <v>0.05</v>
      </c>
      <c r="I1327" t="s">
        <v>44</v>
      </c>
      <c r="J1327" t="s">
        <v>28</v>
      </c>
      <c r="K1327" t="s">
        <v>37</v>
      </c>
      <c r="L1327">
        <f>F1326*G1326*(1-H1326)</f>
        <v>9995</v>
      </c>
    </row>
    <row r="1328" spans="1:12">
      <c r="A1328" t="s">
        <v>2004</v>
      </c>
      <c r="B1328" s="1">
        <v>46200</v>
      </c>
      <c r="C1328" t="s">
        <v>2005</v>
      </c>
      <c r="D1328" t="s">
        <v>43</v>
      </c>
      <c r="E1328" t="s">
        <v>14</v>
      </c>
      <c r="F1328">
        <v>5</v>
      </c>
      <c r="G1328">
        <v>1999</v>
      </c>
      <c r="H1328">
        <v>0</v>
      </c>
      <c r="I1328" t="s">
        <v>44</v>
      </c>
      <c r="J1328" t="s">
        <v>36</v>
      </c>
      <c r="K1328" t="s">
        <v>17</v>
      </c>
      <c r="L1328">
        <f>F1327*G1327*(1-H1327)</f>
        <v>7596.2</v>
      </c>
    </row>
    <row r="1329" spans="1:12">
      <c r="A1329" t="s">
        <v>2006</v>
      </c>
      <c r="B1329" s="1">
        <v>46048</v>
      </c>
      <c r="C1329" t="s">
        <v>403</v>
      </c>
      <c r="D1329" t="s">
        <v>62</v>
      </c>
      <c r="E1329" t="s">
        <v>21</v>
      </c>
      <c r="F1329">
        <v>3</v>
      </c>
      <c r="G1329">
        <v>499</v>
      </c>
      <c r="H1329">
        <v>0</v>
      </c>
      <c r="I1329" t="s">
        <v>44</v>
      </c>
      <c r="J1329" t="s">
        <v>28</v>
      </c>
      <c r="K1329" t="s">
        <v>37</v>
      </c>
      <c r="L1329">
        <f>F1328*G1328*(1-H1328)</f>
        <v>9995</v>
      </c>
    </row>
    <row r="1330" spans="1:12">
      <c r="A1330" t="s">
        <v>2007</v>
      </c>
      <c r="B1330" s="1">
        <v>46103</v>
      </c>
      <c r="C1330" t="s">
        <v>916</v>
      </c>
      <c r="D1330" t="s">
        <v>78</v>
      </c>
      <c r="E1330" t="s">
        <v>14</v>
      </c>
      <c r="F1330">
        <v>1</v>
      </c>
      <c r="G1330">
        <v>999</v>
      </c>
      <c r="H1330">
        <v>0</v>
      </c>
      <c r="I1330" t="s">
        <v>47</v>
      </c>
      <c r="J1330" t="s">
        <v>22</v>
      </c>
      <c r="K1330" t="s">
        <v>17</v>
      </c>
      <c r="L1330">
        <f>F1329*G1329*(1-H1329)</f>
        <v>1497</v>
      </c>
    </row>
    <row r="1331" spans="1:12">
      <c r="A1331" t="s">
        <v>2008</v>
      </c>
      <c r="B1331" s="1">
        <v>46060</v>
      </c>
      <c r="C1331" t="s">
        <v>963</v>
      </c>
      <c r="D1331" t="s">
        <v>43</v>
      </c>
      <c r="E1331" t="s">
        <v>40</v>
      </c>
      <c r="F1331">
        <v>4</v>
      </c>
      <c r="G1331">
        <v>7999</v>
      </c>
      <c r="H1331">
        <v>0</v>
      </c>
      <c r="I1331" t="s">
        <v>32</v>
      </c>
      <c r="J1331" t="s">
        <v>36</v>
      </c>
      <c r="K1331" t="s">
        <v>17</v>
      </c>
      <c r="L1331">
        <f>F1330*G1330*(1-H1330)</f>
        <v>999</v>
      </c>
    </row>
    <row r="1332" spans="1:12">
      <c r="A1332" t="s">
        <v>2009</v>
      </c>
      <c r="B1332" s="1">
        <v>46144</v>
      </c>
      <c r="C1332" t="s">
        <v>245</v>
      </c>
      <c r="D1332" t="s">
        <v>59</v>
      </c>
      <c r="E1332" t="s">
        <v>27</v>
      </c>
      <c r="F1332">
        <v>3</v>
      </c>
      <c r="G1332">
        <v>2499</v>
      </c>
      <c r="H1332">
        <v>0</v>
      </c>
      <c r="I1332" t="s">
        <v>44</v>
      </c>
      <c r="J1332" t="s">
        <v>51</v>
      </c>
      <c r="K1332" t="s">
        <v>23</v>
      </c>
      <c r="L1332">
        <f>F1331*G1331*(1-H1331)</f>
        <v>31996</v>
      </c>
    </row>
    <row r="1333" spans="1:12">
      <c r="A1333" t="s">
        <v>2010</v>
      </c>
      <c r="B1333" s="1">
        <v>46237</v>
      </c>
      <c r="C1333" t="s">
        <v>870</v>
      </c>
      <c r="D1333" t="s">
        <v>62</v>
      </c>
      <c r="E1333" t="s">
        <v>35</v>
      </c>
      <c r="F1333">
        <v>1</v>
      </c>
      <c r="G1333">
        <v>7999</v>
      </c>
      <c r="H1333">
        <v>0</v>
      </c>
      <c r="I1333" t="s">
        <v>44</v>
      </c>
      <c r="J1333" t="s">
        <v>28</v>
      </c>
      <c r="K1333" t="s">
        <v>17</v>
      </c>
      <c r="L1333">
        <f>F1332*G1332*(1-H1332)</f>
        <v>7497</v>
      </c>
    </row>
    <row r="1334" spans="1:12">
      <c r="A1334" t="s">
        <v>2011</v>
      </c>
      <c r="B1334" s="1">
        <v>46152</v>
      </c>
      <c r="C1334" t="s">
        <v>1227</v>
      </c>
      <c r="D1334" t="s">
        <v>59</v>
      </c>
      <c r="E1334" t="s">
        <v>40</v>
      </c>
      <c r="F1334">
        <v>2</v>
      </c>
      <c r="G1334">
        <v>499</v>
      </c>
      <c r="H1334">
        <v>0</v>
      </c>
      <c r="I1334" t="s">
        <v>15</v>
      </c>
      <c r="J1334" t="s">
        <v>36</v>
      </c>
      <c r="K1334" t="s">
        <v>17</v>
      </c>
      <c r="L1334">
        <f>F1333*G1333*(1-H1333)</f>
        <v>7999</v>
      </c>
    </row>
    <row r="1335" spans="1:12">
      <c r="A1335" t="s">
        <v>2012</v>
      </c>
      <c r="B1335" s="1">
        <v>46110</v>
      </c>
      <c r="C1335" t="s">
        <v>600</v>
      </c>
      <c r="D1335" t="s">
        <v>13</v>
      </c>
      <c r="E1335" t="s">
        <v>40</v>
      </c>
      <c r="F1335">
        <v>3</v>
      </c>
      <c r="G1335">
        <v>1499</v>
      </c>
      <c r="H1335">
        <v>0</v>
      </c>
      <c r="I1335" t="s">
        <v>47</v>
      </c>
      <c r="J1335" t="s">
        <v>51</v>
      </c>
      <c r="K1335" t="s">
        <v>17</v>
      </c>
      <c r="L1335">
        <f>F1334*G1334*(1-H1334)</f>
        <v>998</v>
      </c>
    </row>
    <row r="1336" spans="1:12">
      <c r="A1336" t="s">
        <v>2013</v>
      </c>
      <c r="B1336" s="1">
        <v>46257</v>
      </c>
      <c r="C1336" t="s">
        <v>1316</v>
      </c>
      <c r="D1336" t="s">
        <v>71</v>
      </c>
      <c r="E1336" t="s">
        <v>35</v>
      </c>
      <c r="F1336">
        <v>2</v>
      </c>
      <c r="G1336">
        <v>4999</v>
      </c>
      <c r="H1336">
        <v>0</v>
      </c>
      <c r="I1336" t="s">
        <v>47</v>
      </c>
      <c r="J1336" t="s">
        <v>51</v>
      </c>
      <c r="K1336" t="s">
        <v>17</v>
      </c>
      <c r="L1336">
        <f>F1335*G1335*(1-H1335)</f>
        <v>4497</v>
      </c>
    </row>
    <row r="1337" spans="1:12">
      <c r="A1337" t="s">
        <v>2014</v>
      </c>
      <c r="B1337" s="1">
        <v>46212</v>
      </c>
      <c r="C1337" t="s">
        <v>437</v>
      </c>
      <c r="D1337" t="s">
        <v>71</v>
      </c>
      <c r="E1337" t="s">
        <v>14</v>
      </c>
      <c r="F1337">
        <v>1</v>
      </c>
      <c r="G1337">
        <v>4999</v>
      </c>
      <c r="H1337">
        <v>0</v>
      </c>
      <c r="I1337" t="s">
        <v>32</v>
      </c>
      <c r="J1337" t="s">
        <v>36</v>
      </c>
      <c r="K1337" t="s">
        <v>23</v>
      </c>
      <c r="L1337">
        <f>F1336*G1336*(1-H1336)</f>
        <v>9998</v>
      </c>
    </row>
    <row r="1338" spans="1:12">
      <c r="A1338" t="s">
        <v>2015</v>
      </c>
      <c r="B1338" s="1">
        <v>46108</v>
      </c>
      <c r="C1338" t="s">
        <v>783</v>
      </c>
      <c r="D1338" t="s">
        <v>13</v>
      </c>
      <c r="E1338" t="s">
        <v>40</v>
      </c>
      <c r="F1338">
        <v>3</v>
      </c>
      <c r="G1338">
        <v>7999</v>
      </c>
      <c r="H1338">
        <v>0.05</v>
      </c>
      <c r="I1338" t="s">
        <v>47</v>
      </c>
      <c r="J1338" t="s">
        <v>22</v>
      </c>
      <c r="K1338" t="s">
        <v>17</v>
      </c>
      <c r="L1338">
        <f>F1337*G1337*(1-H1337)</f>
        <v>4999</v>
      </c>
    </row>
    <row r="1339" spans="1:12">
      <c r="A1339" t="s">
        <v>2016</v>
      </c>
      <c r="B1339" s="1">
        <v>46031</v>
      </c>
      <c r="C1339" t="s">
        <v>1563</v>
      </c>
      <c r="D1339" t="s">
        <v>78</v>
      </c>
      <c r="E1339" t="s">
        <v>40</v>
      </c>
      <c r="F1339">
        <v>2</v>
      </c>
      <c r="G1339">
        <v>4999</v>
      </c>
      <c r="H1339">
        <v>0</v>
      </c>
      <c r="I1339" t="s">
        <v>44</v>
      </c>
      <c r="J1339" t="s">
        <v>22</v>
      </c>
      <c r="K1339" t="s">
        <v>17</v>
      </c>
      <c r="L1339">
        <f>F1338*G1338*(1-H1338)</f>
        <v>22797.149999999998</v>
      </c>
    </row>
    <row r="1340" spans="1:12">
      <c r="A1340" t="s">
        <v>2017</v>
      </c>
      <c r="B1340" s="1">
        <v>46203</v>
      </c>
      <c r="C1340" t="s">
        <v>172</v>
      </c>
      <c r="D1340" t="s">
        <v>13</v>
      </c>
      <c r="E1340" t="s">
        <v>27</v>
      </c>
      <c r="F1340">
        <v>2</v>
      </c>
      <c r="G1340">
        <v>1299</v>
      </c>
      <c r="H1340">
        <v>0</v>
      </c>
      <c r="I1340" t="s">
        <v>50</v>
      </c>
      <c r="J1340" t="s">
        <v>16</v>
      </c>
      <c r="K1340" t="s">
        <v>17</v>
      </c>
      <c r="L1340">
        <f>F1339*G1339*(1-H1339)</f>
        <v>9998</v>
      </c>
    </row>
    <row r="1341" spans="1:12">
      <c r="A1341" t="s">
        <v>2018</v>
      </c>
      <c r="B1341" s="1">
        <v>46281</v>
      </c>
      <c r="C1341" t="s">
        <v>68</v>
      </c>
      <c r="D1341" t="s">
        <v>20</v>
      </c>
      <c r="E1341" t="s">
        <v>35</v>
      </c>
      <c r="F1341">
        <v>3</v>
      </c>
      <c r="G1341">
        <v>2499</v>
      </c>
      <c r="H1341">
        <v>0.05</v>
      </c>
      <c r="I1341" t="s">
        <v>50</v>
      </c>
      <c r="J1341" t="s">
        <v>51</v>
      </c>
      <c r="K1341" t="s">
        <v>17</v>
      </c>
      <c r="L1341">
        <f>F1340*G1340*(1-H1340)</f>
        <v>2598</v>
      </c>
    </row>
    <row r="1342" spans="1:12">
      <c r="A1342" t="s">
        <v>2019</v>
      </c>
      <c r="B1342" s="1">
        <v>46108</v>
      </c>
      <c r="C1342" t="s">
        <v>1432</v>
      </c>
      <c r="D1342" t="s">
        <v>26</v>
      </c>
      <c r="E1342" t="s">
        <v>35</v>
      </c>
      <c r="F1342">
        <v>5</v>
      </c>
      <c r="G1342">
        <v>1999</v>
      </c>
      <c r="H1342">
        <v>0</v>
      </c>
      <c r="I1342" t="s">
        <v>32</v>
      </c>
      <c r="J1342" t="s">
        <v>36</v>
      </c>
      <c r="K1342" t="s">
        <v>17</v>
      </c>
      <c r="L1342">
        <f>F1341*G1341*(1-H1341)</f>
        <v>7122.15</v>
      </c>
    </row>
    <row r="1343" spans="1:12">
      <c r="A1343" t="s">
        <v>2020</v>
      </c>
      <c r="B1343" s="1">
        <v>46271</v>
      </c>
      <c r="C1343" t="s">
        <v>886</v>
      </c>
      <c r="D1343" t="s">
        <v>59</v>
      </c>
      <c r="E1343" t="s">
        <v>27</v>
      </c>
      <c r="F1343">
        <v>1</v>
      </c>
      <c r="G1343">
        <v>499</v>
      </c>
      <c r="H1343">
        <v>0.1</v>
      </c>
      <c r="I1343" t="s">
        <v>32</v>
      </c>
      <c r="J1343" t="s">
        <v>51</v>
      </c>
      <c r="K1343" t="s">
        <v>17</v>
      </c>
      <c r="L1343">
        <f>F1342*G1342*(1-H1342)</f>
        <v>9995</v>
      </c>
    </row>
    <row r="1344" spans="1:12">
      <c r="A1344" t="s">
        <v>2021</v>
      </c>
      <c r="B1344" s="1">
        <v>46212</v>
      </c>
      <c r="C1344" t="s">
        <v>1797</v>
      </c>
      <c r="D1344" t="s">
        <v>26</v>
      </c>
      <c r="E1344" t="s">
        <v>35</v>
      </c>
      <c r="F1344">
        <v>2</v>
      </c>
      <c r="G1344">
        <v>999</v>
      </c>
      <c r="H1344">
        <v>0.15</v>
      </c>
      <c r="I1344" t="s">
        <v>47</v>
      </c>
      <c r="J1344" t="s">
        <v>22</v>
      </c>
      <c r="K1344" t="s">
        <v>17</v>
      </c>
      <c r="L1344">
        <f>F1343*G1343*(1-H1343)</f>
        <v>449.1</v>
      </c>
    </row>
    <row r="1345" spans="1:12">
      <c r="A1345" t="s">
        <v>2022</v>
      </c>
      <c r="B1345" s="1">
        <v>46033</v>
      </c>
      <c r="C1345" t="s">
        <v>2023</v>
      </c>
      <c r="D1345" t="s">
        <v>31</v>
      </c>
      <c r="E1345" t="s">
        <v>35</v>
      </c>
      <c r="F1345">
        <v>2</v>
      </c>
      <c r="G1345">
        <v>1499</v>
      </c>
      <c r="H1345">
        <v>0.15</v>
      </c>
      <c r="I1345" t="s">
        <v>32</v>
      </c>
      <c r="J1345" t="s">
        <v>16</v>
      </c>
      <c r="K1345" t="s">
        <v>17</v>
      </c>
      <c r="L1345">
        <f>F1344*G1344*(1-H1344)</f>
        <v>1698.3</v>
      </c>
    </row>
    <row r="1346" spans="1:12">
      <c r="A1346" t="s">
        <v>2024</v>
      </c>
      <c r="B1346" s="1">
        <v>46291</v>
      </c>
      <c r="C1346" t="s">
        <v>434</v>
      </c>
      <c r="D1346" t="s">
        <v>20</v>
      </c>
      <c r="E1346" t="s">
        <v>35</v>
      </c>
      <c r="F1346">
        <v>2</v>
      </c>
      <c r="G1346">
        <v>2499</v>
      </c>
      <c r="H1346">
        <v>0</v>
      </c>
      <c r="I1346" t="s">
        <v>44</v>
      </c>
      <c r="J1346" t="s">
        <v>28</v>
      </c>
      <c r="K1346" t="s">
        <v>17</v>
      </c>
      <c r="L1346">
        <f>F1345*G1345*(1-H1345)</f>
        <v>2548.2999999999997</v>
      </c>
    </row>
    <row r="1347" spans="1:12">
      <c r="A1347" t="s">
        <v>2025</v>
      </c>
      <c r="B1347" s="1">
        <v>46046</v>
      </c>
      <c r="C1347" t="s">
        <v>1280</v>
      </c>
      <c r="D1347" t="s">
        <v>31</v>
      </c>
      <c r="E1347" t="s">
        <v>21</v>
      </c>
      <c r="F1347">
        <v>1</v>
      </c>
      <c r="G1347">
        <v>499</v>
      </c>
      <c r="H1347">
        <v>0</v>
      </c>
      <c r="I1347" t="s">
        <v>44</v>
      </c>
      <c r="J1347" t="s">
        <v>16</v>
      </c>
      <c r="K1347" t="s">
        <v>37</v>
      </c>
      <c r="L1347">
        <f>F1346*G1346*(1-H1346)</f>
        <v>4998</v>
      </c>
    </row>
    <row r="1348" spans="1:12">
      <c r="A1348" t="s">
        <v>2026</v>
      </c>
      <c r="B1348" s="1">
        <v>46164</v>
      </c>
      <c r="C1348" t="s">
        <v>55</v>
      </c>
      <c r="D1348" t="s">
        <v>78</v>
      </c>
      <c r="E1348" t="s">
        <v>35</v>
      </c>
      <c r="F1348">
        <v>3</v>
      </c>
      <c r="G1348">
        <v>799</v>
      </c>
      <c r="H1348">
        <v>0.15</v>
      </c>
      <c r="I1348" t="s">
        <v>50</v>
      </c>
      <c r="J1348" t="s">
        <v>36</v>
      </c>
      <c r="K1348" t="s">
        <v>17</v>
      </c>
      <c r="L1348">
        <f>F1347*G1347*(1-H1347)</f>
        <v>499</v>
      </c>
    </row>
    <row r="1349" spans="1:12">
      <c r="A1349" t="s">
        <v>2027</v>
      </c>
      <c r="B1349" s="1">
        <v>46191</v>
      </c>
      <c r="C1349" t="s">
        <v>1601</v>
      </c>
      <c r="D1349" t="s">
        <v>13</v>
      </c>
      <c r="E1349" t="s">
        <v>14</v>
      </c>
      <c r="F1349">
        <v>4</v>
      </c>
      <c r="G1349">
        <v>799</v>
      </c>
      <c r="H1349">
        <v>0.1</v>
      </c>
      <c r="I1349" t="s">
        <v>15</v>
      </c>
      <c r="J1349" t="s">
        <v>16</v>
      </c>
      <c r="K1349" t="s">
        <v>23</v>
      </c>
      <c r="L1349">
        <f>F1348*G1348*(1-H1348)</f>
        <v>2037.45</v>
      </c>
    </row>
    <row r="1350" spans="1:12">
      <c r="A1350" t="s">
        <v>2028</v>
      </c>
      <c r="B1350" s="1">
        <v>46247</v>
      </c>
      <c r="C1350" t="s">
        <v>1136</v>
      </c>
      <c r="D1350" t="s">
        <v>20</v>
      </c>
      <c r="E1350" t="s">
        <v>35</v>
      </c>
      <c r="F1350">
        <v>4</v>
      </c>
      <c r="G1350">
        <v>1999</v>
      </c>
      <c r="H1350">
        <v>0.1</v>
      </c>
      <c r="I1350" t="s">
        <v>47</v>
      </c>
      <c r="J1350" t="s">
        <v>51</v>
      </c>
      <c r="K1350" t="s">
        <v>17</v>
      </c>
      <c r="L1350">
        <f>F1349*G1349*(1-H1349)</f>
        <v>2876.4</v>
      </c>
    </row>
    <row r="1351" spans="1:12">
      <c r="A1351" t="s">
        <v>2029</v>
      </c>
      <c r="B1351" s="1">
        <v>46198</v>
      </c>
      <c r="C1351" t="s">
        <v>1227</v>
      </c>
      <c r="D1351" t="s">
        <v>20</v>
      </c>
      <c r="E1351" t="s">
        <v>21</v>
      </c>
      <c r="F1351">
        <v>2</v>
      </c>
      <c r="G1351">
        <v>1299</v>
      </c>
      <c r="H1351">
        <v>0</v>
      </c>
      <c r="I1351" t="s">
        <v>47</v>
      </c>
      <c r="J1351" t="s">
        <v>28</v>
      </c>
      <c r="K1351" t="s">
        <v>23</v>
      </c>
      <c r="L1351">
        <f>F1350*G1350*(1-H1350)</f>
        <v>7196.4000000000005</v>
      </c>
    </row>
    <row r="1352" spans="1:12">
      <c r="A1352" t="s">
        <v>2030</v>
      </c>
      <c r="B1352" s="1">
        <v>46083</v>
      </c>
      <c r="C1352" t="s">
        <v>49</v>
      </c>
      <c r="D1352" t="s">
        <v>71</v>
      </c>
      <c r="E1352" t="s">
        <v>35</v>
      </c>
      <c r="F1352">
        <v>3</v>
      </c>
      <c r="G1352">
        <v>999</v>
      </c>
      <c r="H1352">
        <v>0.15</v>
      </c>
      <c r="I1352" t="s">
        <v>15</v>
      </c>
      <c r="J1352" t="s">
        <v>36</v>
      </c>
      <c r="K1352" t="s">
        <v>37</v>
      </c>
      <c r="L1352">
        <f>F1351*G1351*(1-H1351)</f>
        <v>2598</v>
      </c>
    </row>
    <row r="1353" spans="1:12">
      <c r="A1353" t="s">
        <v>2031</v>
      </c>
      <c r="B1353" s="1">
        <v>46201</v>
      </c>
      <c r="C1353" t="s">
        <v>2032</v>
      </c>
      <c r="D1353" t="s">
        <v>78</v>
      </c>
      <c r="E1353" t="s">
        <v>14</v>
      </c>
      <c r="F1353">
        <v>3</v>
      </c>
      <c r="G1353">
        <v>499</v>
      </c>
      <c r="H1353">
        <v>0.15</v>
      </c>
      <c r="I1353" t="s">
        <v>47</v>
      </c>
      <c r="J1353" t="s">
        <v>51</v>
      </c>
      <c r="K1353" t="s">
        <v>17</v>
      </c>
      <c r="L1353">
        <f>F1352*G1352*(1-H1352)</f>
        <v>2547.4499999999998</v>
      </c>
    </row>
    <row r="1354" spans="1:12">
      <c r="A1354" t="s">
        <v>2033</v>
      </c>
      <c r="B1354" s="1">
        <v>46254</v>
      </c>
      <c r="C1354" t="s">
        <v>2034</v>
      </c>
      <c r="D1354" t="s">
        <v>78</v>
      </c>
      <c r="E1354" t="s">
        <v>27</v>
      </c>
      <c r="F1354">
        <v>2</v>
      </c>
      <c r="G1354">
        <v>1999</v>
      </c>
      <c r="H1354">
        <v>0.15</v>
      </c>
      <c r="I1354" t="s">
        <v>50</v>
      </c>
      <c r="J1354" t="s">
        <v>36</v>
      </c>
      <c r="K1354" t="s">
        <v>23</v>
      </c>
      <c r="L1354">
        <f>F1353*G1353*(1-H1353)</f>
        <v>1272.45</v>
      </c>
    </row>
    <row r="1355" spans="1:12">
      <c r="A1355" t="s">
        <v>2035</v>
      </c>
      <c r="B1355" s="1">
        <v>46104</v>
      </c>
      <c r="C1355" t="s">
        <v>2036</v>
      </c>
      <c r="D1355" t="s">
        <v>31</v>
      </c>
      <c r="E1355" t="s">
        <v>27</v>
      </c>
      <c r="F1355">
        <v>2</v>
      </c>
      <c r="G1355">
        <v>4999</v>
      </c>
      <c r="H1355">
        <v>0.1</v>
      </c>
      <c r="I1355" t="s">
        <v>44</v>
      </c>
      <c r="J1355" t="s">
        <v>28</v>
      </c>
      <c r="K1355" t="s">
        <v>37</v>
      </c>
      <c r="L1355">
        <f>F1354*G1354*(1-H1354)</f>
        <v>3398.2999999999997</v>
      </c>
    </row>
    <row r="1356" spans="1:12">
      <c r="A1356" t="s">
        <v>2037</v>
      </c>
      <c r="B1356" s="1">
        <v>46187</v>
      </c>
      <c r="C1356" t="s">
        <v>475</v>
      </c>
      <c r="D1356" t="s">
        <v>56</v>
      </c>
      <c r="E1356" t="s">
        <v>27</v>
      </c>
      <c r="F1356">
        <v>2</v>
      </c>
      <c r="G1356">
        <v>1299</v>
      </c>
      <c r="H1356">
        <v>0.1</v>
      </c>
      <c r="I1356" t="s">
        <v>15</v>
      </c>
      <c r="J1356" t="s">
        <v>22</v>
      </c>
      <c r="K1356" t="s">
        <v>17</v>
      </c>
      <c r="L1356">
        <f>F1355*G1355*(1-H1355)</f>
        <v>8998.2000000000007</v>
      </c>
    </row>
    <row r="1357" spans="1:12">
      <c r="A1357" t="s">
        <v>2038</v>
      </c>
      <c r="B1357" s="1">
        <v>46128</v>
      </c>
      <c r="C1357" t="s">
        <v>92</v>
      </c>
      <c r="D1357" t="s">
        <v>20</v>
      </c>
      <c r="E1357" t="s">
        <v>14</v>
      </c>
      <c r="F1357">
        <v>5</v>
      </c>
      <c r="G1357">
        <v>999</v>
      </c>
      <c r="H1357">
        <v>0.15</v>
      </c>
      <c r="I1357" t="s">
        <v>50</v>
      </c>
      <c r="J1357" t="s">
        <v>16</v>
      </c>
      <c r="K1357" t="s">
        <v>17</v>
      </c>
      <c r="L1357">
        <f>F1356*G1356*(1-H1356)</f>
        <v>2338.2000000000003</v>
      </c>
    </row>
    <row r="1358" spans="1:12">
      <c r="A1358" t="s">
        <v>2039</v>
      </c>
      <c r="B1358" s="1">
        <v>46215</v>
      </c>
      <c r="C1358" t="s">
        <v>2040</v>
      </c>
      <c r="D1358" t="s">
        <v>43</v>
      </c>
      <c r="E1358" t="s">
        <v>35</v>
      </c>
      <c r="F1358">
        <v>1</v>
      </c>
      <c r="G1358">
        <v>7999</v>
      </c>
      <c r="H1358">
        <v>0.15</v>
      </c>
      <c r="I1358" t="s">
        <v>47</v>
      </c>
      <c r="J1358" t="s">
        <v>16</v>
      </c>
      <c r="K1358" t="s">
        <v>17</v>
      </c>
      <c r="L1358">
        <f>F1357*G1357*(1-H1357)</f>
        <v>4245.75</v>
      </c>
    </row>
    <row r="1359" spans="1:12">
      <c r="A1359" t="s">
        <v>2041</v>
      </c>
      <c r="B1359" s="1">
        <v>46208</v>
      </c>
      <c r="C1359" t="s">
        <v>626</v>
      </c>
      <c r="D1359" t="s">
        <v>20</v>
      </c>
      <c r="E1359" t="s">
        <v>27</v>
      </c>
      <c r="F1359">
        <v>3</v>
      </c>
      <c r="G1359">
        <v>2499</v>
      </c>
      <c r="H1359">
        <v>0</v>
      </c>
      <c r="I1359" t="s">
        <v>32</v>
      </c>
      <c r="J1359" t="s">
        <v>28</v>
      </c>
      <c r="K1359" t="s">
        <v>37</v>
      </c>
      <c r="L1359">
        <f>F1358*G1358*(1-H1358)</f>
        <v>6799.15</v>
      </c>
    </row>
    <row r="1360" spans="1:12">
      <c r="A1360" t="s">
        <v>2042</v>
      </c>
      <c r="B1360" s="1">
        <v>46094</v>
      </c>
      <c r="C1360" t="s">
        <v>53</v>
      </c>
      <c r="D1360" t="s">
        <v>31</v>
      </c>
      <c r="E1360" t="s">
        <v>35</v>
      </c>
      <c r="F1360">
        <v>5</v>
      </c>
      <c r="G1360">
        <v>2499</v>
      </c>
      <c r="H1360">
        <v>0.1</v>
      </c>
      <c r="I1360" t="s">
        <v>15</v>
      </c>
      <c r="J1360" t="s">
        <v>16</v>
      </c>
      <c r="K1360" t="s">
        <v>17</v>
      </c>
      <c r="L1360">
        <f>F1359*G1359*(1-H1359)</f>
        <v>7497</v>
      </c>
    </row>
    <row r="1361" spans="1:12">
      <c r="A1361" t="s">
        <v>2043</v>
      </c>
      <c r="B1361" s="1">
        <v>46034</v>
      </c>
      <c r="C1361" t="s">
        <v>725</v>
      </c>
      <c r="D1361" t="s">
        <v>26</v>
      </c>
      <c r="E1361" t="s">
        <v>14</v>
      </c>
      <c r="F1361">
        <v>2</v>
      </c>
      <c r="G1361">
        <v>1299</v>
      </c>
      <c r="H1361">
        <v>0</v>
      </c>
      <c r="I1361" t="s">
        <v>47</v>
      </c>
      <c r="J1361" t="s">
        <v>51</v>
      </c>
      <c r="K1361" t="s">
        <v>23</v>
      </c>
      <c r="L1361">
        <f>F1360*G1360*(1-H1360)</f>
        <v>11245.5</v>
      </c>
    </row>
    <row r="1362" spans="1:12">
      <c r="A1362" t="s">
        <v>2044</v>
      </c>
      <c r="B1362" s="1">
        <v>46249</v>
      </c>
      <c r="C1362" t="s">
        <v>477</v>
      </c>
      <c r="D1362" t="s">
        <v>31</v>
      </c>
      <c r="E1362" t="s">
        <v>14</v>
      </c>
      <c r="F1362">
        <v>3</v>
      </c>
      <c r="G1362">
        <v>1299</v>
      </c>
      <c r="H1362">
        <v>0.15</v>
      </c>
      <c r="I1362" t="s">
        <v>50</v>
      </c>
      <c r="J1362" t="s">
        <v>22</v>
      </c>
      <c r="K1362" t="s">
        <v>17</v>
      </c>
      <c r="L1362">
        <f>F1361*G1361*(1-H1361)</f>
        <v>2598</v>
      </c>
    </row>
    <row r="1363" spans="1:12">
      <c r="A1363" t="s">
        <v>2045</v>
      </c>
      <c r="B1363" s="1">
        <v>46037</v>
      </c>
      <c r="C1363" t="s">
        <v>751</v>
      </c>
      <c r="D1363" t="s">
        <v>56</v>
      </c>
      <c r="E1363" t="s">
        <v>40</v>
      </c>
      <c r="F1363">
        <v>2</v>
      </c>
      <c r="G1363">
        <v>999</v>
      </c>
      <c r="H1363">
        <v>0.05</v>
      </c>
      <c r="I1363" t="s">
        <v>47</v>
      </c>
      <c r="J1363" t="s">
        <v>22</v>
      </c>
      <c r="K1363" t="s">
        <v>37</v>
      </c>
      <c r="L1363">
        <f>F1362*G1362*(1-H1362)</f>
        <v>3312.45</v>
      </c>
    </row>
    <row r="1364" spans="1:12">
      <c r="A1364" t="s">
        <v>2046</v>
      </c>
      <c r="B1364" s="1">
        <v>46155</v>
      </c>
      <c r="C1364" t="s">
        <v>113</v>
      </c>
      <c r="D1364" t="s">
        <v>20</v>
      </c>
      <c r="E1364" t="s">
        <v>40</v>
      </c>
      <c r="F1364">
        <v>2</v>
      </c>
      <c r="G1364">
        <v>799</v>
      </c>
      <c r="H1364">
        <v>0.15</v>
      </c>
      <c r="I1364" t="s">
        <v>32</v>
      </c>
      <c r="J1364" t="s">
        <v>36</v>
      </c>
      <c r="K1364" t="s">
        <v>37</v>
      </c>
      <c r="L1364">
        <f>F1363*G1363*(1-H1363)</f>
        <v>1898.1</v>
      </c>
    </row>
    <row r="1365" spans="1:12">
      <c r="A1365" t="s">
        <v>2047</v>
      </c>
      <c r="B1365" s="1">
        <v>46181</v>
      </c>
      <c r="C1365" t="s">
        <v>364</v>
      </c>
      <c r="D1365" t="s">
        <v>59</v>
      </c>
      <c r="E1365" t="s">
        <v>27</v>
      </c>
      <c r="F1365">
        <v>4</v>
      </c>
      <c r="G1365">
        <v>1499</v>
      </c>
      <c r="H1365">
        <v>0.15</v>
      </c>
      <c r="I1365" t="s">
        <v>15</v>
      </c>
      <c r="J1365" t="s">
        <v>22</v>
      </c>
      <c r="K1365" t="s">
        <v>23</v>
      </c>
      <c r="L1365">
        <f>F1364*G1364*(1-H1364)</f>
        <v>1358.3</v>
      </c>
    </row>
    <row r="1366" spans="1:12">
      <c r="A1366" t="s">
        <v>2048</v>
      </c>
      <c r="B1366" s="1">
        <v>46091</v>
      </c>
      <c r="C1366" t="s">
        <v>1112</v>
      </c>
      <c r="D1366" t="s">
        <v>26</v>
      </c>
      <c r="E1366" t="s">
        <v>40</v>
      </c>
      <c r="F1366">
        <v>1</v>
      </c>
      <c r="G1366">
        <v>799</v>
      </c>
      <c r="H1366">
        <v>0</v>
      </c>
      <c r="I1366" t="s">
        <v>50</v>
      </c>
      <c r="J1366" t="s">
        <v>22</v>
      </c>
      <c r="K1366" t="s">
        <v>23</v>
      </c>
      <c r="L1366">
        <f>F1365*G1365*(1-H1365)</f>
        <v>5096.5999999999995</v>
      </c>
    </row>
    <row r="1367" spans="1:12">
      <c r="A1367" t="s">
        <v>2049</v>
      </c>
      <c r="B1367" s="1">
        <v>46224</v>
      </c>
      <c r="C1367" t="s">
        <v>1006</v>
      </c>
      <c r="D1367" t="s">
        <v>59</v>
      </c>
      <c r="E1367" t="s">
        <v>35</v>
      </c>
      <c r="F1367">
        <v>4</v>
      </c>
      <c r="G1367">
        <v>4999</v>
      </c>
      <c r="H1367">
        <v>0</v>
      </c>
      <c r="I1367" t="s">
        <v>15</v>
      </c>
      <c r="J1367" t="s">
        <v>22</v>
      </c>
      <c r="K1367" t="s">
        <v>23</v>
      </c>
      <c r="L1367">
        <f>F1366*G1366*(1-H1366)</f>
        <v>799</v>
      </c>
    </row>
    <row r="1368" spans="1:12">
      <c r="A1368" t="s">
        <v>2050</v>
      </c>
      <c r="B1368" s="1">
        <v>46243</v>
      </c>
      <c r="C1368" t="s">
        <v>2051</v>
      </c>
      <c r="D1368" t="s">
        <v>59</v>
      </c>
      <c r="E1368" t="s">
        <v>35</v>
      </c>
      <c r="F1368">
        <v>2</v>
      </c>
      <c r="G1368">
        <v>1299</v>
      </c>
      <c r="H1368">
        <v>0</v>
      </c>
      <c r="I1368" t="s">
        <v>50</v>
      </c>
      <c r="J1368" t="s">
        <v>16</v>
      </c>
      <c r="K1368" t="s">
        <v>17</v>
      </c>
      <c r="L1368">
        <f>F1367*G1367*(1-H1367)</f>
        <v>19996</v>
      </c>
    </row>
    <row r="1369" spans="1:12">
      <c r="A1369" t="s">
        <v>2052</v>
      </c>
      <c r="B1369" s="1">
        <v>46033</v>
      </c>
      <c r="C1369" t="s">
        <v>2053</v>
      </c>
      <c r="D1369" t="s">
        <v>43</v>
      </c>
      <c r="E1369" t="s">
        <v>35</v>
      </c>
      <c r="F1369">
        <v>5</v>
      </c>
      <c r="G1369">
        <v>2499</v>
      </c>
      <c r="H1369">
        <v>0.15</v>
      </c>
      <c r="I1369" t="s">
        <v>44</v>
      </c>
      <c r="J1369" t="s">
        <v>51</v>
      </c>
      <c r="K1369" t="s">
        <v>17</v>
      </c>
      <c r="L1369">
        <f>F1368*G1368*(1-H1368)</f>
        <v>2598</v>
      </c>
    </row>
    <row r="1370" spans="1:12">
      <c r="A1370" t="s">
        <v>2054</v>
      </c>
      <c r="B1370" s="1">
        <v>46163</v>
      </c>
      <c r="C1370" t="s">
        <v>1990</v>
      </c>
      <c r="D1370" t="s">
        <v>31</v>
      </c>
      <c r="E1370" t="s">
        <v>14</v>
      </c>
      <c r="F1370">
        <v>4</v>
      </c>
      <c r="G1370">
        <v>7999</v>
      </c>
      <c r="H1370">
        <v>0.1</v>
      </c>
      <c r="I1370" t="s">
        <v>50</v>
      </c>
      <c r="J1370" t="s">
        <v>16</v>
      </c>
      <c r="K1370" t="s">
        <v>23</v>
      </c>
      <c r="L1370">
        <f>F1369*G1369*(1-H1369)</f>
        <v>10620.75</v>
      </c>
    </row>
    <row r="1371" spans="1:12">
      <c r="A1371" t="s">
        <v>2055</v>
      </c>
      <c r="B1371" s="1">
        <v>46098</v>
      </c>
      <c r="C1371" t="s">
        <v>269</v>
      </c>
      <c r="D1371" t="s">
        <v>31</v>
      </c>
      <c r="E1371" t="s">
        <v>27</v>
      </c>
      <c r="F1371">
        <v>5</v>
      </c>
      <c r="G1371">
        <v>7999</v>
      </c>
      <c r="H1371">
        <v>0</v>
      </c>
      <c r="I1371" t="s">
        <v>32</v>
      </c>
      <c r="J1371" t="s">
        <v>51</v>
      </c>
      <c r="K1371" t="s">
        <v>37</v>
      </c>
      <c r="L1371">
        <f>F1370*G1370*(1-H1370)</f>
        <v>28796.400000000001</v>
      </c>
    </row>
    <row r="1372" spans="1:12">
      <c r="A1372" t="s">
        <v>2056</v>
      </c>
      <c r="B1372" s="1">
        <v>46101</v>
      </c>
      <c r="C1372" t="s">
        <v>2057</v>
      </c>
      <c r="D1372" t="s">
        <v>26</v>
      </c>
      <c r="E1372" t="s">
        <v>35</v>
      </c>
      <c r="F1372">
        <v>1</v>
      </c>
      <c r="G1372">
        <v>4999</v>
      </c>
      <c r="H1372">
        <v>0</v>
      </c>
      <c r="I1372" t="s">
        <v>44</v>
      </c>
      <c r="J1372" t="s">
        <v>36</v>
      </c>
      <c r="K1372" t="s">
        <v>37</v>
      </c>
      <c r="L1372">
        <f>F1371*G1371*(1-H1371)</f>
        <v>39995</v>
      </c>
    </row>
    <row r="1373" spans="1:12">
      <c r="A1373" t="s">
        <v>2058</v>
      </c>
      <c r="B1373" s="1">
        <v>46216</v>
      </c>
      <c r="C1373" t="s">
        <v>1363</v>
      </c>
      <c r="D1373" t="s">
        <v>78</v>
      </c>
      <c r="E1373" t="s">
        <v>40</v>
      </c>
      <c r="F1373">
        <v>2</v>
      </c>
      <c r="G1373">
        <v>599</v>
      </c>
      <c r="H1373">
        <v>0.05</v>
      </c>
      <c r="I1373" t="s">
        <v>50</v>
      </c>
      <c r="J1373" t="s">
        <v>51</v>
      </c>
      <c r="K1373" t="s">
        <v>17</v>
      </c>
      <c r="L1373">
        <f>F1372*G1372*(1-H1372)</f>
        <v>4999</v>
      </c>
    </row>
    <row r="1374" spans="1:12">
      <c r="A1374" t="s">
        <v>2059</v>
      </c>
      <c r="B1374" s="1">
        <v>46222</v>
      </c>
      <c r="C1374" t="s">
        <v>203</v>
      </c>
      <c r="D1374" t="s">
        <v>56</v>
      </c>
      <c r="E1374" t="s">
        <v>21</v>
      </c>
      <c r="F1374">
        <v>5</v>
      </c>
      <c r="G1374">
        <v>1999</v>
      </c>
      <c r="H1374">
        <v>0.1</v>
      </c>
      <c r="I1374" t="s">
        <v>50</v>
      </c>
      <c r="J1374" t="s">
        <v>28</v>
      </c>
      <c r="K1374" t="s">
        <v>23</v>
      </c>
      <c r="L1374">
        <f>F1373*G1373*(1-H1373)</f>
        <v>1138.0999999999999</v>
      </c>
    </row>
    <row r="1375" spans="1:12">
      <c r="A1375" t="s">
        <v>2060</v>
      </c>
      <c r="B1375" s="1">
        <v>46185</v>
      </c>
      <c r="C1375" t="s">
        <v>1456</v>
      </c>
      <c r="D1375" t="s">
        <v>20</v>
      </c>
      <c r="E1375" t="s">
        <v>14</v>
      </c>
      <c r="F1375">
        <v>4</v>
      </c>
      <c r="G1375">
        <v>499</v>
      </c>
      <c r="H1375">
        <v>0.1</v>
      </c>
      <c r="I1375" t="s">
        <v>15</v>
      </c>
      <c r="J1375" t="s">
        <v>36</v>
      </c>
      <c r="K1375" t="s">
        <v>37</v>
      </c>
      <c r="L1375">
        <f>F1374*G1374*(1-H1374)</f>
        <v>8995.5</v>
      </c>
    </row>
    <row r="1376" spans="1:12">
      <c r="A1376" t="s">
        <v>2061</v>
      </c>
      <c r="B1376" s="1">
        <v>46051</v>
      </c>
      <c r="C1376" t="s">
        <v>1654</v>
      </c>
      <c r="D1376" t="s">
        <v>13</v>
      </c>
      <c r="E1376" t="s">
        <v>40</v>
      </c>
      <c r="F1376">
        <v>2</v>
      </c>
      <c r="G1376">
        <v>1299</v>
      </c>
      <c r="H1376">
        <v>0</v>
      </c>
      <c r="I1376" t="s">
        <v>47</v>
      </c>
      <c r="J1376" t="s">
        <v>28</v>
      </c>
      <c r="K1376" t="s">
        <v>37</v>
      </c>
      <c r="L1376">
        <f>F1375*G1375*(1-H1375)</f>
        <v>1796.4</v>
      </c>
    </row>
    <row r="1377" spans="1:12">
      <c r="A1377" t="s">
        <v>2062</v>
      </c>
      <c r="B1377" s="1">
        <v>46242</v>
      </c>
      <c r="C1377" t="s">
        <v>1508</v>
      </c>
      <c r="D1377" t="s">
        <v>56</v>
      </c>
      <c r="E1377" t="s">
        <v>35</v>
      </c>
      <c r="F1377">
        <v>3</v>
      </c>
      <c r="G1377">
        <v>2499</v>
      </c>
      <c r="H1377">
        <v>0</v>
      </c>
      <c r="I1377" t="s">
        <v>15</v>
      </c>
      <c r="J1377" t="s">
        <v>16</v>
      </c>
      <c r="K1377" t="s">
        <v>23</v>
      </c>
      <c r="L1377">
        <f>F1376*G1376*(1-H1376)</f>
        <v>2598</v>
      </c>
    </row>
    <row r="1378" spans="1:12">
      <c r="A1378" t="s">
        <v>2063</v>
      </c>
      <c r="B1378" s="1">
        <v>46289</v>
      </c>
      <c r="C1378" t="s">
        <v>1146</v>
      </c>
      <c r="D1378" t="s">
        <v>31</v>
      </c>
      <c r="E1378" t="s">
        <v>14</v>
      </c>
      <c r="F1378">
        <v>1</v>
      </c>
      <c r="G1378">
        <v>2499</v>
      </c>
      <c r="H1378">
        <v>0.15</v>
      </c>
      <c r="I1378" t="s">
        <v>50</v>
      </c>
      <c r="J1378" t="s">
        <v>28</v>
      </c>
      <c r="K1378" t="s">
        <v>17</v>
      </c>
      <c r="L1378">
        <f>F1377*G1377*(1-H1377)</f>
        <v>7497</v>
      </c>
    </row>
    <row r="1379" spans="1:12">
      <c r="A1379" t="s">
        <v>2064</v>
      </c>
      <c r="B1379" s="1">
        <v>46055</v>
      </c>
      <c r="C1379" t="s">
        <v>1216</v>
      </c>
      <c r="D1379" t="s">
        <v>78</v>
      </c>
      <c r="E1379" t="s">
        <v>27</v>
      </c>
      <c r="F1379">
        <v>4</v>
      </c>
      <c r="G1379">
        <v>999</v>
      </c>
      <c r="H1379">
        <v>0.05</v>
      </c>
      <c r="I1379" t="s">
        <v>44</v>
      </c>
      <c r="J1379" t="s">
        <v>36</v>
      </c>
      <c r="K1379" t="s">
        <v>17</v>
      </c>
      <c r="L1379">
        <f>F1378*G1378*(1-H1378)</f>
        <v>2124.15</v>
      </c>
    </row>
    <row r="1380" spans="1:12">
      <c r="A1380" t="s">
        <v>2065</v>
      </c>
      <c r="B1380" s="1">
        <v>46131</v>
      </c>
      <c r="C1380" t="s">
        <v>2066</v>
      </c>
      <c r="D1380" t="s">
        <v>71</v>
      </c>
      <c r="E1380" t="s">
        <v>40</v>
      </c>
      <c r="F1380">
        <v>4</v>
      </c>
      <c r="G1380">
        <v>599</v>
      </c>
      <c r="H1380">
        <v>0.1</v>
      </c>
      <c r="I1380" t="s">
        <v>50</v>
      </c>
      <c r="J1380" t="s">
        <v>36</v>
      </c>
      <c r="K1380" t="s">
        <v>17</v>
      </c>
      <c r="L1380">
        <f>F1379*G1379*(1-H1379)</f>
        <v>3796.2</v>
      </c>
    </row>
    <row r="1381" spans="1:12">
      <c r="A1381" t="s">
        <v>2067</v>
      </c>
      <c r="B1381" s="1">
        <v>46254</v>
      </c>
      <c r="C1381" t="s">
        <v>646</v>
      </c>
      <c r="D1381" t="s">
        <v>20</v>
      </c>
      <c r="E1381" t="s">
        <v>40</v>
      </c>
      <c r="F1381">
        <v>3</v>
      </c>
      <c r="G1381">
        <v>7999</v>
      </c>
      <c r="H1381">
        <v>0</v>
      </c>
      <c r="I1381" t="s">
        <v>32</v>
      </c>
      <c r="J1381" t="s">
        <v>16</v>
      </c>
      <c r="K1381" t="s">
        <v>17</v>
      </c>
      <c r="L1381">
        <f>F1380*G1380*(1-H1380)</f>
        <v>2156.4</v>
      </c>
    </row>
    <row r="1382" spans="1:12">
      <c r="A1382" t="s">
        <v>2068</v>
      </c>
      <c r="B1382" s="1">
        <v>46291</v>
      </c>
      <c r="C1382" t="s">
        <v>1368</v>
      </c>
      <c r="D1382" t="s">
        <v>26</v>
      </c>
      <c r="E1382" t="s">
        <v>40</v>
      </c>
      <c r="F1382">
        <v>3</v>
      </c>
      <c r="G1382">
        <v>2499</v>
      </c>
      <c r="H1382">
        <v>0</v>
      </c>
      <c r="I1382" t="s">
        <v>47</v>
      </c>
      <c r="J1382" t="s">
        <v>51</v>
      </c>
      <c r="K1382" t="s">
        <v>37</v>
      </c>
      <c r="L1382">
        <f>F1381*G1381*(1-H1381)</f>
        <v>23997</v>
      </c>
    </row>
    <row r="1383" spans="1:12">
      <c r="A1383" t="s">
        <v>2069</v>
      </c>
      <c r="B1383" s="1">
        <v>46175</v>
      </c>
      <c r="C1383" t="s">
        <v>349</v>
      </c>
      <c r="D1383" t="s">
        <v>43</v>
      </c>
      <c r="E1383" t="s">
        <v>35</v>
      </c>
      <c r="F1383">
        <v>1</v>
      </c>
      <c r="G1383">
        <v>1999</v>
      </c>
      <c r="H1383">
        <v>0</v>
      </c>
      <c r="I1383" t="s">
        <v>50</v>
      </c>
      <c r="J1383" t="s">
        <v>22</v>
      </c>
      <c r="K1383" t="s">
        <v>23</v>
      </c>
      <c r="L1383">
        <f>F1382*G1382*(1-H1382)</f>
        <v>7497</v>
      </c>
    </row>
    <row r="1384" spans="1:12">
      <c r="A1384" t="s">
        <v>2070</v>
      </c>
      <c r="B1384" s="1">
        <v>46151</v>
      </c>
      <c r="C1384" t="s">
        <v>1821</v>
      </c>
      <c r="D1384" t="s">
        <v>62</v>
      </c>
      <c r="E1384" t="s">
        <v>21</v>
      </c>
      <c r="F1384">
        <v>1</v>
      </c>
      <c r="G1384">
        <v>2499</v>
      </c>
      <c r="H1384">
        <v>0</v>
      </c>
      <c r="I1384" t="s">
        <v>44</v>
      </c>
      <c r="J1384" t="s">
        <v>28</v>
      </c>
      <c r="K1384" t="s">
        <v>23</v>
      </c>
      <c r="L1384">
        <f>F1383*G1383*(1-H1383)</f>
        <v>1999</v>
      </c>
    </row>
    <row r="1385" spans="1:12">
      <c r="A1385" t="s">
        <v>2071</v>
      </c>
      <c r="B1385" s="1">
        <v>46275</v>
      </c>
      <c r="C1385" t="s">
        <v>132</v>
      </c>
      <c r="D1385" t="s">
        <v>78</v>
      </c>
      <c r="E1385" t="s">
        <v>27</v>
      </c>
      <c r="F1385">
        <v>4</v>
      </c>
      <c r="G1385">
        <v>1499</v>
      </c>
      <c r="H1385">
        <v>0</v>
      </c>
      <c r="I1385" t="s">
        <v>44</v>
      </c>
      <c r="J1385" t="s">
        <v>51</v>
      </c>
      <c r="K1385" t="s">
        <v>17</v>
      </c>
      <c r="L1385">
        <f>F1384*G1384*(1-H1384)</f>
        <v>2499</v>
      </c>
    </row>
    <row r="1386" spans="1:12">
      <c r="A1386" t="s">
        <v>2072</v>
      </c>
      <c r="B1386" s="1">
        <v>46023</v>
      </c>
      <c r="C1386" t="s">
        <v>2073</v>
      </c>
      <c r="D1386" t="s">
        <v>13</v>
      </c>
      <c r="E1386" t="s">
        <v>14</v>
      </c>
      <c r="F1386">
        <v>4</v>
      </c>
      <c r="G1386">
        <v>999</v>
      </c>
      <c r="H1386">
        <v>0.15</v>
      </c>
      <c r="I1386" t="s">
        <v>47</v>
      </c>
      <c r="J1386" t="s">
        <v>16</v>
      </c>
      <c r="K1386" t="s">
        <v>23</v>
      </c>
      <c r="L1386">
        <f>F1385*G1385*(1-H1385)</f>
        <v>5996</v>
      </c>
    </row>
    <row r="1387" spans="1:12">
      <c r="A1387" t="s">
        <v>2074</v>
      </c>
      <c r="B1387" s="1">
        <v>46258</v>
      </c>
      <c r="C1387" t="s">
        <v>2005</v>
      </c>
      <c r="D1387" t="s">
        <v>13</v>
      </c>
      <c r="E1387" t="s">
        <v>40</v>
      </c>
      <c r="F1387">
        <v>3</v>
      </c>
      <c r="G1387">
        <v>999</v>
      </c>
      <c r="H1387">
        <v>0</v>
      </c>
      <c r="I1387" t="s">
        <v>32</v>
      </c>
      <c r="J1387" t="s">
        <v>28</v>
      </c>
      <c r="K1387" t="s">
        <v>23</v>
      </c>
      <c r="L1387">
        <f>F1386*G1386*(1-H1386)</f>
        <v>3396.6</v>
      </c>
    </row>
    <row r="1388" spans="1:12">
      <c r="A1388" t="s">
        <v>2075</v>
      </c>
      <c r="B1388" s="1">
        <v>46031</v>
      </c>
      <c r="C1388" t="s">
        <v>253</v>
      </c>
      <c r="D1388" t="s">
        <v>20</v>
      </c>
      <c r="E1388" t="s">
        <v>27</v>
      </c>
      <c r="F1388">
        <v>1</v>
      </c>
      <c r="G1388">
        <v>1999</v>
      </c>
      <c r="H1388">
        <v>0.05</v>
      </c>
      <c r="I1388" t="s">
        <v>44</v>
      </c>
      <c r="J1388" t="s">
        <v>22</v>
      </c>
      <c r="K1388" t="s">
        <v>23</v>
      </c>
      <c r="L1388">
        <f>F1387*G1387*(1-H1387)</f>
        <v>2997</v>
      </c>
    </row>
    <row r="1389" spans="1:12">
      <c r="A1389" t="s">
        <v>2076</v>
      </c>
      <c r="B1389" s="1">
        <v>46028</v>
      </c>
      <c r="C1389" t="s">
        <v>703</v>
      </c>
      <c r="D1389" t="s">
        <v>59</v>
      </c>
      <c r="E1389" t="s">
        <v>27</v>
      </c>
      <c r="F1389">
        <v>5</v>
      </c>
      <c r="G1389">
        <v>2499</v>
      </c>
      <c r="H1389">
        <v>0</v>
      </c>
      <c r="I1389" t="s">
        <v>15</v>
      </c>
      <c r="J1389" t="s">
        <v>16</v>
      </c>
      <c r="K1389" t="s">
        <v>23</v>
      </c>
      <c r="L1389">
        <f>F1388*G1388*(1-H1388)</f>
        <v>1899.05</v>
      </c>
    </row>
    <row r="1390" spans="1:12">
      <c r="A1390" t="s">
        <v>2077</v>
      </c>
      <c r="B1390" s="1">
        <v>46288</v>
      </c>
      <c r="C1390" t="s">
        <v>2078</v>
      </c>
      <c r="D1390" t="s">
        <v>13</v>
      </c>
      <c r="E1390" t="s">
        <v>35</v>
      </c>
      <c r="F1390">
        <v>5</v>
      </c>
      <c r="G1390">
        <v>999</v>
      </c>
      <c r="H1390">
        <v>0</v>
      </c>
      <c r="I1390" t="s">
        <v>44</v>
      </c>
      <c r="J1390" t="s">
        <v>16</v>
      </c>
      <c r="K1390" t="s">
        <v>17</v>
      </c>
      <c r="L1390">
        <f>F1389*G1389*(1-H1389)</f>
        <v>12495</v>
      </c>
    </row>
    <row r="1391" spans="1:12">
      <c r="A1391" t="s">
        <v>2079</v>
      </c>
      <c r="B1391" s="1">
        <v>46256</v>
      </c>
      <c r="C1391" t="s">
        <v>2080</v>
      </c>
      <c r="D1391" t="s">
        <v>13</v>
      </c>
      <c r="E1391" t="s">
        <v>14</v>
      </c>
      <c r="F1391">
        <v>3</v>
      </c>
      <c r="G1391">
        <v>1999</v>
      </c>
      <c r="H1391">
        <v>0</v>
      </c>
      <c r="I1391" t="s">
        <v>50</v>
      </c>
      <c r="J1391" t="s">
        <v>28</v>
      </c>
      <c r="K1391" t="s">
        <v>23</v>
      </c>
      <c r="L1391">
        <f>F1390*G1390*(1-H1390)</f>
        <v>4995</v>
      </c>
    </row>
    <row r="1392" spans="1:12">
      <c r="A1392" t="s">
        <v>2081</v>
      </c>
      <c r="B1392" s="1">
        <v>46236</v>
      </c>
      <c r="C1392" t="s">
        <v>1521</v>
      </c>
      <c r="D1392" t="s">
        <v>78</v>
      </c>
      <c r="E1392" t="s">
        <v>35</v>
      </c>
      <c r="F1392">
        <v>2</v>
      </c>
      <c r="G1392">
        <v>499</v>
      </c>
      <c r="H1392">
        <v>0</v>
      </c>
      <c r="I1392" t="s">
        <v>50</v>
      </c>
      <c r="J1392" t="s">
        <v>51</v>
      </c>
      <c r="K1392" t="s">
        <v>23</v>
      </c>
      <c r="L1392">
        <f>F1391*G1391*(1-H1391)</f>
        <v>5997</v>
      </c>
    </row>
    <row r="1393" spans="1:12">
      <c r="A1393" t="s">
        <v>2082</v>
      </c>
      <c r="B1393" s="1">
        <v>46077</v>
      </c>
      <c r="C1393" t="s">
        <v>2083</v>
      </c>
      <c r="D1393" t="s">
        <v>56</v>
      </c>
      <c r="E1393" t="s">
        <v>27</v>
      </c>
      <c r="F1393">
        <v>1</v>
      </c>
      <c r="G1393">
        <v>7999</v>
      </c>
      <c r="H1393">
        <v>0.05</v>
      </c>
      <c r="I1393" t="s">
        <v>44</v>
      </c>
      <c r="J1393" t="s">
        <v>28</v>
      </c>
      <c r="K1393" t="s">
        <v>17</v>
      </c>
      <c r="L1393">
        <f>F1392*G1392*(1-H1392)</f>
        <v>998</v>
      </c>
    </row>
    <row r="1394" spans="1:12">
      <c r="A1394" t="s">
        <v>2084</v>
      </c>
      <c r="B1394" s="1">
        <v>46131</v>
      </c>
      <c r="C1394" t="s">
        <v>1142</v>
      </c>
      <c r="D1394" t="s">
        <v>13</v>
      </c>
      <c r="E1394" t="s">
        <v>35</v>
      </c>
      <c r="F1394">
        <v>3</v>
      </c>
      <c r="G1394">
        <v>2499</v>
      </c>
      <c r="H1394">
        <v>0</v>
      </c>
      <c r="I1394" t="s">
        <v>32</v>
      </c>
      <c r="J1394" t="s">
        <v>22</v>
      </c>
      <c r="K1394" t="s">
        <v>17</v>
      </c>
      <c r="L1394">
        <f>F1393*G1393*(1-H1393)</f>
        <v>7599.0499999999993</v>
      </c>
    </row>
    <row r="1395" spans="1:12">
      <c r="A1395" t="s">
        <v>2085</v>
      </c>
      <c r="B1395" s="1">
        <v>46084</v>
      </c>
      <c r="C1395" t="s">
        <v>1954</v>
      </c>
      <c r="D1395" t="s">
        <v>62</v>
      </c>
      <c r="E1395" t="s">
        <v>21</v>
      </c>
      <c r="F1395">
        <v>1</v>
      </c>
      <c r="G1395">
        <v>1999</v>
      </c>
      <c r="H1395">
        <v>0.05</v>
      </c>
      <c r="I1395" t="s">
        <v>47</v>
      </c>
      <c r="J1395" t="s">
        <v>22</v>
      </c>
      <c r="K1395" t="s">
        <v>17</v>
      </c>
      <c r="L1395">
        <f>F1394*G1394*(1-H1394)</f>
        <v>7497</v>
      </c>
    </row>
    <row r="1396" spans="1:12">
      <c r="A1396" t="s">
        <v>2086</v>
      </c>
      <c r="B1396" s="1">
        <v>46214</v>
      </c>
      <c r="C1396" t="s">
        <v>1916</v>
      </c>
      <c r="D1396" t="s">
        <v>13</v>
      </c>
      <c r="E1396" t="s">
        <v>14</v>
      </c>
      <c r="F1396">
        <v>1</v>
      </c>
      <c r="G1396">
        <v>999</v>
      </c>
      <c r="H1396">
        <v>0.15</v>
      </c>
      <c r="I1396" t="s">
        <v>44</v>
      </c>
      <c r="J1396" t="s">
        <v>36</v>
      </c>
      <c r="K1396" t="s">
        <v>17</v>
      </c>
      <c r="L1396">
        <f>F1395*G1395*(1-H1395)</f>
        <v>1899.05</v>
      </c>
    </row>
    <row r="1397" spans="1:12">
      <c r="A1397" t="s">
        <v>2087</v>
      </c>
      <c r="B1397" s="1">
        <v>46140</v>
      </c>
      <c r="C1397" t="s">
        <v>1077</v>
      </c>
      <c r="D1397" t="s">
        <v>31</v>
      </c>
      <c r="E1397" t="s">
        <v>40</v>
      </c>
      <c r="F1397">
        <v>5</v>
      </c>
      <c r="G1397">
        <v>599</v>
      </c>
      <c r="H1397">
        <v>0.1</v>
      </c>
      <c r="I1397" t="s">
        <v>15</v>
      </c>
      <c r="J1397" t="s">
        <v>51</v>
      </c>
      <c r="K1397" t="s">
        <v>17</v>
      </c>
      <c r="L1397">
        <f>F1396*G1396*(1-H1396)</f>
        <v>849.15</v>
      </c>
    </row>
    <row r="1398" spans="1:12">
      <c r="A1398" t="s">
        <v>2088</v>
      </c>
      <c r="B1398" s="1">
        <v>46031</v>
      </c>
      <c r="C1398" t="s">
        <v>1387</v>
      </c>
      <c r="D1398" t="s">
        <v>71</v>
      </c>
      <c r="E1398" t="s">
        <v>21</v>
      </c>
      <c r="F1398">
        <v>2</v>
      </c>
      <c r="G1398">
        <v>4999</v>
      </c>
      <c r="H1398">
        <v>0</v>
      </c>
      <c r="I1398" t="s">
        <v>32</v>
      </c>
      <c r="J1398" t="s">
        <v>28</v>
      </c>
      <c r="K1398" t="s">
        <v>23</v>
      </c>
      <c r="L1398">
        <f>F1397*G1397*(1-H1397)</f>
        <v>2695.5</v>
      </c>
    </row>
    <row r="1399" spans="1:12">
      <c r="A1399" t="s">
        <v>2089</v>
      </c>
      <c r="B1399" s="1">
        <v>46107</v>
      </c>
      <c r="C1399" t="s">
        <v>1590</v>
      </c>
      <c r="D1399" t="s">
        <v>59</v>
      </c>
      <c r="E1399" t="s">
        <v>35</v>
      </c>
      <c r="F1399">
        <v>2</v>
      </c>
      <c r="G1399">
        <v>1499</v>
      </c>
      <c r="H1399">
        <v>0</v>
      </c>
      <c r="I1399" t="s">
        <v>47</v>
      </c>
      <c r="J1399" t="s">
        <v>16</v>
      </c>
      <c r="K1399" t="s">
        <v>17</v>
      </c>
      <c r="L1399">
        <f>F1398*G1398*(1-H1398)</f>
        <v>9998</v>
      </c>
    </row>
    <row r="1400" spans="1:12">
      <c r="A1400" t="s">
        <v>2090</v>
      </c>
      <c r="B1400" s="1">
        <v>46045</v>
      </c>
      <c r="C1400" t="s">
        <v>926</v>
      </c>
      <c r="D1400" t="s">
        <v>71</v>
      </c>
      <c r="E1400" t="s">
        <v>14</v>
      </c>
      <c r="F1400">
        <v>4</v>
      </c>
      <c r="G1400">
        <v>1499</v>
      </c>
      <c r="H1400">
        <v>0.1</v>
      </c>
      <c r="I1400" t="s">
        <v>15</v>
      </c>
      <c r="J1400" t="s">
        <v>22</v>
      </c>
      <c r="K1400" t="s">
        <v>17</v>
      </c>
      <c r="L1400">
        <f>F1399*G1399*(1-H1399)</f>
        <v>2998</v>
      </c>
    </row>
    <row r="1401" spans="1:12">
      <c r="A1401" t="s">
        <v>2091</v>
      </c>
      <c r="B1401" s="1">
        <v>46048</v>
      </c>
      <c r="C1401" t="s">
        <v>891</v>
      </c>
      <c r="D1401" t="s">
        <v>56</v>
      </c>
      <c r="E1401" t="s">
        <v>40</v>
      </c>
      <c r="F1401">
        <v>2</v>
      </c>
      <c r="G1401">
        <v>799</v>
      </c>
      <c r="H1401">
        <v>0</v>
      </c>
      <c r="I1401" t="s">
        <v>32</v>
      </c>
      <c r="J1401" t="s">
        <v>36</v>
      </c>
      <c r="K1401" t="s">
        <v>17</v>
      </c>
      <c r="L1401">
        <f>F1400*G1400*(1-H1400)</f>
        <v>5396.4000000000005</v>
      </c>
    </row>
    <row r="1402" spans="1:12">
      <c r="A1402" t="s">
        <v>2092</v>
      </c>
      <c r="B1402" s="1">
        <v>46070</v>
      </c>
      <c r="C1402" t="s">
        <v>115</v>
      </c>
      <c r="D1402" t="s">
        <v>71</v>
      </c>
      <c r="E1402" t="s">
        <v>35</v>
      </c>
      <c r="F1402">
        <v>1</v>
      </c>
      <c r="G1402">
        <v>599</v>
      </c>
      <c r="H1402">
        <v>0.1</v>
      </c>
      <c r="I1402" t="s">
        <v>15</v>
      </c>
      <c r="J1402" t="s">
        <v>22</v>
      </c>
      <c r="K1402" t="s">
        <v>17</v>
      </c>
      <c r="L1402">
        <f>F1401*G1401*(1-H1401)</f>
        <v>1598</v>
      </c>
    </row>
    <row r="1403" spans="1:12">
      <c r="A1403" t="s">
        <v>2093</v>
      </c>
      <c r="B1403" s="1">
        <v>46114</v>
      </c>
      <c r="C1403" t="s">
        <v>2094</v>
      </c>
      <c r="D1403" t="s">
        <v>78</v>
      </c>
      <c r="E1403" t="s">
        <v>14</v>
      </c>
      <c r="F1403">
        <v>1</v>
      </c>
      <c r="G1403">
        <v>2499</v>
      </c>
      <c r="H1403">
        <v>0</v>
      </c>
      <c r="I1403" t="s">
        <v>44</v>
      </c>
      <c r="J1403" t="s">
        <v>22</v>
      </c>
      <c r="K1403" t="s">
        <v>17</v>
      </c>
      <c r="L1403">
        <f>F1402*G1402*(1-H1402)</f>
        <v>539.1</v>
      </c>
    </row>
    <row r="1404" spans="1:12">
      <c r="A1404" t="s">
        <v>2095</v>
      </c>
      <c r="B1404" s="1">
        <v>46178</v>
      </c>
      <c r="C1404" t="s">
        <v>2096</v>
      </c>
      <c r="D1404" t="s">
        <v>43</v>
      </c>
      <c r="E1404" t="s">
        <v>14</v>
      </c>
      <c r="F1404">
        <v>1</v>
      </c>
      <c r="G1404">
        <v>1499</v>
      </c>
      <c r="H1404">
        <v>0</v>
      </c>
      <c r="I1404" t="s">
        <v>50</v>
      </c>
      <c r="J1404" t="s">
        <v>51</v>
      </c>
      <c r="K1404" t="s">
        <v>17</v>
      </c>
      <c r="L1404">
        <f>F1403*G1403*(1-H1403)</f>
        <v>2499</v>
      </c>
    </row>
    <row r="1405" spans="1:12">
      <c r="A1405" t="s">
        <v>2097</v>
      </c>
      <c r="B1405" s="1">
        <v>46024</v>
      </c>
      <c r="C1405" t="s">
        <v>1382</v>
      </c>
      <c r="D1405" t="s">
        <v>26</v>
      </c>
      <c r="E1405" t="s">
        <v>27</v>
      </c>
      <c r="F1405">
        <v>1</v>
      </c>
      <c r="G1405">
        <v>799</v>
      </c>
      <c r="H1405">
        <v>0.15</v>
      </c>
      <c r="I1405" t="s">
        <v>15</v>
      </c>
      <c r="J1405" t="s">
        <v>22</v>
      </c>
      <c r="K1405" t="s">
        <v>17</v>
      </c>
      <c r="L1405">
        <f>F1404*G1404*(1-H1404)</f>
        <v>1499</v>
      </c>
    </row>
    <row r="1406" spans="1:12">
      <c r="A1406" t="s">
        <v>2098</v>
      </c>
      <c r="B1406" s="1">
        <v>46053</v>
      </c>
      <c r="C1406" t="s">
        <v>1737</v>
      </c>
      <c r="D1406" t="s">
        <v>26</v>
      </c>
      <c r="E1406" t="s">
        <v>21</v>
      </c>
      <c r="F1406">
        <v>5</v>
      </c>
      <c r="G1406">
        <v>7999</v>
      </c>
      <c r="H1406">
        <v>0.1</v>
      </c>
      <c r="I1406" t="s">
        <v>15</v>
      </c>
      <c r="J1406" t="s">
        <v>51</v>
      </c>
      <c r="K1406" t="s">
        <v>23</v>
      </c>
      <c r="L1406">
        <f>F1405*G1405*(1-H1405)</f>
        <v>679.15</v>
      </c>
    </row>
    <row r="1407" spans="1:12">
      <c r="A1407" t="s">
        <v>2099</v>
      </c>
      <c r="B1407" s="1">
        <v>46150</v>
      </c>
      <c r="C1407" t="s">
        <v>982</v>
      </c>
      <c r="D1407" t="s">
        <v>43</v>
      </c>
      <c r="E1407" t="s">
        <v>27</v>
      </c>
      <c r="F1407">
        <v>2</v>
      </c>
      <c r="G1407">
        <v>2499</v>
      </c>
      <c r="H1407">
        <v>0.1</v>
      </c>
      <c r="I1407" t="s">
        <v>50</v>
      </c>
      <c r="J1407" t="s">
        <v>16</v>
      </c>
      <c r="K1407" t="s">
        <v>17</v>
      </c>
      <c r="L1407">
        <f>F1406*G1406*(1-H1406)</f>
        <v>35995.5</v>
      </c>
    </row>
    <row r="1408" spans="1:12">
      <c r="A1408" t="s">
        <v>2100</v>
      </c>
      <c r="B1408" s="1">
        <v>46158</v>
      </c>
      <c r="C1408" t="s">
        <v>940</v>
      </c>
      <c r="D1408" t="s">
        <v>43</v>
      </c>
      <c r="E1408" t="s">
        <v>40</v>
      </c>
      <c r="F1408">
        <v>4</v>
      </c>
      <c r="G1408">
        <v>2499</v>
      </c>
      <c r="H1408">
        <v>0.1</v>
      </c>
      <c r="I1408" t="s">
        <v>50</v>
      </c>
      <c r="J1408" t="s">
        <v>51</v>
      </c>
      <c r="K1408" t="s">
        <v>23</v>
      </c>
      <c r="L1408">
        <f>F1407*G1407*(1-H1407)</f>
        <v>4498.2</v>
      </c>
    </row>
    <row r="1409" spans="1:12">
      <c r="A1409" t="s">
        <v>2101</v>
      </c>
      <c r="B1409" s="1">
        <v>46122</v>
      </c>
      <c r="C1409" t="s">
        <v>115</v>
      </c>
      <c r="D1409" t="s">
        <v>43</v>
      </c>
      <c r="E1409" t="s">
        <v>27</v>
      </c>
      <c r="F1409">
        <v>5</v>
      </c>
      <c r="G1409">
        <v>2499</v>
      </c>
      <c r="H1409">
        <v>0.1</v>
      </c>
      <c r="I1409" t="s">
        <v>15</v>
      </c>
      <c r="J1409" t="s">
        <v>16</v>
      </c>
      <c r="K1409" t="s">
        <v>17</v>
      </c>
      <c r="L1409">
        <f>F1408*G1408*(1-H1408)</f>
        <v>8996.4</v>
      </c>
    </row>
    <row r="1410" spans="1:12">
      <c r="A1410" t="s">
        <v>2102</v>
      </c>
      <c r="B1410" s="1">
        <v>46166</v>
      </c>
      <c r="C1410" t="s">
        <v>2103</v>
      </c>
      <c r="D1410" t="s">
        <v>59</v>
      </c>
      <c r="E1410" t="s">
        <v>27</v>
      </c>
      <c r="F1410">
        <v>2</v>
      </c>
      <c r="G1410">
        <v>999</v>
      </c>
      <c r="H1410">
        <v>0.05</v>
      </c>
      <c r="I1410" t="s">
        <v>32</v>
      </c>
      <c r="J1410" t="s">
        <v>51</v>
      </c>
      <c r="K1410" t="s">
        <v>23</v>
      </c>
      <c r="L1410">
        <f>F1409*G1409*(1-H1409)</f>
        <v>11245.5</v>
      </c>
    </row>
    <row r="1411" spans="1:12">
      <c r="A1411" t="s">
        <v>2104</v>
      </c>
      <c r="B1411" s="1">
        <v>46208</v>
      </c>
      <c r="C1411" t="s">
        <v>1551</v>
      </c>
      <c r="D1411" t="s">
        <v>43</v>
      </c>
      <c r="E1411" t="s">
        <v>27</v>
      </c>
      <c r="F1411">
        <v>2</v>
      </c>
      <c r="G1411">
        <v>599</v>
      </c>
      <c r="H1411">
        <v>0</v>
      </c>
      <c r="I1411" t="s">
        <v>50</v>
      </c>
      <c r="J1411" t="s">
        <v>28</v>
      </c>
      <c r="K1411" t="s">
        <v>17</v>
      </c>
      <c r="L1411">
        <f>F1410*G1410*(1-H1410)</f>
        <v>1898.1</v>
      </c>
    </row>
    <row r="1412" spans="1:12">
      <c r="A1412" t="s">
        <v>2105</v>
      </c>
      <c r="B1412" s="1">
        <v>46268</v>
      </c>
      <c r="C1412" t="s">
        <v>1533</v>
      </c>
      <c r="D1412" t="s">
        <v>43</v>
      </c>
      <c r="E1412" t="s">
        <v>35</v>
      </c>
      <c r="F1412">
        <v>5</v>
      </c>
      <c r="G1412">
        <v>1499</v>
      </c>
      <c r="H1412">
        <v>0.1</v>
      </c>
      <c r="I1412" t="s">
        <v>44</v>
      </c>
      <c r="J1412" t="s">
        <v>22</v>
      </c>
      <c r="K1412" t="s">
        <v>17</v>
      </c>
      <c r="L1412">
        <f>F1411*G1411*(1-H1411)</f>
        <v>1198</v>
      </c>
    </row>
    <row r="1413" spans="1:12">
      <c r="A1413" t="s">
        <v>2106</v>
      </c>
      <c r="B1413" s="1">
        <v>46283</v>
      </c>
      <c r="C1413" t="s">
        <v>991</v>
      </c>
      <c r="D1413" t="s">
        <v>78</v>
      </c>
      <c r="E1413" t="s">
        <v>35</v>
      </c>
      <c r="F1413">
        <v>5</v>
      </c>
      <c r="G1413">
        <v>7999</v>
      </c>
      <c r="H1413">
        <v>0.15</v>
      </c>
      <c r="I1413" t="s">
        <v>50</v>
      </c>
      <c r="J1413" t="s">
        <v>22</v>
      </c>
      <c r="K1413" t="s">
        <v>17</v>
      </c>
      <c r="L1413">
        <f>F1412*G1412*(1-H1412)</f>
        <v>6745.5</v>
      </c>
    </row>
    <row r="1414" spans="1:12">
      <c r="A1414" t="s">
        <v>2107</v>
      </c>
      <c r="B1414" s="1">
        <v>46104</v>
      </c>
      <c r="C1414" t="s">
        <v>434</v>
      </c>
      <c r="D1414" t="s">
        <v>26</v>
      </c>
      <c r="E1414" t="s">
        <v>14</v>
      </c>
      <c r="F1414">
        <v>1</v>
      </c>
      <c r="G1414">
        <v>2499</v>
      </c>
      <c r="H1414">
        <v>0</v>
      </c>
      <c r="I1414" t="s">
        <v>32</v>
      </c>
      <c r="J1414" t="s">
        <v>22</v>
      </c>
      <c r="K1414" t="s">
        <v>23</v>
      </c>
      <c r="L1414">
        <f>F1413*G1413*(1-H1413)</f>
        <v>33995.75</v>
      </c>
    </row>
    <row r="1415" spans="1:12">
      <c r="A1415" t="s">
        <v>2108</v>
      </c>
      <c r="B1415" s="1">
        <v>46228</v>
      </c>
      <c r="C1415" t="s">
        <v>602</v>
      </c>
      <c r="D1415" t="s">
        <v>31</v>
      </c>
      <c r="E1415" t="s">
        <v>21</v>
      </c>
      <c r="F1415">
        <v>1</v>
      </c>
      <c r="G1415">
        <v>499</v>
      </c>
      <c r="H1415">
        <v>0.15</v>
      </c>
      <c r="I1415" t="s">
        <v>50</v>
      </c>
      <c r="J1415" t="s">
        <v>22</v>
      </c>
      <c r="K1415" t="s">
        <v>17</v>
      </c>
      <c r="L1415">
        <f>F1414*G1414*(1-H1414)</f>
        <v>2499</v>
      </c>
    </row>
    <row r="1416" spans="1:12">
      <c r="A1416" t="s">
        <v>2109</v>
      </c>
      <c r="B1416" s="1">
        <v>46024</v>
      </c>
      <c r="C1416" t="s">
        <v>1530</v>
      </c>
      <c r="D1416" t="s">
        <v>26</v>
      </c>
      <c r="E1416" t="s">
        <v>40</v>
      </c>
      <c r="F1416">
        <v>1</v>
      </c>
      <c r="G1416">
        <v>799</v>
      </c>
      <c r="H1416">
        <v>0</v>
      </c>
      <c r="I1416" t="s">
        <v>15</v>
      </c>
      <c r="J1416" t="s">
        <v>51</v>
      </c>
      <c r="K1416" t="s">
        <v>17</v>
      </c>
      <c r="L1416">
        <f>F1415*G1415*(1-H1415)</f>
        <v>424.15</v>
      </c>
    </row>
    <row r="1417" spans="1:12">
      <c r="A1417" t="s">
        <v>2110</v>
      </c>
      <c r="B1417" s="1">
        <v>46256</v>
      </c>
      <c r="C1417" t="s">
        <v>2111</v>
      </c>
      <c r="D1417" t="s">
        <v>31</v>
      </c>
      <c r="E1417" t="s">
        <v>40</v>
      </c>
      <c r="F1417">
        <v>2</v>
      </c>
      <c r="G1417">
        <v>4999</v>
      </c>
      <c r="H1417">
        <v>0.1</v>
      </c>
      <c r="I1417" t="s">
        <v>47</v>
      </c>
      <c r="J1417" t="s">
        <v>51</v>
      </c>
      <c r="K1417" t="s">
        <v>17</v>
      </c>
      <c r="L1417">
        <f>F1416*G1416*(1-H1416)</f>
        <v>799</v>
      </c>
    </row>
    <row r="1418" spans="1:12">
      <c r="A1418" t="s">
        <v>2112</v>
      </c>
      <c r="B1418" s="1">
        <v>46246</v>
      </c>
      <c r="C1418" t="s">
        <v>2113</v>
      </c>
      <c r="D1418" t="s">
        <v>78</v>
      </c>
      <c r="E1418" t="s">
        <v>21</v>
      </c>
      <c r="F1418">
        <v>1</v>
      </c>
      <c r="G1418">
        <v>499</v>
      </c>
      <c r="H1418">
        <v>0.05</v>
      </c>
      <c r="I1418" t="s">
        <v>44</v>
      </c>
      <c r="J1418" t="s">
        <v>36</v>
      </c>
      <c r="K1418" t="s">
        <v>17</v>
      </c>
      <c r="L1418">
        <f>F1417*G1417*(1-H1417)</f>
        <v>8998.2000000000007</v>
      </c>
    </row>
    <row r="1419" spans="1:12">
      <c r="A1419" t="s">
        <v>2114</v>
      </c>
      <c r="B1419" s="1">
        <v>46205</v>
      </c>
      <c r="C1419" t="s">
        <v>2115</v>
      </c>
      <c r="D1419" t="s">
        <v>59</v>
      </c>
      <c r="E1419" t="s">
        <v>14</v>
      </c>
      <c r="F1419">
        <v>4</v>
      </c>
      <c r="G1419">
        <v>1299</v>
      </c>
      <c r="H1419">
        <v>0</v>
      </c>
      <c r="I1419" t="s">
        <v>32</v>
      </c>
      <c r="J1419" t="s">
        <v>51</v>
      </c>
      <c r="K1419" t="s">
        <v>17</v>
      </c>
      <c r="L1419">
        <f>F1418*G1418*(1-H1418)</f>
        <v>474.04999999999995</v>
      </c>
    </row>
    <row r="1420" spans="1:12">
      <c r="A1420" t="s">
        <v>2116</v>
      </c>
      <c r="B1420" s="1">
        <v>46207</v>
      </c>
      <c r="C1420" t="s">
        <v>820</v>
      </c>
      <c r="D1420" t="s">
        <v>71</v>
      </c>
      <c r="E1420" t="s">
        <v>40</v>
      </c>
      <c r="F1420">
        <v>3</v>
      </c>
      <c r="G1420">
        <v>7999</v>
      </c>
      <c r="H1420">
        <v>0.05</v>
      </c>
      <c r="I1420" t="s">
        <v>44</v>
      </c>
      <c r="J1420" t="s">
        <v>36</v>
      </c>
      <c r="K1420" t="s">
        <v>17</v>
      </c>
      <c r="L1420">
        <f>F1419*G1419*(1-H1419)</f>
        <v>5196</v>
      </c>
    </row>
    <row r="1421" spans="1:12">
      <c r="A1421" t="s">
        <v>2117</v>
      </c>
      <c r="B1421" s="1">
        <v>46076</v>
      </c>
      <c r="C1421" t="s">
        <v>1634</v>
      </c>
      <c r="D1421" t="s">
        <v>59</v>
      </c>
      <c r="E1421" t="s">
        <v>14</v>
      </c>
      <c r="F1421">
        <v>4</v>
      </c>
      <c r="G1421">
        <v>1499</v>
      </c>
      <c r="H1421">
        <v>0.15</v>
      </c>
      <c r="I1421" t="s">
        <v>15</v>
      </c>
      <c r="J1421" t="s">
        <v>36</v>
      </c>
      <c r="K1421" t="s">
        <v>17</v>
      </c>
      <c r="L1421">
        <f>F1420*G1420*(1-H1420)</f>
        <v>22797.149999999998</v>
      </c>
    </row>
    <row r="1422" spans="1:12">
      <c r="A1422" t="s">
        <v>2118</v>
      </c>
      <c r="B1422" s="1">
        <v>46262</v>
      </c>
      <c r="C1422" t="s">
        <v>68</v>
      </c>
      <c r="D1422" t="s">
        <v>26</v>
      </c>
      <c r="E1422" t="s">
        <v>35</v>
      </c>
      <c r="F1422">
        <v>5</v>
      </c>
      <c r="G1422">
        <v>999</v>
      </c>
      <c r="H1422">
        <v>0.05</v>
      </c>
      <c r="I1422" t="s">
        <v>32</v>
      </c>
      <c r="J1422" t="s">
        <v>36</v>
      </c>
      <c r="K1422" t="s">
        <v>37</v>
      </c>
      <c r="L1422">
        <f>F1421*G1421*(1-H1421)</f>
        <v>5096.5999999999995</v>
      </c>
    </row>
    <row r="1423" spans="1:12">
      <c r="A1423" t="s">
        <v>2119</v>
      </c>
      <c r="B1423" s="1">
        <v>46133</v>
      </c>
      <c r="C1423" t="s">
        <v>1444</v>
      </c>
      <c r="D1423" t="s">
        <v>59</v>
      </c>
      <c r="E1423" t="s">
        <v>14</v>
      </c>
      <c r="F1423">
        <v>3</v>
      </c>
      <c r="G1423">
        <v>1299</v>
      </c>
      <c r="H1423">
        <v>0</v>
      </c>
      <c r="I1423" t="s">
        <v>44</v>
      </c>
      <c r="J1423" t="s">
        <v>36</v>
      </c>
      <c r="K1423" t="s">
        <v>17</v>
      </c>
      <c r="L1423">
        <f>F1422*G1422*(1-H1422)</f>
        <v>4745.25</v>
      </c>
    </row>
    <row r="1424" spans="1:12">
      <c r="A1424" t="s">
        <v>2120</v>
      </c>
      <c r="B1424" s="1">
        <v>46064</v>
      </c>
      <c r="C1424" t="s">
        <v>889</v>
      </c>
      <c r="D1424" t="s">
        <v>59</v>
      </c>
      <c r="E1424" t="s">
        <v>35</v>
      </c>
      <c r="F1424">
        <v>2</v>
      </c>
      <c r="G1424">
        <v>4999</v>
      </c>
      <c r="H1424">
        <v>0</v>
      </c>
      <c r="I1424" t="s">
        <v>44</v>
      </c>
      <c r="J1424" t="s">
        <v>36</v>
      </c>
      <c r="K1424" t="s">
        <v>17</v>
      </c>
      <c r="L1424">
        <f>F1423*G1423*(1-H1423)</f>
        <v>3897</v>
      </c>
    </row>
    <row r="1425" spans="1:12">
      <c r="A1425" t="s">
        <v>2121</v>
      </c>
      <c r="B1425" s="1">
        <v>46171</v>
      </c>
      <c r="C1425" t="s">
        <v>759</v>
      </c>
      <c r="D1425" t="s">
        <v>71</v>
      </c>
      <c r="E1425" t="s">
        <v>40</v>
      </c>
      <c r="F1425">
        <v>3</v>
      </c>
      <c r="G1425">
        <v>1999</v>
      </c>
      <c r="H1425">
        <v>0.15</v>
      </c>
      <c r="I1425" t="s">
        <v>32</v>
      </c>
      <c r="J1425" t="s">
        <v>28</v>
      </c>
      <c r="K1425" t="s">
        <v>17</v>
      </c>
      <c r="L1425">
        <f>F1424*G1424*(1-H1424)</f>
        <v>9998</v>
      </c>
    </row>
    <row r="1426" spans="1:12">
      <c r="A1426" t="s">
        <v>2122</v>
      </c>
      <c r="B1426" s="1">
        <v>46121</v>
      </c>
      <c r="C1426" t="s">
        <v>948</v>
      </c>
      <c r="D1426" t="s">
        <v>20</v>
      </c>
      <c r="E1426" t="s">
        <v>40</v>
      </c>
      <c r="F1426">
        <v>5</v>
      </c>
      <c r="G1426">
        <v>4999</v>
      </c>
      <c r="H1426">
        <v>0.15</v>
      </c>
      <c r="I1426" t="s">
        <v>15</v>
      </c>
      <c r="J1426" t="s">
        <v>36</v>
      </c>
      <c r="K1426" t="s">
        <v>17</v>
      </c>
      <c r="L1426">
        <f>F1425*G1425*(1-H1425)</f>
        <v>5097.45</v>
      </c>
    </row>
    <row r="1427" spans="1:12">
      <c r="A1427" t="s">
        <v>2123</v>
      </c>
      <c r="B1427" s="1">
        <v>46040</v>
      </c>
      <c r="C1427" t="s">
        <v>2066</v>
      </c>
      <c r="D1427" t="s">
        <v>56</v>
      </c>
      <c r="E1427" t="s">
        <v>21</v>
      </c>
      <c r="F1427">
        <v>5</v>
      </c>
      <c r="G1427">
        <v>2499</v>
      </c>
      <c r="H1427">
        <v>0</v>
      </c>
      <c r="I1427" t="s">
        <v>50</v>
      </c>
      <c r="J1427" t="s">
        <v>16</v>
      </c>
      <c r="K1427" t="s">
        <v>17</v>
      </c>
      <c r="L1427">
        <f>F1426*G1426*(1-H1426)</f>
        <v>21245.75</v>
      </c>
    </row>
    <row r="1428" spans="1:12">
      <c r="A1428" t="s">
        <v>2124</v>
      </c>
      <c r="B1428" s="1">
        <v>46156</v>
      </c>
      <c r="C1428" t="s">
        <v>1318</v>
      </c>
      <c r="D1428" t="s">
        <v>43</v>
      </c>
      <c r="E1428" t="s">
        <v>21</v>
      </c>
      <c r="F1428">
        <v>2</v>
      </c>
      <c r="G1428">
        <v>1499</v>
      </c>
      <c r="H1428">
        <v>0</v>
      </c>
      <c r="I1428" t="s">
        <v>47</v>
      </c>
      <c r="J1428" t="s">
        <v>16</v>
      </c>
      <c r="K1428" t="s">
        <v>17</v>
      </c>
      <c r="L1428">
        <f>F1427*G1427*(1-H1427)</f>
        <v>12495</v>
      </c>
    </row>
    <row r="1429" spans="1:12">
      <c r="A1429" t="s">
        <v>2125</v>
      </c>
      <c r="B1429" s="1">
        <v>46211</v>
      </c>
      <c r="C1429" t="s">
        <v>275</v>
      </c>
      <c r="D1429" t="s">
        <v>43</v>
      </c>
      <c r="E1429" t="s">
        <v>27</v>
      </c>
      <c r="F1429">
        <v>2</v>
      </c>
      <c r="G1429">
        <v>1499</v>
      </c>
      <c r="H1429">
        <v>0</v>
      </c>
      <c r="I1429" t="s">
        <v>50</v>
      </c>
      <c r="J1429" t="s">
        <v>36</v>
      </c>
      <c r="K1429" t="s">
        <v>17</v>
      </c>
      <c r="L1429">
        <f>F1428*G1428*(1-H1428)</f>
        <v>2998</v>
      </c>
    </row>
    <row r="1430" spans="1:12">
      <c r="A1430" t="s">
        <v>2126</v>
      </c>
      <c r="B1430" s="1">
        <v>46227</v>
      </c>
      <c r="C1430" t="s">
        <v>1026</v>
      </c>
      <c r="D1430" t="s">
        <v>56</v>
      </c>
      <c r="E1430" t="s">
        <v>40</v>
      </c>
      <c r="F1430">
        <v>4</v>
      </c>
      <c r="G1430">
        <v>7999</v>
      </c>
      <c r="H1430">
        <v>0.05</v>
      </c>
      <c r="I1430" t="s">
        <v>50</v>
      </c>
      <c r="J1430" t="s">
        <v>16</v>
      </c>
      <c r="K1430" t="s">
        <v>17</v>
      </c>
      <c r="L1430">
        <f>F1429*G1429*(1-H1429)</f>
        <v>2998</v>
      </c>
    </row>
    <row r="1431" spans="1:12">
      <c r="A1431" t="s">
        <v>2127</v>
      </c>
      <c r="B1431" s="1">
        <v>46229</v>
      </c>
      <c r="C1431" t="s">
        <v>694</v>
      </c>
      <c r="D1431" t="s">
        <v>43</v>
      </c>
      <c r="E1431" t="s">
        <v>35</v>
      </c>
      <c r="F1431">
        <v>1</v>
      </c>
      <c r="G1431">
        <v>599</v>
      </c>
      <c r="H1431">
        <v>0.15</v>
      </c>
      <c r="I1431" t="s">
        <v>15</v>
      </c>
      <c r="J1431" t="s">
        <v>28</v>
      </c>
      <c r="K1431" t="s">
        <v>37</v>
      </c>
      <c r="L1431">
        <f>F1430*G1430*(1-H1430)</f>
        <v>30396.199999999997</v>
      </c>
    </row>
    <row r="1432" spans="1:12">
      <c r="A1432" t="s">
        <v>2128</v>
      </c>
      <c r="B1432" s="1">
        <v>46277</v>
      </c>
      <c r="C1432" t="s">
        <v>166</v>
      </c>
      <c r="D1432" t="s">
        <v>20</v>
      </c>
      <c r="E1432" t="s">
        <v>27</v>
      </c>
      <c r="F1432">
        <v>3</v>
      </c>
      <c r="G1432">
        <v>799</v>
      </c>
      <c r="H1432">
        <v>0.05</v>
      </c>
      <c r="I1432" t="s">
        <v>47</v>
      </c>
      <c r="J1432" t="s">
        <v>51</v>
      </c>
      <c r="K1432" t="s">
        <v>17</v>
      </c>
      <c r="L1432">
        <f>F1431*G1431*(1-H1431)</f>
        <v>509.15</v>
      </c>
    </row>
    <row r="1433" spans="1:12">
      <c r="A1433" t="s">
        <v>2129</v>
      </c>
      <c r="B1433" s="1">
        <v>46196</v>
      </c>
      <c r="C1433" t="s">
        <v>2130</v>
      </c>
      <c r="D1433" t="s">
        <v>71</v>
      </c>
      <c r="E1433" t="s">
        <v>40</v>
      </c>
      <c r="F1433">
        <v>1</v>
      </c>
      <c r="G1433">
        <v>2499</v>
      </c>
      <c r="H1433">
        <v>0</v>
      </c>
      <c r="I1433" t="s">
        <v>47</v>
      </c>
      <c r="J1433" t="s">
        <v>16</v>
      </c>
      <c r="K1433" t="s">
        <v>17</v>
      </c>
      <c r="L1433">
        <f>F1432*G1432*(1-H1432)</f>
        <v>2277.15</v>
      </c>
    </row>
    <row r="1434" spans="1:12">
      <c r="A1434" t="s">
        <v>2131</v>
      </c>
      <c r="B1434" s="1">
        <v>46092</v>
      </c>
      <c r="C1434" t="s">
        <v>2034</v>
      </c>
      <c r="D1434" t="s">
        <v>26</v>
      </c>
      <c r="E1434" t="s">
        <v>14</v>
      </c>
      <c r="F1434">
        <v>2</v>
      </c>
      <c r="G1434">
        <v>7999</v>
      </c>
      <c r="H1434">
        <v>0.1</v>
      </c>
      <c r="I1434" t="s">
        <v>50</v>
      </c>
      <c r="J1434" t="s">
        <v>16</v>
      </c>
      <c r="K1434" t="s">
        <v>23</v>
      </c>
      <c r="L1434">
        <f>F1433*G1433*(1-H1433)</f>
        <v>2499</v>
      </c>
    </row>
    <row r="1435" spans="1:12">
      <c r="A1435" t="s">
        <v>2132</v>
      </c>
      <c r="B1435" s="1">
        <v>46075</v>
      </c>
      <c r="C1435" t="s">
        <v>1983</v>
      </c>
      <c r="D1435" t="s">
        <v>59</v>
      </c>
      <c r="E1435" t="s">
        <v>14</v>
      </c>
      <c r="F1435">
        <v>4</v>
      </c>
      <c r="G1435">
        <v>1499</v>
      </c>
      <c r="H1435">
        <v>0.1</v>
      </c>
      <c r="I1435" t="s">
        <v>44</v>
      </c>
      <c r="J1435" t="s">
        <v>22</v>
      </c>
      <c r="K1435" t="s">
        <v>17</v>
      </c>
      <c r="L1435">
        <f>F1434*G1434*(1-H1434)</f>
        <v>14398.2</v>
      </c>
    </row>
    <row r="1436" spans="1:12">
      <c r="A1436" t="s">
        <v>2133</v>
      </c>
      <c r="B1436" s="1">
        <v>46109</v>
      </c>
      <c r="C1436" t="s">
        <v>1621</v>
      </c>
      <c r="D1436" t="s">
        <v>78</v>
      </c>
      <c r="E1436" t="s">
        <v>35</v>
      </c>
      <c r="F1436">
        <v>1</v>
      </c>
      <c r="G1436">
        <v>999</v>
      </c>
      <c r="H1436">
        <v>0</v>
      </c>
      <c r="I1436" t="s">
        <v>32</v>
      </c>
      <c r="J1436" t="s">
        <v>36</v>
      </c>
      <c r="K1436" t="s">
        <v>17</v>
      </c>
      <c r="L1436">
        <f>F1435*G1435*(1-H1435)</f>
        <v>5396.4000000000005</v>
      </c>
    </row>
    <row r="1437" spans="1:12">
      <c r="A1437" t="s">
        <v>2134</v>
      </c>
      <c r="B1437" s="1">
        <v>46044</v>
      </c>
      <c r="C1437" t="s">
        <v>464</v>
      </c>
      <c r="D1437" t="s">
        <v>20</v>
      </c>
      <c r="E1437" t="s">
        <v>40</v>
      </c>
      <c r="F1437">
        <v>1</v>
      </c>
      <c r="G1437">
        <v>799</v>
      </c>
      <c r="H1437">
        <v>0</v>
      </c>
      <c r="I1437" t="s">
        <v>50</v>
      </c>
      <c r="J1437" t="s">
        <v>28</v>
      </c>
      <c r="K1437" t="s">
        <v>17</v>
      </c>
      <c r="L1437">
        <f>F1436*G1436*(1-H1436)</f>
        <v>999</v>
      </c>
    </row>
    <row r="1438" spans="1:12">
      <c r="A1438" t="s">
        <v>2135</v>
      </c>
      <c r="B1438" s="1">
        <v>46294</v>
      </c>
      <c r="C1438" t="s">
        <v>956</v>
      </c>
      <c r="D1438" t="s">
        <v>43</v>
      </c>
      <c r="E1438" t="s">
        <v>27</v>
      </c>
      <c r="F1438">
        <v>4</v>
      </c>
      <c r="G1438">
        <v>599</v>
      </c>
      <c r="H1438">
        <v>0</v>
      </c>
      <c r="I1438" t="s">
        <v>15</v>
      </c>
      <c r="J1438" t="s">
        <v>22</v>
      </c>
      <c r="K1438" t="s">
        <v>17</v>
      </c>
      <c r="L1438">
        <f>F1437*G1437*(1-H1437)</f>
        <v>799</v>
      </c>
    </row>
    <row r="1439" spans="1:12">
      <c r="A1439" t="s">
        <v>2136</v>
      </c>
      <c r="B1439" s="1">
        <v>46292</v>
      </c>
      <c r="C1439" t="s">
        <v>660</v>
      </c>
      <c r="D1439" t="s">
        <v>62</v>
      </c>
      <c r="E1439" t="s">
        <v>14</v>
      </c>
      <c r="F1439">
        <v>1</v>
      </c>
      <c r="G1439">
        <v>1999</v>
      </c>
      <c r="H1439">
        <v>0.15</v>
      </c>
      <c r="I1439" t="s">
        <v>44</v>
      </c>
      <c r="J1439" t="s">
        <v>22</v>
      </c>
      <c r="K1439" t="s">
        <v>17</v>
      </c>
      <c r="L1439">
        <f>F1438*G1438*(1-H1438)</f>
        <v>2396</v>
      </c>
    </row>
    <row r="1440" spans="1:12">
      <c r="A1440" t="s">
        <v>2137</v>
      </c>
      <c r="B1440" s="1">
        <v>46248</v>
      </c>
      <c r="C1440" t="s">
        <v>763</v>
      </c>
      <c r="D1440" t="s">
        <v>62</v>
      </c>
      <c r="E1440" t="s">
        <v>27</v>
      </c>
      <c r="F1440">
        <v>3</v>
      </c>
      <c r="G1440">
        <v>1999</v>
      </c>
      <c r="H1440">
        <v>0</v>
      </c>
      <c r="I1440" t="s">
        <v>15</v>
      </c>
      <c r="J1440" t="s">
        <v>16</v>
      </c>
      <c r="K1440" t="s">
        <v>17</v>
      </c>
      <c r="L1440">
        <f>F1439*G1439*(1-H1439)</f>
        <v>1699.1499999999999</v>
      </c>
    </row>
    <row r="1441" spans="1:12">
      <c r="A1441" t="s">
        <v>2138</v>
      </c>
      <c r="B1441" s="1">
        <v>46145</v>
      </c>
      <c r="C1441" t="s">
        <v>515</v>
      </c>
      <c r="D1441" t="s">
        <v>20</v>
      </c>
      <c r="E1441" t="s">
        <v>35</v>
      </c>
      <c r="F1441">
        <v>4</v>
      </c>
      <c r="G1441">
        <v>7999</v>
      </c>
      <c r="H1441">
        <v>0.1</v>
      </c>
      <c r="I1441" t="s">
        <v>44</v>
      </c>
      <c r="J1441" t="s">
        <v>36</v>
      </c>
      <c r="K1441" t="s">
        <v>17</v>
      </c>
      <c r="L1441">
        <f>F1440*G1440*(1-H1440)</f>
        <v>5997</v>
      </c>
    </row>
    <row r="1442" spans="1:12">
      <c r="A1442" t="s">
        <v>2139</v>
      </c>
      <c r="B1442" s="1">
        <v>46117</v>
      </c>
      <c r="C1442" t="s">
        <v>221</v>
      </c>
      <c r="D1442" t="s">
        <v>59</v>
      </c>
      <c r="E1442" t="s">
        <v>40</v>
      </c>
      <c r="F1442">
        <v>5</v>
      </c>
      <c r="G1442">
        <v>1499</v>
      </c>
      <c r="H1442">
        <v>0</v>
      </c>
      <c r="I1442" t="s">
        <v>44</v>
      </c>
      <c r="J1442" t="s">
        <v>51</v>
      </c>
      <c r="K1442" t="s">
        <v>23</v>
      </c>
      <c r="L1442">
        <f>F1441*G1441*(1-H1441)</f>
        <v>28796.400000000001</v>
      </c>
    </row>
    <row r="1443" spans="1:12">
      <c r="A1443" t="s">
        <v>2140</v>
      </c>
      <c r="B1443" s="1">
        <v>46101</v>
      </c>
      <c r="C1443" t="s">
        <v>1353</v>
      </c>
      <c r="D1443" t="s">
        <v>62</v>
      </c>
      <c r="E1443" t="s">
        <v>35</v>
      </c>
      <c r="F1443">
        <v>4</v>
      </c>
      <c r="G1443">
        <v>499</v>
      </c>
      <c r="H1443">
        <v>0.05</v>
      </c>
      <c r="I1443" t="s">
        <v>47</v>
      </c>
      <c r="J1443" t="s">
        <v>51</v>
      </c>
      <c r="K1443" t="s">
        <v>37</v>
      </c>
      <c r="L1443">
        <f>F1442*G1442*(1-H1442)</f>
        <v>7495</v>
      </c>
    </row>
    <row r="1444" spans="1:12">
      <c r="A1444" t="s">
        <v>2141</v>
      </c>
      <c r="B1444" s="1">
        <v>46064</v>
      </c>
      <c r="C1444" t="s">
        <v>618</v>
      </c>
      <c r="D1444" t="s">
        <v>20</v>
      </c>
      <c r="E1444" t="s">
        <v>40</v>
      </c>
      <c r="F1444">
        <v>1</v>
      </c>
      <c r="G1444">
        <v>599</v>
      </c>
      <c r="H1444">
        <v>0.1</v>
      </c>
      <c r="I1444" t="s">
        <v>44</v>
      </c>
      <c r="J1444" t="s">
        <v>28</v>
      </c>
      <c r="K1444" t="s">
        <v>23</v>
      </c>
      <c r="L1444">
        <f>F1443*G1443*(1-H1443)</f>
        <v>1896.1999999999998</v>
      </c>
    </row>
    <row r="1445" spans="1:12">
      <c r="A1445" t="s">
        <v>2142</v>
      </c>
      <c r="B1445" s="1">
        <v>46134</v>
      </c>
      <c r="C1445" t="s">
        <v>699</v>
      </c>
      <c r="D1445" t="s">
        <v>71</v>
      </c>
      <c r="E1445" t="s">
        <v>27</v>
      </c>
      <c r="F1445">
        <v>2</v>
      </c>
      <c r="G1445">
        <v>2499</v>
      </c>
      <c r="H1445">
        <v>0.15</v>
      </c>
      <c r="I1445" t="s">
        <v>50</v>
      </c>
      <c r="J1445" t="s">
        <v>16</v>
      </c>
      <c r="K1445" t="s">
        <v>17</v>
      </c>
      <c r="L1445">
        <f>F1444*G1444*(1-H1444)</f>
        <v>539.1</v>
      </c>
    </row>
    <row r="1446" spans="1:12">
      <c r="A1446" t="s">
        <v>2143</v>
      </c>
      <c r="B1446" s="1">
        <v>46054</v>
      </c>
      <c r="C1446" t="s">
        <v>417</v>
      </c>
      <c r="D1446" t="s">
        <v>78</v>
      </c>
      <c r="E1446" t="s">
        <v>27</v>
      </c>
      <c r="F1446">
        <v>5</v>
      </c>
      <c r="G1446">
        <v>4999</v>
      </c>
      <c r="H1446">
        <v>0</v>
      </c>
      <c r="I1446" t="s">
        <v>32</v>
      </c>
      <c r="J1446" t="s">
        <v>28</v>
      </c>
      <c r="K1446" t="s">
        <v>17</v>
      </c>
      <c r="L1446">
        <f>F1445*G1445*(1-H1445)</f>
        <v>4248.3</v>
      </c>
    </row>
    <row r="1447" spans="1:12">
      <c r="A1447" t="s">
        <v>2144</v>
      </c>
      <c r="B1447" s="1">
        <v>46189</v>
      </c>
      <c r="C1447" t="s">
        <v>182</v>
      </c>
      <c r="D1447" t="s">
        <v>13</v>
      </c>
      <c r="E1447" t="s">
        <v>27</v>
      </c>
      <c r="F1447">
        <v>3</v>
      </c>
      <c r="G1447">
        <v>1999</v>
      </c>
      <c r="H1447">
        <v>0.1</v>
      </c>
      <c r="I1447" t="s">
        <v>47</v>
      </c>
      <c r="J1447" t="s">
        <v>16</v>
      </c>
      <c r="K1447" t="s">
        <v>37</v>
      </c>
      <c r="L1447">
        <f>F1446*G1446*(1-H1446)</f>
        <v>24995</v>
      </c>
    </row>
    <row r="1448" spans="1:12">
      <c r="A1448" t="s">
        <v>2145</v>
      </c>
      <c r="B1448" s="1">
        <v>46268</v>
      </c>
      <c r="C1448" t="s">
        <v>1013</v>
      </c>
      <c r="D1448" t="s">
        <v>43</v>
      </c>
      <c r="E1448" t="s">
        <v>21</v>
      </c>
      <c r="F1448">
        <v>5</v>
      </c>
      <c r="G1448">
        <v>499</v>
      </c>
      <c r="H1448">
        <v>0.1</v>
      </c>
      <c r="I1448" t="s">
        <v>44</v>
      </c>
      <c r="J1448" t="s">
        <v>28</v>
      </c>
      <c r="K1448" t="s">
        <v>17</v>
      </c>
      <c r="L1448">
        <f>F1447*G1447*(1-H1447)</f>
        <v>5397.3</v>
      </c>
    </row>
    <row r="1449" spans="1:12">
      <c r="A1449" t="s">
        <v>2146</v>
      </c>
      <c r="B1449" s="1">
        <v>46289</v>
      </c>
      <c r="C1449" t="s">
        <v>1112</v>
      </c>
      <c r="D1449" t="s">
        <v>56</v>
      </c>
      <c r="E1449" t="s">
        <v>21</v>
      </c>
      <c r="F1449">
        <v>3</v>
      </c>
      <c r="G1449">
        <v>1299</v>
      </c>
      <c r="H1449">
        <v>0.05</v>
      </c>
      <c r="I1449" t="s">
        <v>32</v>
      </c>
      <c r="J1449" t="s">
        <v>16</v>
      </c>
      <c r="K1449" t="s">
        <v>17</v>
      </c>
      <c r="L1449">
        <f>F1448*G1448*(1-H1448)</f>
        <v>2245.5</v>
      </c>
    </row>
    <row r="1450" spans="1:12">
      <c r="A1450" t="s">
        <v>2147</v>
      </c>
      <c r="B1450" s="1">
        <v>46096</v>
      </c>
      <c r="C1450" t="s">
        <v>2148</v>
      </c>
      <c r="D1450" t="s">
        <v>31</v>
      </c>
      <c r="E1450" t="s">
        <v>27</v>
      </c>
      <c r="F1450">
        <v>5</v>
      </c>
      <c r="G1450">
        <v>999</v>
      </c>
      <c r="H1450">
        <v>0.1</v>
      </c>
      <c r="I1450" t="s">
        <v>50</v>
      </c>
      <c r="J1450" t="s">
        <v>51</v>
      </c>
      <c r="K1450" t="s">
        <v>17</v>
      </c>
      <c r="L1450">
        <f>F1449*G1449*(1-H1449)</f>
        <v>3702.1499999999996</v>
      </c>
    </row>
    <row r="1451" spans="1:12">
      <c r="A1451" t="s">
        <v>2149</v>
      </c>
      <c r="B1451" s="1">
        <v>46224</v>
      </c>
      <c r="C1451" t="s">
        <v>552</v>
      </c>
      <c r="D1451" t="s">
        <v>71</v>
      </c>
      <c r="E1451" t="s">
        <v>14</v>
      </c>
      <c r="F1451">
        <v>5</v>
      </c>
      <c r="G1451">
        <v>599</v>
      </c>
      <c r="H1451">
        <v>0.15</v>
      </c>
      <c r="I1451" t="s">
        <v>32</v>
      </c>
      <c r="J1451" t="s">
        <v>22</v>
      </c>
      <c r="K1451" t="s">
        <v>17</v>
      </c>
      <c r="L1451">
        <f>F1450*G1450*(1-H1450)</f>
        <v>4495.5</v>
      </c>
    </row>
    <row r="1452" spans="1:12">
      <c r="A1452" t="s">
        <v>2150</v>
      </c>
      <c r="B1452" s="1">
        <v>46136</v>
      </c>
      <c r="C1452" t="s">
        <v>34</v>
      </c>
      <c r="D1452" t="s">
        <v>26</v>
      </c>
      <c r="E1452" t="s">
        <v>14</v>
      </c>
      <c r="F1452">
        <v>5</v>
      </c>
      <c r="G1452">
        <v>1999</v>
      </c>
      <c r="H1452">
        <v>0.05</v>
      </c>
      <c r="I1452" t="s">
        <v>32</v>
      </c>
      <c r="J1452" t="s">
        <v>28</v>
      </c>
      <c r="K1452" t="s">
        <v>17</v>
      </c>
      <c r="L1452">
        <f>F1451*G1451*(1-H1451)</f>
        <v>2545.75</v>
      </c>
    </row>
    <row r="1453" spans="1:12">
      <c r="A1453" t="s">
        <v>2151</v>
      </c>
      <c r="B1453" s="1">
        <v>46087</v>
      </c>
      <c r="C1453" t="s">
        <v>1259</v>
      </c>
      <c r="D1453" t="s">
        <v>62</v>
      </c>
      <c r="E1453" t="s">
        <v>40</v>
      </c>
      <c r="F1453">
        <v>1</v>
      </c>
      <c r="G1453">
        <v>599</v>
      </c>
      <c r="H1453">
        <v>0.1</v>
      </c>
      <c r="I1453" t="s">
        <v>15</v>
      </c>
      <c r="J1453" t="s">
        <v>51</v>
      </c>
      <c r="K1453" t="s">
        <v>17</v>
      </c>
      <c r="L1453">
        <f>F1452*G1452*(1-H1452)</f>
        <v>9495.25</v>
      </c>
    </row>
    <row r="1454" spans="1:12">
      <c r="A1454" t="s">
        <v>2152</v>
      </c>
      <c r="B1454" s="1">
        <v>46116</v>
      </c>
      <c r="C1454" t="s">
        <v>426</v>
      </c>
      <c r="D1454" t="s">
        <v>26</v>
      </c>
      <c r="E1454" t="s">
        <v>40</v>
      </c>
      <c r="F1454">
        <v>3</v>
      </c>
      <c r="G1454">
        <v>7999</v>
      </c>
      <c r="H1454">
        <v>0</v>
      </c>
      <c r="I1454" t="s">
        <v>32</v>
      </c>
      <c r="J1454" t="s">
        <v>28</v>
      </c>
      <c r="K1454" t="s">
        <v>37</v>
      </c>
      <c r="L1454">
        <f>F1453*G1453*(1-H1453)</f>
        <v>539.1</v>
      </c>
    </row>
    <row r="1455" spans="1:12">
      <c r="A1455" t="s">
        <v>2153</v>
      </c>
      <c r="B1455" s="1">
        <v>46251</v>
      </c>
      <c r="C1455" t="s">
        <v>1590</v>
      </c>
      <c r="D1455" t="s">
        <v>78</v>
      </c>
      <c r="E1455" t="s">
        <v>40</v>
      </c>
      <c r="F1455">
        <v>4</v>
      </c>
      <c r="G1455">
        <v>2499</v>
      </c>
      <c r="H1455">
        <v>0.15</v>
      </c>
      <c r="I1455" t="s">
        <v>15</v>
      </c>
      <c r="J1455" t="s">
        <v>28</v>
      </c>
      <c r="K1455" t="s">
        <v>17</v>
      </c>
      <c r="L1455">
        <f>F1454*G1454*(1-H1454)</f>
        <v>23997</v>
      </c>
    </row>
    <row r="1456" spans="1:12">
      <c r="A1456" t="s">
        <v>2154</v>
      </c>
      <c r="B1456" s="1">
        <v>46058</v>
      </c>
      <c r="C1456" t="s">
        <v>369</v>
      </c>
      <c r="D1456" t="s">
        <v>78</v>
      </c>
      <c r="E1456" t="s">
        <v>27</v>
      </c>
      <c r="F1456">
        <v>4</v>
      </c>
      <c r="G1456">
        <v>7999</v>
      </c>
      <c r="H1456">
        <v>0.15</v>
      </c>
      <c r="I1456" t="s">
        <v>47</v>
      </c>
      <c r="J1456" t="s">
        <v>51</v>
      </c>
      <c r="K1456" t="s">
        <v>37</v>
      </c>
      <c r="L1456">
        <f>F1455*G1455*(1-H1455)</f>
        <v>8496.6</v>
      </c>
    </row>
    <row r="1457" spans="1:12">
      <c r="A1457" t="s">
        <v>2155</v>
      </c>
      <c r="B1457" s="1">
        <v>46078</v>
      </c>
      <c r="C1457" t="s">
        <v>958</v>
      </c>
      <c r="D1457" t="s">
        <v>20</v>
      </c>
      <c r="E1457" t="s">
        <v>14</v>
      </c>
      <c r="F1457">
        <v>3</v>
      </c>
      <c r="G1457">
        <v>2499</v>
      </c>
      <c r="H1457">
        <v>0.1</v>
      </c>
      <c r="I1457" t="s">
        <v>32</v>
      </c>
      <c r="J1457" t="s">
        <v>51</v>
      </c>
      <c r="K1457" t="s">
        <v>23</v>
      </c>
      <c r="L1457">
        <f>F1456*G1456*(1-H1456)</f>
        <v>27196.6</v>
      </c>
    </row>
    <row r="1458" spans="1:12">
      <c r="A1458" t="s">
        <v>2156</v>
      </c>
      <c r="B1458" s="1">
        <v>46165</v>
      </c>
      <c r="C1458" t="s">
        <v>950</v>
      </c>
      <c r="D1458" t="s">
        <v>78</v>
      </c>
      <c r="E1458" t="s">
        <v>40</v>
      </c>
      <c r="F1458">
        <v>5</v>
      </c>
      <c r="G1458">
        <v>1499</v>
      </c>
      <c r="H1458">
        <v>0</v>
      </c>
      <c r="I1458" t="s">
        <v>15</v>
      </c>
      <c r="J1458" t="s">
        <v>16</v>
      </c>
      <c r="K1458" t="s">
        <v>17</v>
      </c>
      <c r="L1458">
        <f>F1457*G1457*(1-H1457)</f>
        <v>6747.3</v>
      </c>
    </row>
    <row r="1459" spans="1:12">
      <c r="A1459" t="s">
        <v>2157</v>
      </c>
      <c r="B1459" s="1">
        <v>46253</v>
      </c>
      <c r="C1459" t="s">
        <v>778</v>
      </c>
      <c r="D1459" t="s">
        <v>43</v>
      </c>
      <c r="E1459" t="s">
        <v>14</v>
      </c>
      <c r="F1459">
        <v>3</v>
      </c>
      <c r="G1459">
        <v>1299</v>
      </c>
      <c r="H1459">
        <v>0.1</v>
      </c>
      <c r="I1459" t="s">
        <v>15</v>
      </c>
      <c r="J1459" t="s">
        <v>22</v>
      </c>
      <c r="K1459" t="s">
        <v>17</v>
      </c>
      <c r="L1459">
        <f>F1458*G1458*(1-H1458)</f>
        <v>7495</v>
      </c>
    </row>
    <row r="1460" spans="1:12">
      <c r="A1460" t="s">
        <v>2158</v>
      </c>
      <c r="B1460" s="1">
        <v>46293</v>
      </c>
      <c r="C1460" t="s">
        <v>929</v>
      </c>
      <c r="D1460" t="s">
        <v>62</v>
      </c>
      <c r="E1460" t="s">
        <v>27</v>
      </c>
      <c r="F1460">
        <v>4</v>
      </c>
      <c r="G1460">
        <v>799</v>
      </c>
      <c r="H1460">
        <v>0.15</v>
      </c>
      <c r="I1460" t="s">
        <v>32</v>
      </c>
      <c r="J1460" t="s">
        <v>16</v>
      </c>
      <c r="K1460" t="s">
        <v>17</v>
      </c>
      <c r="L1460">
        <f>F1459*G1459*(1-H1459)</f>
        <v>3507.3</v>
      </c>
    </row>
    <row r="1461" spans="1:12">
      <c r="A1461" t="s">
        <v>2159</v>
      </c>
      <c r="B1461" s="1">
        <v>46063</v>
      </c>
      <c r="C1461" t="s">
        <v>919</v>
      </c>
      <c r="D1461" t="s">
        <v>78</v>
      </c>
      <c r="E1461" t="s">
        <v>21</v>
      </c>
      <c r="F1461">
        <v>2</v>
      </c>
      <c r="G1461">
        <v>999</v>
      </c>
      <c r="H1461">
        <v>0</v>
      </c>
      <c r="I1461" t="s">
        <v>32</v>
      </c>
      <c r="J1461" t="s">
        <v>51</v>
      </c>
      <c r="K1461" t="s">
        <v>37</v>
      </c>
      <c r="L1461">
        <f>F1460*G1460*(1-H1460)</f>
        <v>2716.6</v>
      </c>
    </row>
    <row r="1462" spans="1:12">
      <c r="A1462" t="s">
        <v>2160</v>
      </c>
      <c r="B1462" s="1">
        <v>46155</v>
      </c>
      <c r="C1462" t="s">
        <v>483</v>
      </c>
      <c r="D1462" t="s">
        <v>78</v>
      </c>
      <c r="E1462" t="s">
        <v>35</v>
      </c>
      <c r="F1462">
        <v>3</v>
      </c>
      <c r="G1462">
        <v>799</v>
      </c>
      <c r="H1462">
        <v>0</v>
      </c>
      <c r="I1462" t="s">
        <v>15</v>
      </c>
      <c r="J1462" t="s">
        <v>16</v>
      </c>
      <c r="K1462" t="s">
        <v>17</v>
      </c>
      <c r="L1462">
        <f>F1461*G1461*(1-H1461)</f>
        <v>1998</v>
      </c>
    </row>
    <row r="1463" spans="1:12">
      <c r="A1463" t="s">
        <v>2161</v>
      </c>
      <c r="B1463" s="1">
        <v>46256</v>
      </c>
      <c r="C1463" t="s">
        <v>1486</v>
      </c>
      <c r="D1463" t="s">
        <v>26</v>
      </c>
      <c r="E1463" t="s">
        <v>27</v>
      </c>
      <c r="F1463">
        <v>1</v>
      </c>
      <c r="G1463">
        <v>999</v>
      </c>
      <c r="H1463">
        <v>0</v>
      </c>
      <c r="I1463" t="s">
        <v>44</v>
      </c>
      <c r="J1463" t="s">
        <v>36</v>
      </c>
      <c r="K1463" t="s">
        <v>23</v>
      </c>
      <c r="L1463">
        <f>F1462*G1462*(1-H1462)</f>
        <v>2397</v>
      </c>
    </row>
    <row r="1464" spans="1:12">
      <c r="A1464" t="s">
        <v>2162</v>
      </c>
      <c r="B1464" s="1">
        <v>46075</v>
      </c>
      <c r="C1464" t="s">
        <v>1250</v>
      </c>
      <c r="D1464" t="s">
        <v>59</v>
      </c>
      <c r="E1464" t="s">
        <v>27</v>
      </c>
      <c r="F1464">
        <v>1</v>
      </c>
      <c r="G1464">
        <v>1299</v>
      </c>
      <c r="H1464">
        <v>0.05</v>
      </c>
      <c r="I1464" t="s">
        <v>44</v>
      </c>
      <c r="J1464" t="s">
        <v>16</v>
      </c>
      <c r="K1464" t="s">
        <v>23</v>
      </c>
      <c r="L1464">
        <f>F1463*G1463*(1-H1463)</f>
        <v>999</v>
      </c>
    </row>
    <row r="1465" spans="1:12">
      <c r="A1465" t="s">
        <v>2163</v>
      </c>
      <c r="B1465" s="1">
        <v>46121</v>
      </c>
      <c r="C1465" t="s">
        <v>325</v>
      </c>
      <c r="D1465" t="s">
        <v>62</v>
      </c>
      <c r="E1465" t="s">
        <v>40</v>
      </c>
      <c r="F1465">
        <v>5</v>
      </c>
      <c r="G1465">
        <v>4999</v>
      </c>
      <c r="H1465">
        <v>0.05</v>
      </c>
      <c r="I1465" t="s">
        <v>15</v>
      </c>
      <c r="J1465" t="s">
        <v>51</v>
      </c>
      <c r="K1465" t="s">
        <v>23</v>
      </c>
      <c r="L1465">
        <f>F1464*G1464*(1-H1464)</f>
        <v>1234.05</v>
      </c>
    </row>
    <row r="1466" spans="1:12">
      <c r="A1466" t="s">
        <v>2164</v>
      </c>
      <c r="B1466" s="1">
        <v>46223</v>
      </c>
      <c r="C1466" t="s">
        <v>944</v>
      </c>
      <c r="D1466" t="s">
        <v>56</v>
      </c>
      <c r="E1466" t="s">
        <v>27</v>
      </c>
      <c r="F1466">
        <v>2</v>
      </c>
      <c r="G1466">
        <v>799</v>
      </c>
      <c r="H1466">
        <v>0.15</v>
      </c>
      <c r="I1466" t="s">
        <v>44</v>
      </c>
      <c r="J1466" t="s">
        <v>22</v>
      </c>
      <c r="K1466" t="s">
        <v>23</v>
      </c>
      <c r="L1466">
        <f>F1465*G1465*(1-H1465)</f>
        <v>23745.25</v>
      </c>
    </row>
    <row r="1467" spans="1:12">
      <c r="A1467" t="s">
        <v>2165</v>
      </c>
      <c r="B1467" s="1">
        <v>46290</v>
      </c>
      <c r="C1467" t="s">
        <v>1593</v>
      </c>
      <c r="D1467" t="s">
        <v>71</v>
      </c>
      <c r="E1467" t="s">
        <v>35</v>
      </c>
      <c r="F1467">
        <v>5</v>
      </c>
      <c r="G1467">
        <v>499</v>
      </c>
      <c r="H1467">
        <v>0</v>
      </c>
      <c r="I1467" t="s">
        <v>47</v>
      </c>
      <c r="J1467" t="s">
        <v>16</v>
      </c>
      <c r="K1467" t="s">
        <v>23</v>
      </c>
      <c r="L1467">
        <f>F1466*G1466*(1-H1466)</f>
        <v>1358.3</v>
      </c>
    </row>
    <row r="1468" spans="1:12">
      <c r="A1468" t="s">
        <v>2166</v>
      </c>
      <c r="B1468" s="1">
        <v>46051</v>
      </c>
      <c r="C1468" t="s">
        <v>2167</v>
      </c>
      <c r="D1468" t="s">
        <v>13</v>
      </c>
      <c r="E1468" t="s">
        <v>40</v>
      </c>
      <c r="F1468">
        <v>3</v>
      </c>
      <c r="G1468">
        <v>999</v>
      </c>
      <c r="H1468">
        <v>0.1</v>
      </c>
      <c r="I1468" t="s">
        <v>32</v>
      </c>
      <c r="J1468" t="s">
        <v>16</v>
      </c>
      <c r="K1468" t="s">
        <v>17</v>
      </c>
      <c r="L1468">
        <f>F1467*G1467*(1-H1467)</f>
        <v>2495</v>
      </c>
    </row>
    <row r="1469" spans="1:12">
      <c r="A1469" t="s">
        <v>2168</v>
      </c>
      <c r="B1469" s="1">
        <v>46267</v>
      </c>
      <c r="C1469" t="s">
        <v>1649</v>
      </c>
      <c r="D1469" t="s">
        <v>31</v>
      </c>
      <c r="E1469" t="s">
        <v>21</v>
      </c>
      <c r="F1469">
        <v>3</v>
      </c>
      <c r="G1469">
        <v>7999</v>
      </c>
      <c r="H1469">
        <v>0.05</v>
      </c>
      <c r="I1469" t="s">
        <v>15</v>
      </c>
      <c r="J1469" t="s">
        <v>16</v>
      </c>
      <c r="K1469" t="s">
        <v>37</v>
      </c>
      <c r="L1469">
        <f>F1468*G1468*(1-H1468)</f>
        <v>2697.3</v>
      </c>
    </row>
    <row r="1470" spans="1:12">
      <c r="A1470" t="s">
        <v>2169</v>
      </c>
      <c r="B1470" s="1">
        <v>46154</v>
      </c>
      <c r="C1470" t="s">
        <v>150</v>
      </c>
      <c r="D1470" t="s">
        <v>31</v>
      </c>
      <c r="E1470" t="s">
        <v>35</v>
      </c>
      <c r="F1470">
        <v>5</v>
      </c>
      <c r="G1470">
        <v>1299</v>
      </c>
      <c r="H1470">
        <v>0.15</v>
      </c>
      <c r="I1470" t="s">
        <v>50</v>
      </c>
      <c r="J1470" t="s">
        <v>36</v>
      </c>
      <c r="K1470" t="s">
        <v>17</v>
      </c>
      <c r="L1470">
        <f>F1469*G1469*(1-H1469)</f>
        <v>22797.149999999998</v>
      </c>
    </row>
    <row r="1471" spans="1:12">
      <c r="A1471" t="s">
        <v>2170</v>
      </c>
      <c r="B1471" s="1">
        <v>46104</v>
      </c>
      <c r="C1471" t="s">
        <v>170</v>
      </c>
      <c r="D1471" t="s">
        <v>31</v>
      </c>
      <c r="E1471" t="s">
        <v>27</v>
      </c>
      <c r="F1471">
        <v>5</v>
      </c>
      <c r="G1471">
        <v>1499</v>
      </c>
      <c r="H1471">
        <v>0</v>
      </c>
      <c r="I1471" t="s">
        <v>32</v>
      </c>
      <c r="J1471" t="s">
        <v>28</v>
      </c>
      <c r="K1471" t="s">
        <v>17</v>
      </c>
      <c r="L1471">
        <f>F1470*G1470*(1-H1470)</f>
        <v>5520.75</v>
      </c>
    </row>
    <row r="1472" spans="1:12">
      <c r="A1472" t="s">
        <v>2171</v>
      </c>
      <c r="B1472" s="1">
        <v>46203</v>
      </c>
      <c r="C1472" t="s">
        <v>2172</v>
      </c>
      <c r="D1472" t="s">
        <v>13</v>
      </c>
      <c r="E1472" t="s">
        <v>14</v>
      </c>
      <c r="F1472">
        <v>4</v>
      </c>
      <c r="G1472">
        <v>2499</v>
      </c>
      <c r="H1472">
        <v>0</v>
      </c>
      <c r="I1472" t="s">
        <v>44</v>
      </c>
      <c r="J1472" t="s">
        <v>28</v>
      </c>
      <c r="K1472" t="s">
        <v>23</v>
      </c>
      <c r="L1472">
        <f>F1471*G1471*(1-H1471)</f>
        <v>7495</v>
      </c>
    </row>
    <row r="1473" spans="1:12">
      <c r="A1473" t="s">
        <v>2173</v>
      </c>
      <c r="B1473" s="1">
        <v>46024</v>
      </c>
      <c r="C1473" t="s">
        <v>1233</v>
      </c>
      <c r="D1473" t="s">
        <v>56</v>
      </c>
      <c r="E1473" t="s">
        <v>40</v>
      </c>
      <c r="F1473">
        <v>3</v>
      </c>
      <c r="G1473">
        <v>1299</v>
      </c>
      <c r="H1473">
        <v>0.1</v>
      </c>
      <c r="I1473" t="s">
        <v>32</v>
      </c>
      <c r="J1473" t="s">
        <v>28</v>
      </c>
      <c r="K1473" t="s">
        <v>23</v>
      </c>
      <c r="L1473">
        <f>F1472*G1472*(1-H1472)</f>
        <v>9996</v>
      </c>
    </row>
    <row r="1474" spans="1:12">
      <c r="A1474" t="s">
        <v>2174</v>
      </c>
      <c r="B1474" s="1">
        <v>46242</v>
      </c>
      <c r="C1474" t="s">
        <v>1134</v>
      </c>
      <c r="D1474" t="s">
        <v>13</v>
      </c>
      <c r="E1474" t="s">
        <v>27</v>
      </c>
      <c r="F1474">
        <v>3</v>
      </c>
      <c r="G1474">
        <v>1999</v>
      </c>
      <c r="H1474">
        <v>0.05</v>
      </c>
      <c r="I1474" t="s">
        <v>15</v>
      </c>
      <c r="J1474" t="s">
        <v>28</v>
      </c>
      <c r="K1474" t="s">
        <v>37</v>
      </c>
      <c r="L1474">
        <f>F1473*G1473*(1-H1473)</f>
        <v>3507.3</v>
      </c>
    </row>
    <row r="1475" spans="1:12">
      <c r="A1475" t="s">
        <v>2175</v>
      </c>
      <c r="B1475" s="1">
        <v>46262</v>
      </c>
      <c r="C1475" t="s">
        <v>219</v>
      </c>
      <c r="D1475" t="s">
        <v>59</v>
      </c>
      <c r="E1475" t="s">
        <v>40</v>
      </c>
      <c r="F1475">
        <v>4</v>
      </c>
      <c r="G1475">
        <v>1999</v>
      </c>
      <c r="H1475">
        <v>0</v>
      </c>
      <c r="I1475" t="s">
        <v>50</v>
      </c>
      <c r="J1475" t="s">
        <v>22</v>
      </c>
      <c r="K1475" t="s">
        <v>37</v>
      </c>
      <c r="L1475">
        <f>F1474*G1474*(1-H1474)</f>
        <v>5697.15</v>
      </c>
    </row>
    <row r="1476" spans="1:12">
      <c r="A1476" t="s">
        <v>2176</v>
      </c>
      <c r="B1476" s="1">
        <v>46123</v>
      </c>
      <c r="C1476" t="s">
        <v>950</v>
      </c>
      <c r="D1476" t="s">
        <v>31</v>
      </c>
      <c r="E1476" t="s">
        <v>35</v>
      </c>
      <c r="F1476">
        <v>4</v>
      </c>
      <c r="G1476">
        <v>4999</v>
      </c>
      <c r="H1476">
        <v>0</v>
      </c>
      <c r="I1476" t="s">
        <v>32</v>
      </c>
      <c r="J1476" t="s">
        <v>22</v>
      </c>
      <c r="K1476" t="s">
        <v>17</v>
      </c>
      <c r="L1476">
        <f>F1475*G1475*(1-H1475)</f>
        <v>7996</v>
      </c>
    </row>
    <row r="1477" spans="1:12">
      <c r="A1477" t="s">
        <v>2177</v>
      </c>
      <c r="B1477" s="1">
        <v>46157</v>
      </c>
      <c r="C1477" t="s">
        <v>801</v>
      </c>
      <c r="D1477" t="s">
        <v>13</v>
      </c>
      <c r="E1477" t="s">
        <v>14</v>
      </c>
      <c r="F1477">
        <v>3</v>
      </c>
      <c r="G1477">
        <v>1999</v>
      </c>
      <c r="H1477">
        <v>0</v>
      </c>
      <c r="I1477" t="s">
        <v>50</v>
      </c>
      <c r="J1477" t="s">
        <v>22</v>
      </c>
      <c r="K1477" t="s">
        <v>37</v>
      </c>
      <c r="L1477">
        <f>F1476*G1476*(1-H1476)</f>
        <v>19996</v>
      </c>
    </row>
    <row r="1478" spans="1:12">
      <c r="A1478" t="s">
        <v>2178</v>
      </c>
      <c r="B1478" s="1">
        <v>46274</v>
      </c>
      <c r="C1478" t="s">
        <v>2057</v>
      </c>
      <c r="D1478" t="s">
        <v>43</v>
      </c>
      <c r="E1478" t="s">
        <v>27</v>
      </c>
      <c r="F1478">
        <v>4</v>
      </c>
      <c r="G1478">
        <v>4999</v>
      </c>
      <c r="H1478">
        <v>0.05</v>
      </c>
      <c r="I1478" t="s">
        <v>44</v>
      </c>
      <c r="J1478" t="s">
        <v>51</v>
      </c>
      <c r="K1478" t="s">
        <v>17</v>
      </c>
      <c r="L1478">
        <f>F1477*G1477*(1-H1477)</f>
        <v>5997</v>
      </c>
    </row>
    <row r="1479" spans="1:12">
      <c r="A1479" t="s">
        <v>2179</v>
      </c>
      <c r="B1479" s="1">
        <v>46206</v>
      </c>
      <c r="C1479" t="s">
        <v>832</v>
      </c>
      <c r="D1479" t="s">
        <v>43</v>
      </c>
      <c r="E1479" t="s">
        <v>35</v>
      </c>
      <c r="F1479">
        <v>3</v>
      </c>
      <c r="G1479">
        <v>1999</v>
      </c>
      <c r="H1479">
        <v>0</v>
      </c>
      <c r="I1479" t="s">
        <v>44</v>
      </c>
      <c r="J1479" t="s">
        <v>28</v>
      </c>
      <c r="K1479" t="s">
        <v>17</v>
      </c>
      <c r="L1479">
        <f>F1478*G1478*(1-H1478)</f>
        <v>18996.2</v>
      </c>
    </row>
    <row r="1480" spans="1:12">
      <c r="A1480" t="s">
        <v>2180</v>
      </c>
      <c r="B1480" s="1">
        <v>46264</v>
      </c>
      <c r="C1480" t="s">
        <v>1233</v>
      </c>
      <c r="D1480" t="s">
        <v>71</v>
      </c>
      <c r="E1480" t="s">
        <v>27</v>
      </c>
      <c r="F1480">
        <v>3</v>
      </c>
      <c r="G1480">
        <v>999</v>
      </c>
      <c r="H1480">
        <v>0.1</v>
      </c>
      <c r="I1480" t="s">
        <v>47</v>
      </c>
      <c r="J1480" t="s">
        <v>51</v>
      </c>
      <c r="K1480" t="s">
        <v>17</v>
      </c>
      <c r="L1480">
        <f>F1479*G1479*(1-H1479)</f>
        <v>5997</v>
      </c>
    </row>
    <row r="1481" spans="1:12">
      <c r="A1481" t="s">
        <v>2181</v>
      </c>
      <c r="B1481" s="1">
        <v>46111</v>
      </c>
      <c r="C1481" t="s">
        <v>2182</v>
      </c>
      <c r="D1481" t="s">
        <v>26</v>
      </c>
      <c r="E1481" t="s">
        <v>35</v>
      </c>
      <c r="F1481">
        <v>4</v>
      </c>
      <c r="G1481">
        <v>599</v>
      </c>
      <c r="H1481">
        <v>0</v>
      </c>
      <c r="I1481" t="s">
        <v>32</v>
      </c>
      <c r="J1481" t="s">
        <v>16</v>
      </c>
      <c r="K1481" t="s">
        <v>17</v>
      </c>
      <c r="L1481">
        <f>F1480*G1480*(1-H1480)</f>
        <v>2697.3</v>
      </c>
    </row>
    <row r="1482" spans="1:12">
      <c r="A1482" t="s">
        <v>2183</v>
      </c>
      <c r="B1482" s="1">
        <v>46091</v>
      </c>
      <c r="C1482" t="s">
        <v>504</v>
      </c>
      <c r="D1482" t="s">
        <v>43</v>
      </c>
      <c r="E1482" t="s">
        <v>14</v>
      </c>
      <c r="F1482">
        <v>3</v>
      </c>
      <c r="G1482">
        <v>499</v>
      </c>
      <c r="H1482">
        <v>0</v>
      </c>
      <c r="I1482" t="s">
        <v>15</v>
      </c>
      <c r="J1482" t="s">
        <v>22</v>
      </c>
      <c r="K1482" t="s">
        <v>17</v>
      </c>
      <c r="L1482">
        <f>F1481*G1481*(1-H1481)</f>
        <v>2396</v>
      </c>
    </row>
    <row r="1483" spans="1:12">
      <c r="A1483" t="s">
        <v>2184</v>
      </c>
      <c r="B1483" s="1">
        <v>46136</v>
      </c>
      <c r="C1483" t="s">
        <v>993</v>
      </c>
      <c r="D1483" t="s">
        <v>71</v>
      </c>
      <c r="E1483" t="s">
        <v>27</v>
      </c>
      <c r="F1483">
        <v>5</v>
      </c>
      <c r="G1483">
        <v>999</v>
      </c>
      <c r="H1483">
        <v>0</v>
      </c>
      <c r="I1483" t="s">
        <v>32</v>
      </c>
      <c r="J1483" t="s">
        <v>36</v>
      </c>
      <c r="K1483" t="s">
        <v>17</v>
      </c>
      <c r="L1483">
        <f>F1482*G1482*(1-H1482)</f>
        <v>1497</v>
      </c>
    </row>
    <row r="1484" spans="1:12">
      <c r="A1484" t="s">
        <v>2185</v>
      </c>
      <c r="B1484" s="1">
        <v>46147</v>
      </c>
      <c r="C1484" t="s">
        <v>635</v>
      </c>
      <c r="D1484" t="s">
        <v>59</v>
      </c>
      <c r="E1484" t="s">
        <v>40</v>
      </c>
      <c r="F1484">
        <v>4</v>
      </c>
      <c r="G1484">
        <v>4999</v>
      </c>
      <c r="H1484">
        <v>0.1</v>
      </c>
      <c r="I1484" t="s">
        <v>15</v>
      </c>
      <c r="J1484" t="s">
        <v>28</v>
      </c>
      <c r="K1484" t="s">
        <v>17</v>
      </c>
      <c r="L1484">
        <f>F1483*G1483*(1-H1483)</f>
        <v>4995</v>
      </c>
    </row>
    <row r="1485" spans="1:12">
      <c r="A1485" t="s">
        <v>2186</v>
      </c>
      <c r="B1485" s="1">
        <v>46063</v>
      </c>
      <c r="C1485" t="s">
        <v>1390</v>
      </c>
      <c r="D1485" t="s">
        <v>56</v>
      </c>
      <c r="E1485" t="s">
        <v>40</v>
      </c>
      <c r="F1485">
        <v>5</v>
      </c>
      <c r="G1485">
        <v>4999</v>
      </c>
      <c r="H1485">
        <v>0</v>
      </c>
      <c r="I1485" t="s">
        <v>47</v>
      </c>
      <c r="J1485" t="s">
        <v>28</v>
      </c>
      <c r="K1485" t="s">
        <v>23</v>
      </c>
      <c r="L1485">
        <f>F1484*G1484*(1-H1484)</f>
        <v>17996.400000000001</v>
      </c>
    </row>
    <row r="1486" spans="1:12">
      <c r="A1486" t="s">
        <v>2187</v>
      </c>
      <c r="B1486" s="1">
        <v>46058</v>
      </c>
      <c r="C1486" t="s">
        <v>55</v>
      </c>
      <c r="D1486" t="s">
        <v>71</v>
      </c>
      <c r="E1486" t="s">
        <v>40</v>
      </c>
      <c r="F1486">
        <v>4</v>
      </c>
      <c r="G1486">
        <v>1999</v>
      </c>
      <c r="H1486">
        <v>0.15</v>
      </c>
      <c r="I1486" t="s">
        <v>44</v>
      </c>
      <c r="J1486" t="s">
        <v>51</v>
      </c>
      <c r="K1486" t="s">
        <v>17</v>
      </c>
      <c r="L1486">
        <f>F1485*G1485*(1-H1485)</f>
        <v>24995</v>
      </c>
    </row>
    <row r="1487" spans="1:12">
      <c r="A1487" t="s">
        <v>2188</v>
      </c>
      <c r="B1487" s="1">
        <v>46030</v>
      </c>
      <c r="C1487" t="s">
        <v>1444</v>
      </c>
      <c r="D1487" t="s">
        <v>56</v>
      </c>
      <c r="E1487" t="s">
        <v>40</v>
      </c>
      <c r="F1487">
        <v>3</v>
      </c>
      <c r="G1487">
        <v>599</v>
      </c>
      <c r="H1487">
        <v>0</v>
      </c>
      <c r="I1487" t="s">
        <v>47</v>
      </c>
      <c r="J1487" t="s">
        <v>16</v>
      </c>
      <c r="K1487" t="s">
        <v>23</v>
      </c>
      <c r="L1487">
        <f>F1486*G1486*(1-H1486)</f>
        <v>6796.5999999999995</v>
      </c>
    </row>
    <row r="1488" spans="1:12">
      <c r="A1488" t="s">
        <v>2189</v>
      </c>
      <c r="B1488" s="1">
        <v>46237</v>
      </c>
      <c r="C1488" t="s">
        <v>489</v>
      </c>
      <c r="D1488" t="s">
        <v>20</v>
      </c>
      <c r="E1488" t="s">
        <v>21</v>
      </c>
      <c r="F1488">
        <v>3</v>
      </c>
      <c r="G1488">
        <v>1299</v>
      </c>
      <c r="H1488">
        <v>0.1</v>
      </c>
      <c r="I1488" t="s">
        <v>44</v>
      </c>
      <c r="J1488" t="s">
        <v>22</v>
      </c>
      <c r="K1488" t="s">
        <v>37</v>
      </c>
      <c r="L1488">
        <f>F1487*G1487*(1-H1487)</f>
        <v>1797</v>
      </c>
    </row>
    <row r="1489" spans="1:12">
      <c r="A1489" t="s">
        <v>2190</v>
      </c>
      <c r="B1489" s="1">
        <v>46135</v>
      </c>
      <c r="C1489" t="s">
        <v>2191</v>
      </c>
      <c r="D1489" t="s">
        <v>62</v>
      </c>
      <c r="E1489" t="s">
        <v>14</v>
      </c>
      <c r="F1489">
        <v>3</v>
      </c>
      <c r="G1489">
        <v>4999</v>
      </c>
      <c r="H1489">
        <v>0.15</v>
      </c>
      <c r="I1489" t="s">
        <v>50</v>
      </c>
      <c r="J1489" t="s">
        <v>36</v>
      </c>
      <c r="K1489" t="s">
        <v>17</v>
      </c>
      <c r="L1489">
        <f>F1488*G1488*(1-H1488)</f>
        <v>3507.3</v>
      </c>
    </row>
    <row r="1490" spans="1:12">
      <c r="A1490" t="s">
        <v>2192</v>
      </c>
      <c r="B1490" s="1">
        <v>46238</v>
      </c>
      <c r="C1490" t="s">
        <v>1903</v>
      </c>
      <c r="D1490" t="s">
        <v>62</v>
      </c>
      <c r="E1490" t="s">
        <v>40</v>
      </c>
      <c r="F1490">
        <v>5</v>
      </c>
      <c r="G1490">
        <v>799</v>
      </c>
      <c r="H1490">
        <v>0.05</v>
      </c>
      <c r="I1490" t="s">
        <v>44</v>
      </c>
      <c r="J1490" t="s">
        <v>16</v>
      </c>
      <c r="K1490" t="s">
        <v>23</v>
      </c>
      <c r="L1490">
        <f>F1489*G1489*(1-H1489)</f>
        <v>12747.449999999999</v>
      </c>
    </row>
    <row r="1491" spans="1:12">
      <c r="A1491" t="s">
        <v>2193</v>
      </c>
      <c r="B1491" s="1">
        <v>46222</v>
      </c>
      <c r="C1491" t="s">
        <v>351</v>
      </c>
      <c r="D1491" t="s">
        <v>56</v>
      </c>
      <c r="E1491" t="s">
        <v>40</v>
      </c>
      <c r="F1491">
        <v>1</v>
      </c>
      <c r="G1491">
        <v>1299</v>
      </c>
      <c r="H1491">
        <v>0.15</v>
      </c>
      <c r="I1491" t="s">
        <v>50</v>
      </c>
      <c r="J1491" t="s">
        <v>28</v>
      </c>
      <c r="K1491" t="s">
        <v>17</v>
      </c>
      <c r="L1491">
        <f>F1490*G1490*(1-H1490)</f>
        <v>3795.25</v>
      </c>
    </row>
    <row r="1492" spans="1:12">
      <c r="A1492" t="s">
        <v>2194</v>
      </c>
      <c r="B1492" s="1">
        <v>46121</v>
      </c>
      <c r="C1492" t="s">
        <v>152</v>
      </c>
      <c r="D1492" t="s">
        <v>43</v>
      </c>
      <c r="E1492" t="s">
        <v>14</v>
      </c>
      <c r="F1492">
        <v>3</v>
      </c>
      <c r="G1492">
        <v>2499</v>
      </c>
      <c r="H1492">
        <v>0.05</v>
      </c>
      <c r="I1492" t="s">
        <v>47</v>
      </c>
      <c r="J1492" t="s">
        <v>28</v>
      </c>
      <c r="K1492" t="s">
        <v>37</v>
      </c>
      <c r="L1492">
        <f>F1491*G1491*(1-H1491)</f>
        <v>1104.1499999999999</v>
      </c>
    </row>
    <row r="1493" spans="1:12">
      <c r="A1493" t="s">
        <v>2195</v>
      </c>
      <c r="B1493" s="1">
        <v>46067</v>
      </c>
      <c r="C1493" t="s">
        <v>1700</v>
      </c>
      <c r="D1493" t="s">
        <v>62</v>
      </c>
      <c r="E1493" t="s">
        <v>21</v>
      </c>
      <c r="F1493">
        <v>5</v>
      </c>
      <c r="G1493">
        <v>4999</v>
      </c>
      <c r="H1493">
        <v>0.1</v>
      </c>
      <c r="I1493" t="s">
        <v>15</v>
      </c>
      <c r="J1493" t="s">
        <v>16</v>
      </c>
      <c r="K1493" t="s">
        <v>23</v>
      </c>
      <c r="L1493">
        <f>F1492*G1492*(1-H1492)</f>
        <v>7122.15</v>
      </c>
    </row>
    <row r="1494" spans="1:12">
      <c r="A1494" t="s">
        <v>2196</v>
      </c>
      <c r="B1494" s="1">
        <v>46083</v>
      </c>
      <c r="C1494" t="s">
        <v>715</v>
      </c>
      <c r="D1494" t="s">
        <v>20</v>
      </c>
      <c r="E1494" t="s">
        <v>14</v>
      </c>
      <c r="F1494">
        <v>2</v>
      </c>
      <c r="G1494">
        <v>599</v>
      </c>
      <c r="H1494">
        <v>0</v>
      </c>
      <c r="I1494" t="s">
        <v>32</v>
      </c>
      <c r="J1494" t="s">
        <v>36</v>
      </c>
      <c r="K1494" t="s">
        <v>37</v>
      </c>
      <c r="L1494">
        <f>F1493*G1493*(1-H1493)</f>
        <v>22495.5</v>
      </c>
    </row>
    <row r="1495" spans="1:12">
      <c r="A1495" t="s">
        <v>2197</v>
      </c>
      <c r="B1495" s="1">
        <v>46171</v>
      </c>
      <c r="C1495" t="s">
        <v>386</v>
      </c>
      <c r="D1495" t="s">
        <v>31</v>
      </c>
      <c r="E1495" t="s">
        <v>27</v>
      </c>
      <c r="F1495">
        <v>1</v>
      </c>
      <c r="G1495">
        <v>1999</v>
      </c>
      <c r="H1495">
        <v>0.05</v>
      </c>
      <c r="I1495" t="s">
        <v>32</v>
      </c>
      <c r="J1495" t="s">
        <v>28</v>
      </c>
      <c r="K1495" t="s">
        <v>17</v>
      </c>
      <c r="L1495">
        <f>F1494*G1494*(1-H1494)</f>
        <v>1198</v>
      </c>
    </row>
    <row r="1496" spans="1:12">
      <c r="A1496" t="s">
        <v>2198</v>
      </c>
      <c r="B1496" s="1">
        <v>46036</v>
      </c>
      <c r="C1496" t="s">
        <v>1134</v>
      </c>
      <c r="D1496" t="s">
        <v>13</v>
      </c>
      <c r="E1496" t="s">
        <v>35</v>
      </c>
      <c r="F1496">
        <v>1</v>
      </c>
      <c r="G1496">
        <v>4999</v>
      </c>
      <c r="H1496">
        <v>0.1</v>
      </c>
      <c r="I1496" t="s">
        <v>44</v>
      </c>
      <c r="J1496" t="s">
        <v>22</v>
      </c>
      <c r="K1496" t="s">
        <v>23</v>
      </c>
      <c r="L1496">
        <f>F1495*G1495*(1-H1495)</f>
        <v>1899.05</v>
      </c>
    </row>
    <row r="1497" spans="1:12">
      <c r="A1497" t="s">
        <v>2199</v>
      </c>
      <c r="B1497" s="1">
        <v>46052</v>
      </c>
      <c r="C1497" t="s">
        <v>261</v>
      </c>
      <c r="D1497" t="s">
        <v>78</v>
      </c>
      <c r="E1497" t="s">
        <v>14</v>
      </c>
      <c r="F1497">
        <v>4</v>
      </c>
      <c r="G1497">
        <v>4999</v>
      </c>
      <c r="H1497">
        <v>0</v>
      </c>
      <c r="I1497" t="s">
        <v>50</v>
      </c>
      <c r="J1497" t="s">
        <v>22</v>
      </c>
      <c r="K1497" t="s">
        <v>17</v>
      </c>
      <c r="L1497">
        <f>F1496*G1496*(1-H1496)</f>
        <v>4499.1000000000004</v>
      </c>
    </row>
    <row r="1498" spans="1:12">
      <c r="A1498" t="s">
        <v>2200</v>
      </c>
      <c r="B1498" s="1">
        <v>46099</v>
      </c>
      <c r="C1498" t="s">
        <v>688</v>
      </c>
      <c r="D1498" t="s">
        <v>20</v>
      </c>
      <c r="E1498" t="s">
        <v>14</v>
      </c>
      <c r="F1498">
        <v>1</v>
      </c>
      <c r="G1498">
        <v>499</v>
      </c>
      <c r="H1498">
        <v>0</v>
      </c>
      <c r="I1498" t="s">
        <v>32</v>
      </c>
      <c r="J1498" t="s">
        <v>28</v>
      </c>
      <c r="K1498" t="s">
        <v>17</v>
      </c>
      <c r="L1498">
        <f>F1497*G1497*(1-H1497)</f>
        <v>19996</v>
      </c>
    </row>
    <row r="1499" spans="1:12">
      <c r="A1499" t="s">
        <v>2201</v>
      </c>
      <c r="B1499" s="1">
        <v>46237</v>
      </c>
      <c r="C1499" t="s">
        <v>820</v>
      </c>
      <c r="D1499" t="s">
        <v>13</v>
      </c>
      <c r="E1499" t="s">
        <v>27</v>
      </c>
      <c r="F1499">
        <v>4</v>
      </c>
      <c r="G1499">
        <v>799</v>
      </c>
      <c r="H1499">
        <v>0</v>
      </c>
      <c r="I1499" t="s">
        <v>32</v>
      </c>
      <c r="J1499" t="s">
        <v>16</v>
      </c>
      <c r="K1499" t="s">
        <v>23</v>
      </c>
      <c r="L1499">
        <f>F1498*G1498*(1-H1498)</f>
        <v>499</v>
      </c>
    </row>
    <row r="1500" spans="1:12">
      <c r="A1500" t="s">
        <v>2202</v>
      </c>
      <c r="B1500" s="1">
        <v>46114</v>
      </c>
      <c r="C1500" t="s">
        <v>1621</v>
      </c>
      <c r="D1500" t="s">
        <v>13</v>
      </c>
      <c r="E1500" t="s">
        <v>27</v>
      </c>
      <c r="F1500">
        <v>4</v>
      </c>
      <c r="G1500">
        <v>2499</v>
      </c>
      <c r="H1500">
        <v>0.15</v>
      </c>
      <c r="I1500" t="s">
        <v>32</v>
      </c>
      <c r="J1500" t="s">
        <v>22</v>
      </c>
      <c r="K1500" t="s">
        <v>17</v>
      </c>
      <c r="L1500">
        <f>F1499*G1499*(1-H1499)</f>
        <v>3196</v>
      </c>
    </row>
    <row r="1501" spans="1:12">
      <c r="A1501" t="s">
        <v>2203</v>
      </c>
      <c r="B1501" s="1">
        <v>46166</v>
      </c>
      <c r="C1501" t="s">
        <v>1340</v>
      </c>
      <c r="D1501" t="s">
        <v>43</v>
      </c>
      <c r="E1501" t="s">
        <v>35</v>
      </c>
      <c r="F1501">
        <v>4</v>
      </c>
      <c r="G1501">
        <v>799</v>
      </c>
      <c r="H1501">
        <v>0.15</v>
      </c>
      <c r="I1501" t="s">
        <v>15</v>
      </c>
      <c r="J1501" t="s">
        <v>36</v>
      </c>
      <c r="K1501" t="s">
        <v>17</v>
      </c>
      <c r="L1501">
        <f>F1500*G1500*(1-H1500)</f>
        <v>8496.6</v>
      </c>
    </row>
    <row r="1502" spans="1:12">
      <c r="A1502" t="s">
        <v>2204</v>
      </c>
      <c r="B1502" s="1">
        <v>46116</v>
      </c>
      <c r="C1502" t="s">
        <v>2205</v>
      </c>
      <c r="D1502" t="s">
        <v>31</v>
      </c>
      <c r="E1502" t="s">
        <v>35</v>
      </c>
      <c r="F1502">
        <v>3</v>
      </c>
      <c r="G1502">
        <v>7999</v>
      </c>
      <c r="H1502">
        <v>0.15</v>
      </c>
      <c r="I1502" t="s">
        <v>32</v>
      </c>
      <c r="J1502" t="s">
        <v>16</v>
      </c>
      <c r="K1502" t="s">
        <v>17</v>
      </c>
      <c r="L1502">
        <f>F1501*G1501*(1-H1501)</f>
        <v>2716.6</v>
      </c>
    </row>
    <row r="1503" spans="1:12">
      <c r="A1503" t="s">
        <v>2206</v>
      </c>
      <c r="B1503" s="1">
        <v>46073</v>
      </c>
      <c r="C1503" t="s">
        <v>2207</v>
      </c>
      <c r="D1503" t="s">
        <v>26</v>
      </c>
      <c r="E1503" t="s">
        <v>35</v>
      </c>
      <c r="F1503">
        <v>1</v>
      </c>
      <c r="G1503">
        <v>2499</v>
      </c>
      <c r="H1503">
        <v>0.05</v>
      </c>
      <c r="I1503" t="s">
        <v>50</v>
      </c>
      <c r="J1503" t="s">
        <v>36</v>
      </c>
      <c r="K1503" t="s">
        <v>23</v>
      </c>
      <c r="L1503">
        <f>F1502*G1502*(1-H1502)</f>
        <v>20397.45</v>
      </c>
    </row>
    <row r="1504" spans="1:12">
      <c r="A1504" t="s">
        <v>2208</v>
      </c>
      <c r="B1504" s="1">
        <v>46129</v>
      </c>
      <c r="C1504" t="s">
        <v>1621</v>
      </c>
      <c r="D1504" t="s">
        <v>78</v>
      </c>
      <c r="E1504" t="s">
        <v>35</v>
      </c>
      <c r="F1504">
        <v>5</v>
      </c>
      <c r="G1504">
        <v>7999</v>
      </c>
      <c r="H1504">
        <v>0.15</v>
      </c>
      <c r="I1504" t="s">
        <v>47</v>
      </c>
      <c r="J1504" t="s">
        <v>16</v>
      </c>
      <c r="K1504" t="s">
        <v>37</v>
      </c>
      <c r="L1504">
        <f>F1503*G1503*(1-H1503)</f>
        <v>2374.0499999999997</v>
      </c>
    </row>
    <row r="1505" spans="1:12">
      <c r="A1505" t="s">
        <v>2209</v>
      </c>
      <c r="B1505" s="1">
        <v>46246</v>
      </c>
      <c r="C1505" t="s">
        <v>908</v>
      </c>
      <c r="D1505" t="s">
        <v>71</v>
      </c>
      <c r="E1505" t="s">
        <v>35</v>
      </c>
      <c r="F1505">
        <v>5</v>
      </c>
      <c r="G1505">
        <v>2499</v>
      </c>
      <c r="H1505">
        <v>0.05</v>
      </c>
      <c r="I1505" t="s">
        <v>15</v>
      </c>
      <c r="J1505" t="s">
        <v>51</v>
      </c>
      <c r="K1505" t="s">
        <v>17</v>
      </c>
      <c r="L1505">
        <f>F1504*G1504*(1-H1504)</f>
        <v>33995.75</v>
      </c>
    </row>
    <row r="1506" spans="1:12">
      <c r="A1506" t="s">
        <v>2210</v>
      </c>
      <c r="B1506" s="1">
        <v>46122</v>
      </c>
      <c r="C1506" t="s">
        <v>273</v>
      </c>
      <c r="D1506" t="s">
        <v>26</v>
      </c>
      <c r="E1506" t="s">
        <v>40</v>
      </c>
      <c r="F1506">
        <v>1</v>
      </c>
      <c r="G1506">
        <v>1499</v>
      </c>
      <c r="H1506">
        <v>0</v>
      </c>
      <c r="I1506" t="s">
        <v>50</v>
      </c>
      <c r="J1506" t="s">
        <v>51</v>
      </c>
      <c r="K1506" t="s">
        <v>17</v>
      </c>
      <c r="L1506">
        <f>F1505*G1505*(1-H1505)</f>
        <v>11870.25</v>
      </c>
    </row>
    <row r="1507" spans="1:12">
      <c r="A1507" t="s">
        <v>2211</v>
      </c>
      <c r="B1507" s="1">
        <v>46034</v>
      </c>
      <c r="C1507" t="s">
        <v>1646</v>
      </c>
      <c r="D1507" t="s">
        <v>71</v>
      </c>
      <c r="E1507" t="s">
        <v>21</v>
      </c>
      <c r="F1507">
        <v>3</v>
      </c>
      <c r="G1507">
        <v>1499</v>
      </c>
      <c r="H1507">
        <v>0.15</v>
      </c>
      <c r="I1507" t="s">
        <v>50</v>
      </c>
      <c r="J1507" t="s">
        <v>51</v>
      </c>
      <c r="K1507" t="s">
        <v>23</v>
      </c>
      <c r="L1507">
        <f>F1506*G1506*(1-H1506)</f>
        <v>1499</v>
      </c>
    </row>
    <row r="1508" spans="1:12">
      <c r="A1508" t="s">
        <v>2212</v>
      </c>
      <c r="B1508" s="1">
        <v>46067</v>
      </c>
      <c r="C1508" t="s">
        <v>956</v>
      </c>
      <c r="D1508" t="s">
        <v>31</v>
      </c>
      <c r="E1508" t="s">
        <v>40</v>
      </c>
      <c r="F1508">
        <v>5</v>
      </c>
      <c r="G1508">
        <v>1999</v>
      </c>
      <c r="H1508">
        <v>0</v>
      </c>
      <c r="I1508" t="s">
        <v>15</v>
      </c>
      <c r="J1508" t="s">
        <v>36</v>
      </c>
      <c r="K1508" t="s">
        <v>37</v>
      </c>
      <c r="L1508">
        <f>F1507*G1507*(1-H1507)</f>
        <v>3822.45</v>
      </c>
    </row>
    <row r="1509" spans="1:12">
      <c r="A1509" t="s">
        <v>2213</v>
      </c>
      <c r="B1509" s="1">
        <v>46109</v>
      </c>
      <c r="C1509" t="s">
        <v>1540</v>
      </c>
      <c r="D1509" t="s">
        <v>78</v>
      </c>
      <c r="E1509" t="s">
        <v>14</v>
      </c>
      <c r="F1509">
        <v>2</v>
      </c>
      <c r="G1509">
        <v>799</v>
      </c>
      <c r="H1509">
        <v>0</v>
      </c>
      <c r="I1509" t="s">
        <v>47</v>
      </c>
      <c r="J1509" t="s">
        <v>22</v>
      </c>
      <c r="K1509" t="s">
        <v>17</v>
      </c>
      <c r="L1509">
        <f>F1508*G1508*(1-H1508)</f>
        <v>9995</v>
      </c>
    </row>
    <row r="1510" spans="1:12">
      <c r="A1510" t="s">
        <v>2214</v>
      </c>
      <c r="B1510" s="1">
        <v>46224</v>
      </c>
      <c r="C1510" t="s">
        <v>382</v>
      </c>
      <c r="D1510" t="s">
        <v>31</v>
      </c>
      <c r="E1510" t="s">
        <v>27</v>
      </c>
      <c r="F1510">
        <v>1</v>
      </c>
      <c r="G1510">
        <v>1499</v>
      </c>
      <c r="H1510">
        <v>0.15</v>
      </c>
      <c r="I1510" t="s">
        <v>44</v>
      </c>
      <c r="J1510" t="s">
        <v>16</v>
      </c>
      <c r="K1510" t="s">
        <v>17</v>
      </c>
      <c r="L1510">
        <f>F1509*G1509*(1-H1509)</f>
        <v>1598</v>
      </c>
    </row>
    <row r="1511" spans="1:12">
      <c r="A1511" t="s">
        <v>2215</v>
      </c>
      <c r="B1511" s="1">
        <v>46251</v>
      </c>
      <c r="C1511" t="s">
        <v>588</v>
      </c>
      <c r="D1511" t="s">
        <v>78</v>
      </c>
      <c r="E1511" t="s">
        <v>14</v>
      </c>
      <c r="F1511">
        <v>2</v>
      </c>
      <c r="G1511">
        <v>2499</v>
      </c>
      <c r="H1511">
        <v>0.05</v>
      </c>
      <c r="I1511" t="s">
        <v>47</v>
      </c>
      <c r="J1511" t="s">
        <v>28</v>
      </c>
      <c r="K1511" t="s">
        <v>37</v>
      </c>
      <c r="L1511">
        <f>F1510*G1510*(1-H1510)</f>
        <v>1274.1499999999999</v>
      </c>
    </row>
    <row r="1512" spans="1:12">
      <c r="A1512" t="s">
        <v>2216</v>
      </c>
      <c r="B1512" s="1">
        <v>46096</v>
      </c>
      <c r="C1512" t="s">
        <v>384</v>
      </c>
      <c r="D1512" t="s">
        <v>26</v>
      </c>
      <c r="E1512" t="s">
        <v>40</v>
      </c>
      <c r="F1512">
        <v>5</v>
      </c>
      <c r="G1512">
        <v>599</v>
      </c>
      <c r="H1512">
        <v>0</v>
      </c>
      <c r="I1512" t="s">
        <v>47</v>
      </c>
      <c r="J1512" t="s">
        <v>22</v>
      </c>
      <c r="K1512" t="s">
        <v>17</v>
      </c>
      <c r="L1512">
        <f>F1511*G1511*(1-H1511)</f>
        <v>4748.0999999999995</v>
      </c>
    </row>
    <row r="1513" spans="1:12">
      <c r="A1513" t="s">
        <v>2217</v>
      </c>
      <c r="B1513" s="1">
        <v>46216</v>
      </c>
      <c r="C1513" t="s">
        <v>644</v>
      </c>
      <c r="D1513" t="s">
        <v>31</v>
      </c>
      <c r="E1513" t="s">
        <v>14</v>
      </c>
      <c r="F1513">
        <v>3</v>
      </c>
      <c r="G1513">
        <v>1299</v>
      </c>
      <c r="H1513">
        <v>0.15</v>
      </c>
      <c r="I1513" t="s">
        <v>50</v>
      </c>
      <c r="J1513" t="s">
        <v>36</v>
      </c>
      <c r="K1513" t="s">
        <v>23</v>
      </c>
      <c r="L1513">
        <f>F1512*G1512*(1-H1512)</f>
        <v>2995</v>
      </c>
    </row>
    <row r="1514" spans="1:12">
      <c r="A1514" t="s">
        <v>2218</v>
      </c>
      <c r="B1514" s="1">
        <v>46051</v>
      </c>
      <c r="C1514" t="s">
        <v>1845</v>
      </c>
      <c r="D1514" t="s">
        <v>78</v>
      </c>
      <c r="E1514" t="s">
        <v>14</v>
      </c>
      <c r="F1514">
        <v>3</v>
      </c>
      <c r="G1514">
        <v>999</v>
      </c>
      <c r="H1514">
        <v>0</v>
      </c>
      <c r="I1514" t="s">
        <v>47</v>
      </c>
      <c r="J1514" t="s">
        <v>22</v>
      </c>
      <c r="K1514" t="s">
        <v>23</v>
      </c>
      <c r="L1514">
        <f>F1513*G1513*(1-H1513)</f>
        <v>3312.45</v>
      </c>
    </row>
    <row r="1515" spans="1:12">
      <c r="A1515" t="s">
        <v>2219</v>
      </c>
      <c r="B1515" s="1">
        <v>46076</v>
      </c>
      <c r="C1515" t="s">
        <v>690</v>
      </c>
      <c r="D1515" t="s">
        <v>13</v>
      </c>
      <c r="E1515" t="s">
        <v>21</v>
      </c>
      <c r="F1515">
        <v>3</v>
      </c>
      <c r="G1515">
        <v>2499</v>
      </c>
      <c r="H1515">
        <v>0.15</v>
      </c>
      <c r="I1515" t="s">
        <v>32</v>
      </c>
      <c r="J1515" t="s">
        <v>36</v>
      </c>
      <c r="K1515" t="s">
        <v>23</v>
      </c>
      <c r="L1515">
        <f>F1514*G1514*(1-H1514)</f>
        <v>2997</v>
      </c>
    </row>
    <row r="1516" spans="1:12">
      <c r="A1516" t="s">
        <v>2220</v>
      </c>
      <c r="B1516" s="1">
        <v>46197</v>
      </c>
      <c r="C1516" t="s">
        <v>472</v>
      </c>
      <c r="D1516" t="s">
        <v>59</v>
      </c>
      <c r="E1516" t="s">
        <v>40</v>
      </c>
      <c r="F1516">
        <v>4</v>
      </c>
      <c r="G1516">
        <v>599</v>
      </c>
      <c r="H1516">
        <v>0.05</v>
      </c>
      <c r="I1516" t="s">
        <v>32</v>
      </c>
      <c r="J1516" t="s">
        <v>16</v>
      </c>
      <c r="K1516" t="s">
        <v>17</v>
      </c>
      <c r="L1516">
        <f>F1515*G1515*(1-H1515)</f>
        <v>6372.45</v>
      </c>
    </row>
    <row r="1517" spans="1:12">
      <c r="A1517" t="s">
        <v>2221</v>
      </c>
      <c r="B1517" s="1">
        <v>46168</v>
      </c>
      <c r="C1517" t="s">
        <v>896</v>
      </c>
      <c r="D1517" t="s">
        <v>31</v>
      </c>
      <c r="E1517" t="s">
        <v>14</v>
      </c>
      <c r="F1517">
        <v>3</v>
      </c>
      <c r="G1517">
        <v>7999</v>
      </c>
      <c r="H1517">
        <v>0</v>
      </c>
      <c r="I1517" t="s">
        <v>15</v>
      </c>
      <c r="J1517" t="s">
        <v>16</v>
      </c>
      <c r="K1517" t="s">
        <v>17</v>
      </c>
      <c r="L1517">
        <f>F1516*G1516*(1-H1516)</f>
        <v>2276.1999999999998</v>
      </c>
    </row>
    <row r="1518" spans="1:12">
      <c r="A1518" t="s">
        <v>2222</v>
      </c>
      <c r="B1518" s="1">
        <v>46088</v>
      </c>
      <c r="C1518" t="s">
        <v>528</v>
      </c>
      <c r="D1518" t="s">
        <v>31</v>
      </c>
      <c r="E1518" t="s">
        <v>21</v>
      </c>
      <c r="F1518">
        <v>4</v>
      </c>
      <c r="G1518">
        <v>2499</v>
      </c>
      <c r="H1518">
        <v>0.05</v>
      </c>
      <c r="I1518" t="s">
        <v>44</v>
      </c>
      <c r="J1518" t="s">
        <v>28</v>
      </c>
      <c r="K1518" t="s">
        <v>17</v>
      </c>
      <c r="L1518">
        <f>F1517*G1517*(1-H1517)</f>
        <v>23997</v>
      </c>
    </row>
    <row r="1519" spans="1:12">
      <c r="A1519" t="s">
        <v>2223</v>
      </c>
      <c r="B1519" s="1">
        <v>46254</v>
      </c>
      <c r="C1519" t="s">
        <v>2224</v>
      </c>
      <c r="D1519" t="s">
        <v>59</v>
      </c>
      <c r="E1519" t="s">
        <v>14</v>
      </c>
      <c r="F1519">
        <v>3</v>
      </c>
      <c r="G1519">
        <v>2499</v>
      </c>
      <c r="H1519">
        <v>0.15</v>
      </c>
      <c r="I1519" t="s">
        <v>50</v>
      </c>
      <c r="J1519" t="s">
        <v>51</v>
      </c>
      <c r="K1519" t="s">
        <v>17</v>
      </c>
      <c r="L1519">
        <f>F1518*G1518*(1-H1518)</f>
        <v>9496.1999999999989</v>
      </c>
    </row>
    <row r="1520" spans="1:12">
      <c r="A1520" t="s">
        <v>2225</v>
      </c>
      <c r="B1520" s="1">
        <v>46100</v>
      </c>
      <c r="C1520" t="s">
        <v>1002</v>
      </c>
      <c r="D1520" t="s">
        <v>26</v>
      </c>
      <c r="E1520" t="s">
        <v>21</v>
      </c>
      <c r="F1520">
        <v>4</v>
      </c>
      <c r="G1520">
        <v>1999</v>
      </c>
      <c r="H1520">
        <v>0.05</v>
      </c>
      <c r="I1520" t="s">
        <v>15</v>
      </c>
      <c r="J1520" t="s">
        <v>16</v>
      </c>
      <c r="K1520" t="s">
        <v>23</v>
      </c>
      <c r="L1520">
        <f>F1519*G1519*(1-H1519)</f>
        <v>6372.45</v>
      </c>
    </row>
    <row r="1521" spans="1:12">
      <c r="A1521" t="s">
        <v>2226</v>
      </c>
      <c r="B1521" s="1">
        <v>46170</v>
      </c>
      <c r="C1521" t="s">
        <v>1469</v>
      </c>
      <c r="D1521" t="s">
        <v>56</v>
      </c>
      <c r="E1521" t="s">
        <v>21</v>
      </c>
      <c r="F1521">
        <v>1</v>
      </c>
      <c r="G1521">
        <v>2499</v>
      </c>
      <c r="H1521">
        <v>0.1</v>
      </c>
      <c r="I1521" t="s">
        <v>50</v>
      </c>
      <c r="J1521" t="s">
        <v>36</v>
      </c>
      <c r="K1521" t="s">
        <v>17</v>
      </c>
      <c r="L1521">
        <f>F1520*G1520*(1-H1520)</f>
        <v>7596.2</v>
      </c>
    </row>
    <row r="1522" spans="1:12">
      <c r="A1522" t="s">
        <v>2227</v>
      </c>
      <c r="B1522" s="1">
        <v>46136</v>
      </c>
      <c r="C1522" t="s">
        <v>651</v>
      </c>
      <c r="D1522" t="s">
        <v>56</v>
      </c>
      <c r="E1522" t="s">
        <v>27</v>
      </c>
      <c r="F1522">
        <v>3</v>
      </c>
      <c r="G1522">
        <v>7999</v>
      </c>
      <c r="H1522">
        <v>0</v>
      </c>
      <c r="I1522" t="s">
        <v>47</v>
      </c>
      <c r="J1522" t="s">
        <v>28</v>
      </c>
      <c r="K1522" t="s">
        <v>17</v>
      </c>
      <c r="L1522">
        <f>F1521*G1521*(1-H1521)</f>
        <v>2249.1</v>
      </c>
    </row>
    <row r="1523" spans="1:12">
      <c r="A1523" t="s">
        <v>2228</v>
      </c>
      <c r="B1523" s="1">
        <v>46066</v>
      </c>
      <c r="C1523" t="s">
        <v>651</v>
      </c>
      <c r="D1523" t="s">
        <v>26</v>
      </c>
      <c r="E1523" t="s">
        <v>21</v>
      </c>
      <c r="F1523">
        <v>4</v>
      </c>
      <c r="G1523">
        <v>1299</v>
      </c>
      <c r="H1523">
        <v>0</v>
      </c>
      <c r="I1523" t="s">
        <v>15</v>
      </c>
      <c r="J1523" t="s">
        <v>22</v>
      </c>
      <c r="K1523" t="s">
        <v>23</v>
      </c>
      <c r="L1523">
        <f>F1522*G1522*(1-H1522)</f>
        <v>23997</v>
      </c>
    </row>
    <row r="1524" spans="1:12">
      <c r="A1524" t="s">
        <v>2229</v>
      </c>
      <c r="B1524" s="1">
        <v>46224</v>
      </c>
      <c r="C1524" t="s">
        <v>2094</v>
      </c>
      <c r="D1524" t="s">
        <v>56</v>
      </c>
      <c r="E1524" t="s">
        <v>21</v>
      </c>
      <c r="F1524">
        <v>4</v>
      </c>
      <c r="G1524">
        <v>799</v>
      </c>
      <c r="H1524">
        <v>0.1</v>
      </c>
      <c r="I1524" t="s">
        <v>50</v>
      </c>
      <c r="J1524" t="s">
        <v>28</v>
      </c>
      <c r="K1524" t="s">
        <v>23</v>
      </c>
      <c r="L1524">
        <f>F1523*G1523*(1-H1523)</f>
        <v>5196</v>
      </c>
    </row>
    <row r="1525" spans="1:12">
      <c r="A1525" t="s">
        <v>2230</v>
      </c>
      <c r="B1525" s="1">
        <v>46233</v>
      </c>
      <c r="C1525" t="s">
        <v>1074</v>
      </c>
      <c r="D1525" t="s">
        <v>62</v>
      </c>
      <c r="E1525" t="s">
        <v>40</v>
      </c>
      <c r="F1525">
        <v>1</v>
      </c>
      <c r="G1525">
        <v>4999</v>
      </c>
      <c r="H1525">
        <v>0.15</v>
      </c>
      <c r="I1525" t="s">
        <v>47</v>
      </c>
      <c r="J1525" t="s">
        <v>22</v>
      </c>
      <c r="K1525" t="s">
        <v>37</v>
      </c>
      <c r="L1525">
        <f>F1524*G1524*(1-H1524)</f>
        <v>2876.4</v>
      </c>
    </row>
    <row r="1526" spans="1:12">
      <c r="A1526" t="s">
        <v>2231</v>
      </c>
      <c r="B1526" s="1">
        <v>46295</v>
      </c>
      <c r="C1526" t="s">
        <v>717</v>
      </c>
      <c r="D1526" t="s">
        <v>59</v>
      </c>
      <c r="E1526" t="s">
        <v>40</v>
      </c>
      <c r="F1526">
        <v>3</v>
      </c>
      <c r="G1526">
        <v>999</v>
      </c>
      <c r="H1526">
        <v>0.15</v>
      </c>
      <c r="I1526" t="s">
        <v>15</v>
      </c>
      <c r="J1526" t="s">
        <v>36</v>
      </c>
      <c r="K1526" t="s">
        <v>17</v>
      </c>
      <c r="L1526">
        <f>F1525*G1525*(1-H1525)</f>
        <v>4249.1499999999996</v>
      </c>
    </row>
    <row r="1527" spans="1:12">
      <c r="A1527" t="s">
        <v>2232</v>
      </c>
      <c r="B1527" s="1">
        <v>46168</v>
      </c>
      <c r="C1527" t="s">
        <v>42</v>
      </c>
      <c r="D1527" t="s">
        <v>20</v>
      </c>
      <c r="E1527" t="s">
        <v>14</v>
      </c>
      <c r="F1527">
        <v>5</v>
      </c>
      <c r="G1527">
        <v>499</v>
      </c>
      <c r="H1527">
        <v>0.15</v>
      </c>
      <c r="I1527" t="s">
        <v>32</v>
      </c>
      <c r="J1527" t="s">
        <v>16</v>
      </c>
      <c r="K1527" t="s">
        <v>17</v>
      </c>
      <c r="L1527">
        <f>F1526*G1526*(1-H1526)</f>
        <v>2547.4499999999998</v>
      </c>
    </row>
    <row r="1528" spans="1:12">
      <c r="A1528" t="s">
        <v>2233</v>
      </c>
      <c r="B1528" s="1">
        <v>46114</v>
      </c>
      <c r="C1528" t="s">
        <v>263</v>
      </c>
      <c r="D1528" t="s">
        <v>62</v>
      </c>
      <c r="E1528" t="s">
        <v>40</v>
      </c>
      <c r="F1528">
        <v>2</v>
      </c>
      <c r="G1528">
        <v>1999</v>
      </c>
      <c r="H1528">
        <v>0</v>
      </c>
      <c r="I1528" t="s">
        <v>50</v>
      </c>
      <c r="J1528" t="s">
        <v>51</v>
      </c>
      <c r="K1528" t="s">
        <v>17</v>
      </c>
      <c r="L1528">
        <f>F1527*G1527*(1-H1527)</f>
        <v>2120.75</v>
      </c>
    </row>
    <row r="1529" spans="1:12">
      <c r="A1529" t="s">
        <v>2234</v>
      </c>
      <c r="B1529" s="1">
        <v>46105</v>
      </c>
      <c r="C1529" t="s">
        <v>1777</v>
      </c>
      <c r="D1529" t="s">
        <v>78</v>
      </c>
      <c r="E1529" t="s">
        <v>21</v>
      </c>
      <c r="F1529">
        <v>3</v>
      </c>
      <c r="G1529">
        <v>1499</v>
      </c>
      <c r="H1529">
        <v>0</v>
      </c>
      <c r="I1529" t="s">
        <v>47</v>
      </c>
      <c r="J1529" t="s">
        <v>28</v>
      </c>
      <c r="K1529" t="s">
        <v>17</v>
      </c>
      <c r="L1529">
        <f>F1528*G1528*(1-H1528)</f>
        <v>3998</v>
      </c>
    </row>
    <row r="1530" spans="1:12">
      <c r="A1530" t="s">
        <v>2235</v>
      </c>
      <c r="B1530" s="1">
        <v>46255</v>
      </c>
      <c r="C1530" t="s">
        <v>1259</v>
      </c>
      <c r="D1530" t="s">
        <v>62</v>
      </c>
      <c r="E1530" t="s">
        <v>21</v>
      </c>
      <c r="F1530">
        <v>1</v>
      </c>
      <c r="G1530">
        <v>4999</v>
      </c>
      <c r="H1530">
        <v>0</v>
      </c>
      <c r="I1530" t="s">
        <v>32</v>
      </c>
      <c r="J1530" t="s">
        <v>28</v>
      </c>
      <c r="K1530" t="s">
        <v>17</v>
      </c>
      <c r="L1530">
        <f>F1529*G1529*(1-H1529)</f>
        <v>4497</v>
      </c>
    </row>
    <row r="1531" spans="1:12">
      <c r="A1531" t="s">
        <v>2236</v>
      </c>
      <c r="B1531" s="1">
        <v>46074</v>
      </c>
      <c r="C1531" t="s">
        <v>2237</v>
      </c>
      <c r="D1531" t="s">
        <v>20</v>
      </c>
      <c r="E1531" t="s">
        <v>21</v>
      </c>
      <c r="F1531">
        <v>1</v>
      </c>
      <c r="G1531">
        <v>799</v>
      </c>
      <c r="H1531">
        <v>0.15</v>
      </c>
      <c r="I1531" t="s">
        <v>32</v>
      </c>
      <c r="J1531" t="s">
        <v>36</v>
      </c>
      <c r="K1531" t="s">
        <v>17</v>
      </c>
      <c r="L1531">
        <f>F1530*G1530*(1-H1530)</f>
        <v>4999</v>
      </c>
    </row>
    <row r="1532" spans="1:12">
      <c r="A1532" t="s">
        <v>2238</v>
      </c>
      <c r="B1532" s="1">
        <v>46023</v>
      </c>
      <c r="C1532" t="s">
        <v>1523</v>
      </c>
      <c r="D1532" t="s">
        <v>31</v>
      </c>
      <c r="E1532" t="s">
        <v>21</v>
      </c>
      <c r="F1532">
        <v>5</v>
      </c>
      <c r="G1532">
        <v>1299</v>
      </c>
      <c r="H1532">
        <v>0</v>
      </c>
      <c r="I1532" t="s">
        <v>50</v>
      </c>
      <c r="J1532" t="s">
        <v>22</v>
      </c>
      <c r="K1532" t="s">
        <v>17</v>
      </c>
      <c r="L1532">
        <f>F1531*G1531*(1-H1531)</f>
        <v>679.15</v>
      </c>
    </row>
    <row r="1533" spans="1:12">
      <c r="A1533" t="s">
        <v>2239</v>
      </c>
      <c r="B1533" s="1">
        <v>46211</v>
      </c>
      <c r="C1533" t="s">
        <v>2036</v>
      </c>
      <c r="D1533" t="s">
        <v>26</v>
      </c>
      <c r="E1533" t="s">
        <v>27</v>
      </c>
      <c r="F1533">
        <v>4</v>
      </c>
      <c r="G1533">
        <v>4999</v>
      </c>
      <c r="H1533">
        <v>0.1</v>
      </c>
      <c r="I1533" t="s">
        <v>44</v>
      </c>
      <c r="J1533" t="s">
        <v>36</v>
      </c>
      <c r="K1533" t="s">
        <v>17</v>
      </c>
      <c r="L1533">
        <f>F1532*G1532*(1-H1532)</f>
        <v>6495</v>
      </c>
    </row>
    <row r="1534" spans="1:12">
      <c r="A1534" t="s">
        <v>2240</v>
      </c>
      <c r="B1534" s="1">
        <v>46118</v>
      </c>
      <c r="C1534" t="s">
        <v>2241</v>
      </c>
      <c r="D1534" t="s">
        <v>62</v>
      </c>
      <c r="E1534" t="s">
        <v>14</v>
      </c>
      <c r="F1534">
        <v>2</v>
      </c>
      <c r="G1534">
        <v>1299</v>
      </c>
      <c r="H1534">
        <v>0</v>
      </c>
      <c r="I1534" t="s">
        <v>50</v>
      </c>
      <c r="J1534" t="s">
        <v>51</v>
      </c>
      <c r="K1534" t="s">
        <v>17</v>
      </c>
      <c r="L1534">
        <f>F1533*G1533*(1-H1533)</f>
        <v>17996.400000000001</v>
      </c>
    </row>
    <row r="1535" spans="1:12">
      <c r="A1535" t="s">
        <v>2242</v>
      </c>
      <c r="B1535" s="1">
        <v>46076</v>
      </c>
      <c r="C1535" t="s">
        <v>908</v>
      </c>
      <c r="D1535" t="s">
        <v>59</v>
      </c>
      <c r="E1535" t="s">
        <v>35</v>
      </c>
      <c r="F1535">
        <v>3</v>
      </c>
      <c r="G1535">
        <v>7999</v>
      </c>
      <c r="H1535">
        <v>0</v>
      </c>
      <c r="I1535" t="s">
        <v>15</v>
      </c>
      <c r="J1535" t="s">
        <v>22</v>
      </c>
      <c r="K1535" t="s">
        <v>17</v>
      </c>
      <c r="L1535">
        <f>F1534*G1534*(1-H1534)</f>
        <v>2598</v>
      </c>
    </row>
    <row r="1536" spans="1:12">
      <c r="A1536" t="s">
        <v>2243</v>
      </c>
      <c r="B1536" s="1">
        <v>46066</v>
      </c>
      <c r="C1536" t="s">
        <v>653</v>
      </c>
      <c r="D1536" t="s">
        <v>43</v>
      </c>
      <c r="E1536" t="s">
        <v>27</v>
      </c>
      <c r="F1536">
        <v>1</v>
      </c>
      <c r="G1536">
        <v>1499</v>
      </c>
      <c r="H1536">
        <v>0.1</v>
      </c>
      <c r="I1536" t="s">
        <v>50</v>
      </c>
      <c r="J1536" t="s">
        <v>36</v>
      </c>
      <c r="K1536" t="s">
        <v>17</v>
      </c>
      <c r="L1536">
        <f>F1535*G1535*(1-H1535)</f>
        <v>23997</v>
      </c>
    </row>
    <row r="1537" spans="1:12">
      <c r="A1537" t="s">
        <v>2244</v>
      </c>
      <c r="B1537" s="1">
        <v>46087</v>
      </c>
      <c r="C1537" t="s">
        <v>1316</v>
      </c>
      <c r="D1537" t="s">
        <v>26</v>
      </c>
      <c r="E1537" t="s">
        <v>27</v>
      </c>
      <c r="F1537">
        <v>1</v>
      </c>
      <c r="G1537">
        <v>1999</v>
      </c>
      <c r="H1537">
        <v>0.1</v>
      </c>
      <c r="I1537" t="s">
        <v>50</v>
      </c>
      <c r="J1537" t="s">
        <v>36</v>
      </c>
      <c r="K1537" t="s">
        <v>17</v>
      </c>
      <c r="L1537">
        <f>F1536*G1536*(1-H1536)</f>
        <v>1349.1000000000001</v>
      </c>
    </row>
    <row r="1538" spans="1:12">
      <c r="A1538" t="s">
        <v>2245</v>
      </c>
      <c r="B1538" s="1">
        <v>46186</v>
      </c>
      <c r="C1538" t="s">
        <v>1499</v>
      </c>
      <c r="D1538" t="s">
        <v>59</v>
      </c>
      <c r="E1538" t="s">
        <v>35</v>
      </c>
      <c r="F1538">
        <v>4</v>
      </c>
      <c r="G1538">
        <v>499</v>
      </c>
      <c r="H1538">
        <v>0.15</v>
      </c>
      <c r="I1538" t="s">
        <v>32</v>
      </c>
      <c r="J1538" t="s">
        <v>16</v>
      </c>
      <c r="K1538" t="s">
        <v>37</v>
      </c>
      <c r="L1538">
        <f>F1537*G1537*(1-H1537)</f>
        <v>1799.1000000000001</v>
      </c>
    </row>
    <row r="1539" spans="1:12">
      <c r="A1539" t="s">
        <v>2246</v>
      </c>
      <c r="B1539" s="1">
        <v>46121</v>
      </c>
      <c r="C1539" t="s">
        <v>2247</v>
      </c>
      <c r="D1539" t="s">
        <v>31</v>
      </c>
      <c r="E1539" t="s">
        <v>40</v>
      </c>
      <c r="F1539">
        <v>4</v>
      </c>
      <c r="G1539">
        <v>499</v>
      </c>
      <c r="H1539">
        <v>0</v>
      </c>
      <c r="I1539" t="s">
        <v>47</v>
      </c>
      <c r="J1539" t="s">
        <v>16</v>
      </c>
      <c r="K1539" t="s">
        <v>17</v>
      </c>
      <c r="L1539">
        <f>F1538*G1538*(1-H1538)</f>
        <v>1696.6</v>
      </c>
    </row>
    <row r="1540" spans="1:12">
      <c r="A1540" t="s">
        <v>2248</v>
      </c>
      <c r="B1540" s="1">
        <v>46186</v>
      </c>
      <c r="C1540" t="s">
        <v>494</v>
      </c>
      <c r="D1540" t="s">
        <v>26</v>
      </c>
      <c r="E1540" t="s">
        <v>27</v>
      </c>
      <c r="F1540">
        <v>2</v>
      </c>
      <c r="G1540">
        <v>2499</v>
      </c>
      <c r="H1540">
        <v>0</v>
      </c>
      <c r="I1540" t="s">
        <v>15</v>
      </c>
      <c r="J1540" t="s">
        <v>16</v>
      </c>
      <c r="K1540" t="s">
        <v>17</v>
      </c>
      <c r="L1540">
        <f>F1539*G1539*(1-H1539)</f>
        <v>1996</v>
      </c>
    </row>
    <row r="1541" spans="1:12">
      <c r="A1541" t="s">
        <v>2249</v>
      </c>
      <c r="B1541" s="1">
        <v>46091</v>
      </c>
      <c r="C1541" t="s">
        <v>2148</v>
      </c>
      <c r="D1541" t="s">
        <v>31</v>
      </c>
      <c r="E1541" t="s">
        <v>14</v>
      </c>
      <c r="F1541">
        <v>2</v>
      </c>
      <c r="G1541">
        <v>1999</v>
      </c>
      <c r="H1541">
        <v>0</v>
      </c>
      <c r="I1541" t="s">
        <v>32</v>
      </c>
      <c r="J1541" t="s">
        <v>36</v>
      </c>
      <c r="K1541" t="s">
        <v>17</v>
      </c>
      <c r="L1541">
        <f>F1540*G1540*(1-H1540)</f>
        <v>4998</v>
      </c>
    </row>
    <row r="1542" spans="1:12">
      <c r="A1542" t="s">
        <v>2250</v>
      </c>
      <c r="B1542" s="1">
        <v>46080</v>
      </c>
      <c r="C1542" t="s">
        <v>2251</v>
      </c>
      <c r="D1542" t="s">
        <v>71</v>
      </c>
      <c r="E1542" t="s">
        <v>40</v>
      </c>
      <c r="F1542">
        <v>3</v>
      </c>
      <c r="G1542">
        <v>7999</v>
      </c>
      <c r="H1542">
        <v>0.1</v>
      </c>
      <c r="I1542" t="s">
        <v>50</v>
      </c>
      <c r="J1542" t="s">
        <v>51</v>
      </c>
      <c r="K1542" t="s">
        <v>23</v>
      </c>
      <c r="L1542">
        <f>F1541*G1541*(1-H1541)</f>
        <v>3998</v>
      </c>
    </row>
    <row r="1543" spans="1:12">
      <c r="A1543" t="s">
        <v>2252</v>
      </c>
      <c r="B1543" s="1">
        <v>46128</v>
      </c>
      <c r="C1543" t="s">
        <v>96</v>
      </c>
      <c r="D1543" t="s">
        <v>31</v>
      </c>
      <c r="E1543" t="s">
        <v>21</v>
      </c>
      <c r="F1543">
        <v>4</v>
      </c>
      <c r="G1543">
        <v>799</v>
      </c>
      <c r="H1543">
        <v>0</v>
      </c>
      <c r="I1543" t="s">
        <v>15</v>
      </c>
      <c r="J1543" t="s">
        <v>28</v>
      </c>
      <c r="K1543" t="s">
        <v>17</v>
      </c>
      <c r="L1543">
        <f>F1542*G1542*(1-H1542)</f>
        <v>21597.3</v>
      </c>
    </row>
    <row r="1544" spans="1:12">
      <c r="A1544" t="s">
        <v>2253</v>
      </c>
      <c r="B1544" s="1">
        <v>46222</v>
      </c>
      <c r="C1544" t="s">
        <v>822</v>
      </c>
      <c r="D1544" t="s">
        <v>59</v>
      </c>
      <c r="E1544" t="s">
        <v>27</v>
      </c>
      <c r="F1544">
        <v>2</v>
      </c>
      <c r="G1544">
        <v>4999</v>
      </c>
      <c r="H1544">
        <v>0.1</v>
      </c>
      <c r="I1544" t="s">
        <v>50</v>
      </c>
      <c r="J1544" t="s">
        <v>16</v>
      </c>
      <c r="K1544" t="s">
        <v>17</v>
      </c>
      <c r="L1544">
        <f>F1543*G1543*(1-H1543)</f>
        <v>3196</v>
      </c>
    </row>
    <row r="1545" spans="1:12">
      <c r="A1545" t="s">
        <v>2254</v>
      </c>
      <c r="B1545" s="1">
        <v>46030</v>
      </c>
      <c r="C1545" t="s">
        <v>1728</v>
      </c>
      <c r="D1545" t="s">
        <v>71</v>
      </c>
      <c r="E1545" t="s">
        <v>27</v>
      </c>
      <c r="F1545">
        <v>4</v>
      </c>
      <c r="G1545">
        <v>1299</v>
      </c>
      <c r="H1545">
        <v>0.05</v>
      </c>
      <c r="I1545" t="s">
        <v>15</v>
      </c>
      <c r="J1545" t="s">
        <v>36</v>
      </c>
      <c r="K1545" t="s">
        <v>17</v>
      </c>
      <c r="L1545">
        <f>F1544*G1544*(1-H1544)</f>
        <v>8998.2000000000007</v>
      </c>
    </row>
    <row r="1546" spans="1:12">
      <c r="A1546" t="s">
        <v>2255</v>
      </c>
      <c r="B1546" s="1">
        <v>46263</v>
      </c>
      <c r="C1546" t="s">
        <v>2256</v>
      </c>
      <c r="D1546" t="s">
        <v>56</v>
      </c>
      <c r="E1546" t="s">
        <v>14</v>
      </c>
      <c r="F1546">
        <v>1</v>
      </c>
      <c r="G1546">
        <v>4999</v>
      </c>
      <c r="H1546">
        <v>0.05</v>
      </c>
      <c r="I1546" t="s">
        <v>44</v>
      </c>
      <c r="J1546" t="s">
        <v>16</v>
      </c>
      <c r="K1546" t="s">
        <v>23</v>
      </c>
      <c r="L1546">
        <f>F1545*G1545*(1-H1545)</f>
        <v>4936.2</v>
      </c>
    </row>
    <row r="1547" spans="1:12">
      <c r="A1547" t="s">
        <v>2257</v>
      </c>
      <c r="B1547" s="1">
        <v>46289</v>
      </c>
      <c r="C1547" t="s">
        <v>1454</v>
      </c>
      <c r="D1547" t="s">
        <v>43</v>
      </c>
      <c r="E1547" t="s">
        <v>27</v>
      </c>
      <c r="F1547">
        <v>2</v>
      </c>
      <c r="G1547">
        <v>999</v>
      </c>
      <c r="H1547">
        <v>0.15</v>
      </c>
      <c r="I1547" t="s">
        <v>15</v>
      </c>
      <c r="J1547" t="s">
        <v>36</v>
      </c>
      <c r="K1547" t="s">
        <v>23</v>
      </c>
      <c r="L1547">
        <f>F1546*G1546*(1-H1546)</f>
        <v>4749.05</v>
      </c>
    </row>
    <row r="1548" spans="1:12">
      <c r="A1548" t="s">
        <v>2258</v>
      </c>
      <c r="B1548" s="1">
        <v>46295</v>
      </c>
      <c r="C1548" t="s">
        <v>2148</v>
      </c>
      <c r="D1548" t="s">
        <v>62</v>
      </c>
      <c r="E1548" t="s">
        <v>27</v>
      </c>
      <c r="F1548">
        <v>5</v>
      </c>
      <c r="G1548">
        <v>1299</v>
      </c>
      <c r="H1548">
        <v>0</v>
      </c>
      <c r="I1548" t="s">
        <v>15</v>
      </c>
      <c r="J1548" t="s">
        <v>16</v>
      </c>
      <c r="K1548" t="s">
        <v>37</v>
      </c>
      <c r="L1548">
        <f>F1547*G1547*(1-H1547)</f>
        <v>1698.3</v>
      </c>
    </row>
    <row r="1549" spans="1:12">
      <c r="A1549" t="s">
        <v>2259</v>
      </c>
      <c r="B1549" s="1">
        <v>46199</v>
      </c>
      <c r="C1549" t="s">
        <v>769</v>
      </c>
      <c r="D1549" t="s">
        <v>20</v>
      </c>
      <c r="E1549" t="s">
        <v>40</v>
      </c>
      <c r="F1549">
        <v>2</v>
      </c>
      <c r="G1549">
        <v>599</v>
      </c>
      <c r="H1549">
        <v>0.05</v>
      </c>
      <c r="I1549" t="s">
        <v>15</v>
      </c>
      <c r="J1549" t="s">
        <v>51</v>
      </c>
      <c r="K1549" t="s">
        <v>23</v>
      </c>
      <c r="L1549">
        <f>F1548*G1548*(1-H1548)</f>
        <v>6495</v>
      </c>
    </row>
    <row r="1550" spans="1:12">
      <c r="A1550" t="s">
        <v>2260</v>
      </c>
      <c r="B1550" s="1">
        <v>46040</v>
      </c>
      <c r="C1550" t="s">
        <v>2261</v>
      </c>
      <c r="D1550" t="s">
        <v>31</v>
      </c>
      <c r="E1550" t="s">
        <v>35</v>
      </c>
      <c r="F1550">
        <v>3</v>
      </c>
      <c r="G1550">
        <v>1499</v>
      </c>
      <c r="H1550">
        <v>0.15</v>
      </c>
      <c r="I1550" t="s">
        <v>50</v>
      </c>
      <c r="J1550" t="s">
        <v>22</v>
      </c>
      <c r="K1550" t="s">
        <v>17</v>
      </c>
      <c r="L1550">
        <f>F1549*G1549*(1-H1549)</f>
        <v>1138.0999999999999</v>
      </c>
    </row>
    <row r="1551" spans="1:12">
      <c r="A1551" t="s">
        <v>2262</v>
      </c>
      <c r="B1551" s="1">
        <v>46137</v>
      </c>
      <c r="C1551" t="s">
        <v>903</v>
      </c>
      <c r="D1551" t="s">
        <v>31</v>
      </c>
      <c r="E1551" t="s">
        <v>27</v>
      </c>
      <c r="F1551">
        <v>3</v>
      </c>
      <c r="G1551">
        <v>1999</v>
      </c>
      <c r="H1551">
        <v>0.1</v>
      </c>
      <c r="I1551" t="s">
        <v>50</v>
      </c>
      <c r="J1551" t="s">
        <v>16</v>
      </c>
      <c r="K1551" t="s">
        <v>23</v>
      </c>
      <c r="L1551">
        <f>F1550*G1550*(1-H1550)</f>
        <v>3822.45</v>
      </c>
    </row>
    <row r="1552" spans="1:12">
      <c r="A1552" t="s">
        <v>2263</v>
      </c>
      <c r="B1552" s="1">
        <v>46246</v>
      </c>
      <c r="C1552" t="s">
        <v>608</v>
      </c>
      <c r="D1552" t="s">
        <v>78</v>
      </c>
      <c r="E1552" t="s">
        <v>14</v>
      </c>
      <c r="F1552">
        <v>5</v>
      </c>
      <c r="G1552">
        <v>599</v>
      </c>
      <c r="H1552">
        <v>0.1</v>
      </c>
      <c r="I1552" t="s">
        <v>50</v>
      </c>
      <c r="J1552" t="s">
        <v>28</v>
      </c>
      <c r="K1552" t="s">
        <v>17</v>
      </c>
      <c r="L1552">
        <f>F1551*G1551*(1-H1551)</f>
        <v>5397.3</v>
      </c>
    </row>
    <row r="1553" spans="1:12">
      <c r="A1553" t="s">
        <v>2264</v>
      </c>
      <c r="B1553" s="1">
        <v>46162</v>
      </c>
      <c r="C1553" t="s">
        <v>2265</v>
      </c>
      <c r="D1553" t="s">
        <v>78</v>
      </c>
      <c r="E1553" t="s">
        <v>27</v>
      </c>
      <c r="F1553">
        <v>1</v>
      </c>
      <c r="G1553">
        <v>7999</v>
      </c>
      <c r="H1553">
        <v>0</v>
      </c>
      <c r="I1553" t="s">
        <v>47</v>
      </c>
      <c r="J1553" t="s">
        <v>22</v>
      </c>
      <c r="K1553" t="s">
        <v>17</v>
      </c>
      <c r="L1553">
        <f>F1552*G1552*(1-H1552)</f>
        <v>2695.5</v>
      </c>
    </row>
    <row r="1554" spans="1:12">
      <c r="A1554" t="s">
        <v>2266</v>
      </c>
      <c r="B1554" s="1">
        <v>46236</v>
      </c>
      <c r="C1554" t="s">
        <v>1207</v>
      </c>
      <c r="D1554" t="s">
        <v>56</v>
      </c>
      <c r="E1554" t="s">
        <v>40</v>
      </c>
      <c r="F1554">
        <v>4</v>
      </c>
      <c r="G1554">
        <v>1999</v>
      </c>
      <c r="H1554">
        <v>0.1</v>
      </c>
      <c r="I1554" t="s">
        <v>15</v>
      </c>
      <c r="J1554" t="s">
        <v>16</v>
      </c>
      <c r="K1554" t="s">
        <v>23</v>
      </c>
      <c r="L1554">
        <f>F1553*G1553*(1-H1553)</f>
        <v>7999</v>
      </c>
    </row>
    <row r="1555" spans="1:12">
      <c r="A1555" t="s">
        <v>2267</v>
      </c>
      <c r="B1555" s="1">
        <v>46068</v>
      </c>
      <c r="C1555" t="s">
        <v>829</v>
      </c>
      <c r="D1555" t="s">
        <v>43</v>
      </c>
      <c r="E1555" t="s">
        <v>14</v>
      </c>
      <c r="F1555">
        <v>4</v>
      </c>
      <c r="G1555">
        <v>4999</v>
      </c>
      <c r="H1555">
        <v>0.1</v>
      </c>
      <c r="I1555" t="s">
        <v>32</v>
      </c>
      <c r="J1555" t="s">
        <v>36</v>
      </c>
      <c r="K1555" t="s">
        <v>17</v>
      </c>
      <c r="L1555">
        <f>F1554*G1554*(1-H1554)</f>
        <v>7196.4000000000005</v>
      </c>
    </row>
    <row r="1556" spans="1:12">
      <c r="A1556" t="s">
        <v>2268</v>
      </c>
      <c r="B1556" s="1">
        <v>46162</v>
      </c>
      <c r="C1556" t="s">
        <v>126</v>
      </c>
      <c r="D1556" t="s">
        <v>62</v>
      </c>
      <c r="E1556" t="s">
        <v>14</v>
      </c>
      <c r="F1556">
        <v>2</v>
      </c>
      <c r="G1556">
        <v>1499</v>
      </c>
      <c r="H1556">
        <v>0.1</v>
      </c>
      <c r="I1556" t="s">
        <v>15</v>
      </c>
      <c r="J1556" t="s">
        <v>28</v>
      </c>
      <c r="K1556" t="s">
        <v>23</v>
      </c>
      <c r="L1556">
        <f>F1555*G1555*(1-H1555)</f>
        <v>17996.400000000001</v>
      </c>
    </row>
    <row r="1557" spans="1:12">
      <c r="A1557" t="s">
        <v>2269</v>
      </c>
      <c r="B1557" s="1">
        <v>46116</v>
      </c>
      <c r="C1557" t="s">
        <v>2270</v>
      </c>
      <c r="D1557" t="s">
        <v>71</v>
      </c>
      <c r="E1557" t="s">
        <v>27</v>
      </c>
      <c r="F1557">
        <v>1</v>
      </c>
      <c r="G1557">
        <v>4999</v>
      </c>
      <c r="H1557">
        <v>0.15</v>
      </c>
      <c r="I1557" t="s">
        <v>50</v>
      </c>
      <c r="J1557" t="s">
        <v>36</v>
      </c>
      <c r="K1557" t="s">
        <v>17</v>
      </c>
      <c r="L1557">
        <f>F1556*G1556*(1-H1556)</f>
        <v>2698.2000000000003</v>
      </c>
    </row>
    <row r="1558" spans="1:12">
      <c r="A1558" t="s">
        <v>2271</v>
      </c>
      <c r="B1558" s="1">
        <v>46218</v>
      </c>
      <c r="C1558" t="s">
        <v>2272</v>
      </c>
      <c r="D1558" t="s">
        <v>13</v>
      </c>
      <c r="E1558" t="s">
        <v>27</v>
      </c>
      <c r="F1558">
        <v>5</v>
      </c>
      <c r="G1558">
        <v>799</v>
      </c>
      <c r="H1558">
        <v>0</v>
      </c>
      <c r="I1558" t="s">
        <v>44</v>
      </c>
      <c r="J1558" t="s">
        <v>22</v>
      </c>
      <c r="K1558" t="s">
        <v>17</v>
      </c>
      <c r="L1558">
        <f>F1557*G1557*(1-H1557)</f>
        <v>4249.1499999999996</v>
      </c>
    </row>
    <row r="1559" spans="1:12">
      <c r="A1559" t="s">
        <v>2273</v>
      </c>
      <c r="B1559" s="1">
        <v>46026</v>
      </c>
      <c r="C1559" t="s">
        <v>1355</v>
      </c>
      <c r="D1559" t="s">
        <v>56</v>
      </c>
      <c r="E1559" t="s">
        <v>14</v>
      </c>
      <c r="F1559">
        <v>2</v>
      </c>
      <c r="G1559">
        <v>599</v>
      </c>
      <c r="H1559">
        <v>0</v>
      </c>
      <c r="I1559" t="s">
        <v>47</v>
      </c>
      <c r="J1559" t="s">
        <v>16</v>
      </c>
      <c r="K1559" t="s">
        <v>17</v>
      </c>
      <c r="L1559">
        <f>F1558*G1558*(1-H1558)</f>
        <v>3995</v>
      </c>
    </row>
    <row r="1560" spans="1:12">
      <c r="A1560" t="s">
        <v>2274</v>
      </c>
      <c r="B1560" s="1">
        <v>46033</v>
      </c>
      <c r="C1560" t="s">
        <v>213</v>
      </c>
      <c r="D1560" t="s">
        <v>13</v>
      </c>
      <c r="E1560" t="s">
        <v>14</v>
      </c>
      <c r="F1560">
        <v>2</v>
      </c>
      <c r="G1560">
        <v>599</v>
      </c>
      <c r="H1560">
        <v>0.1</v>
      </c>
      <c r="I1560" t="s">
        <v>15</v>
      </c>
      <c r="J1560" t="s">
        <v>51</v>
      </c>
      <c r="K1560" t="s">
        <v>37</v>
      </c>
      <c r="L1560">
        <f>F1559*G1559*(1-H1559)</f>
        <v>1198</v>
      </c>
    </row>
    <row r="1561" spans="1:12">
      <c r="A1561" t="s">
        <v>2275</v>
      </c>
      <c r="B1561" s="1">
        <v>46048</v>
      </c>
      <c r="C1561" t="s">
        <v>1062</v>
      </c>
      <c r="D1561" t="s">
        <v>20</v>
      </c>
      <c r="E1561" t="s">
        <v>14</v>
      </c>
      <c r="F1561">
        <v>4</v>
      </c>
      <c r="G1561">
        <v>1999</v>
      </c>
      <c r="H1561">
        <v>0.05</v>
      </c>
      <c r="I1561" t="s">
        <v>32</v>
      </c>
      <c r="J1561" t="s">
        <v>28</v>
      </c>
      <c r="K1561" t="s">
        <v>17</v>
      </c>
      <c r="L1561">
        <f>F1560*G1560*(1-H1560)</f>
        <v>1078.2</v>
      </c>
    </row>
    <row r="1562" spans="1:12">
      <c r="A1562" t="s">
        <v>2276</v>
      </c>
      <c r="B1562" s="1">
        <v>46268</v>
      </c>
      <c r="C1562" t="s">
        <v>2277</v>
      </c>
      <c r="D1562" t="s">
        <v>20</v>
      </c>
      <c r="E1562" t="s">
        <v>14</v>
      </c>
      <c r="F1562">
        <v>2</v>
      </c>
      <c r="G1562">
        <v>1499</v>
      </c>
      <c r="H1562">
        <v>0</v>
      </c>
      <c r="I1562" t="s">
        <v>32</v>
      </c>
      <c r="J1562" t="s">
        <v>51</v>
      </c>
      <c r="K1562" t="s">
        <v>17</v>
      </c>
      <c r="L1562">
        <f>F1561*G1561*(1-H1561)</f>
        <v>7596.2</v>
      </c>
    </row>
    <row r="1563" spans="1:12">
      <c r="A1563" t="s">
        <v>2278</v>
      </c>
      <c r="B1563" s="1">
        <v>46264</v>
      </c>
      <c r="C1563" t="s">
        <v>1400</v>
      </c>
      <c r="D1563" t="s">
        <v>20</v>
      </c>
      <c r="E1563" t="s">
        <v>40</v>
      </c>
      <c r="F1563">
        <v>1</v>
      </c>
      <c r="G1563">
        <v>799</v>
      </c>
      <c r="H1563">
        <v>0</v>
      </c>
      <c r="I1563" t="s">
        <v>32</v>
      </c>
      <c r="J1563" t="s">
        <v>28</v>
      </c>
      <c r="K1563" t="s">
        <v>17</v>
      </c>
      <c r="L1563">
        <f>F1562*G1562*(1-H1562)</f>
        <v>2998</v>
      </c>
    </row>
    <row r="1564" spans="1:12">
      <c r="A1564" t="s">
        <v>2279</v>
      </c>
      <c r="B1564" s="1">
        <v>46243</v>
      </c>
      <c r="C1564" t="s">
        <v>251</v>
      </c>
      <c r="D1564" t="s">
        <v>62</v>
      </c>
      <c r="E1564" t="s">
        <v>27</v>
      </c>
      <c r="F1564">
        <v>2</v>
      </c>
      <c r="G1564">
        <v>499</v>
      </c>
      <c r="H1564">
        <v>0</v>
      </c>
      <c r="I1564" t="s">
        <v>15</v>
      </c>
      <c r="J1564" t="s">
        <v>28</v>
      </c>
      <c r="K1564" t="s">
        <v>37</v>
      </c>
      <c r="L1564">
        <f>F1563*G1563*(1-H1563)</f>
        <v>799</v>
      </c>
    </row>
    <row r="1565" spans="1:12">
      <c r="A1565" t="s">
        <v>2280</v>
      </c>
      <c r="B1565" s="1">
        <v>46185</v>
      </c>
      <c r="C1565" t="s">
        <v>1444</v>
      </c>
      <c r="D1565" t="s">
        <v>20</v>
      </c>
      <c r="E1565" t="s">
        <v>21</v>
      </c>
      <c r="F1565">
        <v>2</v>
      </c>
      <c r="G1565">
        <v>1499</v>
      </c>
      <c r="H1565">
        <v>0</v>
      </c>
      <c r="I1565" t="s">
        <v>44</v>
      </c>
      <c r="J1565" t="s">
        <v>36</v>
      </c>
      <c r="K1565" t="s">
        <v>17</v>
      </c>
      <c r="L1565">
        <f>F1564*G1564*(1-H1564)</f>
        <v>998</v>
      </c>
    </row>
    <row r="1566" spans="1:12">
      <c r="A1566" t="s">
        <v>2281</v>
      </c>
      <c r="B1566" s="1">
        <v>46238</v>
      </c>
      <c r="C1566" t="s">
        <v>504</v>
      </c>
      <c r="D1566" t="s">
        <v>20</v>
      </c>
      <c r="E1566" t="s">
        <v>14</v>
      </c>
      <c r="F1566">
        <v>2</v>
      </c>
      <c r="G1566">
        <v>599</v>
      </c>
      <c r="H1566">
        <v>0.05</v>
      </c>
      <c r="I1566" t="s">
        <v>15</v>
      </c>
      <c r="J1566" t="s">
        <v>36</v>
      </c>
      <c r="K1566" t="s">
        <v>37</v>
      </c>
      <c r="L1566">
        <f>F1565*G1565*(1-H1565)</f>
        <v>2998</v>
      </c>
    </row>
    <row r="1567" spans="1:12">
      <c r="A1567" t="s">
        <v>2282</v>
      </c>
      <c r="B1567" s="1">
        <v>46094</v>
      </c>
      <c r="C1567" t="s">
        <v>575</v>
      </c>
      <c r="D1567" t="s">
        <v>20</v>
      </c>
      <c r="E1567" t="s">
        <v>27</v>
      </c>
      <c r="F1567">
        <v>2</v>
      </c>
      <c r="G1567">
        <v>4999</v>
      </c>
      <c r="H1567">
        <v>0</v>
      </c>
      <c r="I1567" t="s">
        <v>50</v>
      </c>
      <c r="J1567" t="s">
        <v>36</v>
      </c>
      <c r="K1567" t="s">
        <v>17</v>
      </c>
      <c r="L1567">
        <f>F1566*G1566*(1-H1566)</f>
        <v>1138.0999999999999</v>
      </c>
    </row>
    <row r="1568" spans="1:12">
      <c r="A1568" t="s">
        <v>2283</v>
      </c>
      <c r="B1568" s="1">
        <v>46070</v>
      </c>
      <c r="C1568" t="s">
        <v>680</v>
      </c>
      <c r="D1568" t="s">
        <v>13</v>
      </c>
      <c r="E1568" t="s">
        <v>40</v>
      </c>
      <c r="F1568">
        <v>4</v>
      </c>
      <c r="G1568">
        <v>999</v>
      </c>
      <c r="H1568">
        <v>0.15</v>
      </c>
      <c r="I1568" t="s">
        <v>50</v>
      </c>
      <c r="J1568" t="s">
        <v>28</v>
      </c>
      <c r="K1568" t="s">
        <v>37</v>
      </c>
      <c r="L1568">
        <f>F1567*G1567*(1-H1567)</f>
        <v>9998</v>
      </c>
    </row>
    <row r="1569" spans="1:12">
      <c r="A1569" t="s">
        <v>2284</v>
      </c>
      <c r="B1569" s="1">
        <v>46255</v>
      </c>
      <c r="C1569" t="s">
        <v>1634</v>
      </c>
      <c r="D1569" t="s">
        <v>62</v>
      </c>
      <c r="E1569" t="s">
        <v>40</v>
      </c>
      <c r="F1569">
        <v>4</v>
      </c>
      <c r="G1569">
        <v>799</v>
      </c>
      <c r="H1569">
        <v>0.15</v>
      </c>
      <c r="I1569" t="s">
        <v>50</v>
      </c>
      <c r="J1569" t="s">
        <v>36</v>
      </c>
      <c r="K1569" t="s">
        <v>17</v>
      </c>
      <c r="L1569">
        <f>F1568*G1568*(1-H1568)</f>
        <v>3396.6</v>
      </c>
    </row>
    <row r="1570" spans="1:12">
      <c r="A1570" t="s">
        <v>2285</v>
      </c>
      <c r="B1570" s="1">
        <v>46185</v>
      </c>
      <c r="C1570" t="s">
        <v>1511</v>
      </c>
      <c r="D1570" t="s">
        <v>59</v>
      </c>
      <c r="E1570" t="s">
        <v>21</v>
      </c>
      <c r="F1570">
        <v>2</v>
      </c>
      <c r="G1570">
        <v>599</v>
      </c>
      <c r="H1570">
        <v>0.05</v>
      </c>
      <c r="I1570" t="s">
        <v>50</v>
      </c>
      <c r="J1570" t="s">
        <v>16</v>
      </c>
      <c r="K1570" t="s">
        <v>23</v>
      </c>
      <c r="L1570">
        <f>F1569*G1569*(1-H1569)</f>
        <v>2716.6</v>
      </c>
    </row>
    <row r="1571" spans="1:12">
      <c r="A1571" t="s">
        <v>2286</v>
      </c>
      <c r="B1571" s="1">
        <v>46035</v>
      </c>
      <c r="C1571" t="s">
        <v>1216</v>
      </c>
      <c r="D1571" t="s">
        <v>59</v>
      </c>
      <c r="E1571" t="s">
        <v>21</v>
      </c>
      <c r="F1571">
        <v>5</v>
      </c>
      <c r="G1571">
        <v>499</v>
      </c>
      <c r="H1571">
        <v>0</v>
      </c>
      <c r="I1571" t="s">
        <v>47</v>
      </c>
      <c r="J1571" t="s">
        <v>51</v>
      </c>
      <c r="K1571" t="s">
        <v>17</v>
      </c>
      <c r="L1571">
        <f>F1570*G1570*(1-H1570)</f>
        <v>1138.0999999999999</v>
      </c>
    </row>
    <row r="1572" spans="1:12">
      <c r="A1572" t="s">
        <v>2287</v>
      </c>
      <c r="B1572" s="1">
        <v>46032</v>
      </c>
      <c r="C1572" t="s">
        <v>1568</v>
      </c>
      <c r="D1572" t="s">
        <v>13</v>
      </c>
      <c r="E1572" t="s">
        <v>27</v>
      </c>
      <c r="F1572">
        <v>5</v>
      </c>
      <c r="G1572">
        <v>1499</v>
      </c>
      <c r="H1572">
        <v>0.15</v>
      </c>
      <c r="I1572" t="s">
        <v>47</v>
      </c>
      <c r="J1572" t="s">
        <v>36</v>
      </c>
      <c r="K1572" t="s">
        <v>17</v>
      </c>
      <c r="L1572">
        <f>F1571*G1571*(1-H1571)</f>
        <v>2495</v>
      </c>
    </row>
    <row r="1573" spans="1:12">
      <c r="A1573" t="s">
        <v>2288</v>
      </c>
      <c r="B1573" s="1">
        <v>46159</v>
      </c>
      <c r="C1573" t="s">
        <v>1777</v>
      </c>
      <c r="D1573" t="s">
        <v>78</v>
      </c>
      <c r="E1573" t="s">
        <v>27</v>
      </c>
      <c r="F1573">
        <v>2</v>
      </c>
      <c r="G1573">
        <v>499</v>
      </c>
      <c r="H1573">
        <v>0.15</v>
      </c>
      <c r="I1573" t="s">
        <v>15</v>
      </c>
      <c r="J1573" t="s">
        <v>51</v>
      </c>
      <c r="K1573" t="s">
        <v>23</v>
      </c>
      <c r="L1573">
        <f>F1572*G1572*(1-H1572)</f>
        <v>6370.75</v>
      </c>
    </row>
    <row r="1574" spans="1:12">
      <c r="A1574" t="s">
        <v>2289</v>
      </c>
      <c r="B1574" s="1">
        <v>46113</v>
      </c>
      <c r="C1574" t="s">
        <v>199</v>
      </c>
      <c r="D1574" t="s">
        <v>62</v>
      </c>
      <c r="E1574" t="s">
        <v>27</v>
      </c>
      <c r="F1574">
        <v>1</v>
      </c>
      <c r="G1574">
        <v>1299</v>
      </c>
      <c r="H1574">
        <v>0.05</v>
      </c>
      <c r="I1574" t="s">
        <v>50</v>
      </c>
      <c r="J1574" t="s">
        <v>22</v>
      </c>
      <c r="K1574" t="s">
        <v>17</v>
      </c>
      <c r="L1574">
        <f>F1573*G1573*(1-H1573)</f>
        <v>848.3</v>
      </c>
    </row>
    <row r="1575" spans="1:12">
      <c r="A1575" t="s">
        <v>2290</v>
      </c>
      <c r="B1575" s="1">
        <v>46216</v>
      </c>
      <c r="C1575" t="s">
        <v>2073</v>
      </c>
      <c r="D1575" t="s">
        <v>62</v>
      </c>
      <c r="E1575" t="s">
        <v>14</v>
      </c>
      <c r="F1575">
        <v>5</v>
      </c>
      <c r="G1575">
        <v>599</v>
      </c>
      <c r="H1575">
        <v>0.05</v>
      </c>
      <c r="I1575" t="s">
        <v>32</v>
      </c>
      <c r="J1575" t="s">
        <v>28</v>
      </c>
      <c r="K1575" t="s">
        <v>23</v>
      </c>
      <c r="L1575">
        <f>F1574*G1574*(1-H1574)</f>
        <v>1234.05</v>
      </c>
    </row>
    <row r="1576" spans="1:12">
      <c r="A1576" t="s">
        <v>2291</v>
      </c>
      <c r="B1576" s="1">
        <v>46173</v>
      </c>
      <c r="C1576" t="s">
        <v>343</v>
      </c>
      <c r="D1576" t="s">
        <v>43</v>
      </c>
      <c r="E1576" t="s">
        <v>14</v>
      </c>
      <c r="F1576">
        <v>1</v>
      </c>
      <c r="G1576">
        <v>1299</v>
      </c>
      <c r="H1576">
        <v>0</v>
      </c>
      <c r="I1576" t="s">
        <v>47</v>
      </c>
      <c r="J1576" t="s">
        <v>28</v>
      </c>
      <c r="K1576" t="s">
        <v>23</v>
      </c>
      <c r="L1576">
        <f>F1575*G1575*(1-H1575)</f>
        <v>2845.25</v>
      </c>
    </row>
    <row r="1577" spans="1:12">
      <c r="A1577" t="s">
        <v>2292</v>
      </c>
      <c r="B1577" s="1">
        <v>46249</v>
      </c>
      <c r="C1577" t="s">
        <v>2293</v>
      </c>
      <c r="D1577" t="s">
        <v>56</v>
      </c>
      <c r="E1577" t="s">
        <v>27</v>
      </c>
      <c r="F1577">
        <v>4</v>
      </c>
      <c r="G1577">
        <v>1999</v>
      </c>
      <c r="H1577">
        <v>0.1</v>
      </c>
      <c r="I1577" t="s">
        <v>15</v>
      </c>
      <c r="J1577" t="s">
        <v>51</v>
      </c>
      <c r="K1577" t="s">
        <v>17</v>
      </c>
      <c r="L1577">
        <f>F1576*G1576*(1-H1576)</f>
        <v>1299</v>
      </c>
    </row>
    <row r="1578" spans="1:12">
      <c r="A1578" t="s">
        <v>2294</v>
      </c>
      <c r="B1578" s="1">
        <v>46052</v>
      </c>
      <c r="C1578" t="s">
        <v>2295</v>
      </c>
      <c r="D1578" t="s">
        <v>43</v>
      </c>
      <c r="E1578" t="s">
        <v>35</v>
      </c>
      <c r="F1578">
        <v>4</v>
      </c>
      <c r="G1578">
        <v>1299</v>
      </c>
      <c r="H1578">
        <v>0</v>
      </c>
      <c r="I1578" t="s">
        <v>44</v>
      </c>
      <c r="J1578" t="s">
        <v>36</v>
      </c>
      <c r="K1578" t="s">
        <v>17</v>
      </c>
      <c r="L1578">
        <f>F1577*G1577*(1-H1577)</f>
        <v>7196.4000000000005</v>
      </c>
    </row>
    <row r="1579" spans="1:12">
      <c r="A1579" t="s">
        <v>2296</v>
      </c>
      <c r="B1579" s="1">
        <v>46090</v>
      </c>
      <c r="C1579" t="s">
        <v>1597</v>
      </c>
      <c r="D1579" t="s">
        <v>56</v>
      </c>
      <c r="E1579" t="s">
        <v>14</v>
      </c>
      <c r="F1579">
        <v>5</v>
      </c>
      <c r="G1579">
        <v>7999</v>
      </c>
      <c r="H1579">
        <v>0</v>
      </c>
      <c r="I1579" t="s">
        <v>50</v>
      </c>
      <c r="J1579" t="s">
        <v>22</v>
      </c>
      <c r="K1579" t="s">
        <v>37</v>
      </c>
      <c r="L1579">
        <f>F1578*G1578*(1-H1578)</f>
        <v>5196</v>
      </c>
    </row>
    <row r="1580" spans="1:12">
      <c r="A1580" t="s">
        <v>2297</v>
      </c>
      <c r="B1580" s="1">
        <v>46061</v>
      </c>
      <c r="C1580" t="s">
        <v>780</v>
      </c>
      <c r="D1580" t="s">
        <v>62</v>
      </c>
      <c r="E1580" t="s">
        <v>14</v>
      </c>
      <c r="F1580">
        <v>5</v>
      </c>
      <c r="G1580">
        <v>4999</v>
      </c>
      <c r="H1580">
        <v>0.15</v>
      </c>
      <c r="I1580" t="s">
        <v>32</v>
      </c>
      <c r="J1580" t="s">
        <v>28</v>
      </c>
      <c r="K1580" t="s">
        <v>37</v>
      </c>
      <c r="L1580">
        <f>F1579*G1579*(1-H1579)</f>
        <v>39995</v>
      </c>
    </row>
    <row r="1581" spans="1:12">
      <c r="A1581" t="s">
        <v>2298</v>
      </c>
      <c r="B1581" s="1">
        <v>46079</v>
      </c>
      <c r="C1581" t="s">
        <v>1958</v>
      </c>
      <c r="D1581" t="s">
        <v>59</v>
      </c>
      <c r="E1581" t="s">
        <v>14</v>
      </c>
      <c r="F1581">
        <v>4</v>
      </c>
      <c r="G1581">
        <v>1299</v>
      </c>
      <c r="H1581">
        <v>0.1</v>
      </c>
      <c r="I1581" t="s">
        <v>50</v>
      </c>
      <c r="J1581" t="s">
        <v>28</v>
      </c>
      <c r="K1581" t="s">
        <v>17</v>
      </c>
      <c r="L1581">
        <f>F1580*G1580*(1-H1580)</f>
        <v>21245.75</v>
      </c>
    </row>
    <row r="1582" spans="1:12">
      <c r="A1582" t="s">
        <v>2299</v>
      </c>
      <c r="B1582" s="1">
        <v>46247</v>
      </c>
      <c r="C1582" t="s">
        <v>55</v>
      </c>
      <c r="D1582" t="s">
        <v>56</v>
      </c>
      <c r="E1582" t="s">
        <v>35</v>
      </c>
      <c r="F1582">
        <v>1</v>
      </c>
      <c r="G1582">
        <v>999</v>
      </c>
      <c r="H1582">
        <v>0.05</v>
      </c>
      <c r="I1582" t="s">
        <v>32</v>
      </c>
      <c r="J1582" t="s">
        <v>28</v>
      </c>
      <c r="K1582" t="s">
        <v>17</v>
      </c>
      <c r="L1582">
        <f>F1581*G1581*(1-H1581)</f>
        <v>4676.4000000000005</v>
      </c>
    </row>
    <row r="1583" spans="1:12">
      <c r="A1583" t="s">
        <v>2300</v>
      </c>
      <c r="B1583" s="1">
        <v>46154</v>
      </c>
      <c r="C1583" t="s">
        <v>1514</v>
      </c>
      <c r="D1583" t="s">
        <v>20</v>
      </c>
      <c r="E1583" t="s">
        <v>40</v>
      </c>
      <c r="F1583">
        <v>4</v>
      </c>
      <c r="G1583">
        <v>799</v>
      </c>
      <c r="H1583">
        <v>0.1</v>
      </c>
      <c r="I1583" t="s">
        <v>32</v>
      </c>
      <c r="J1583" t="s">
        <v>28</v>
      </c>
      <c r="K1583" t="s">
        <v>17</v>
      </c>
      <c r="L1583">
        <f>F1582*G1582*(1-H1582)</f>
        <v>949.05</v>
      </c>
    </row>
    <row r="1584" spans="1:12">
      <c r="A1584" t="s">
        <v>2301</v>
      </c>
      <c r="B1584" s="1">
        <v>46225</v>
      </c>
      <c r="C1584" t="s">
        <v>669</v>
      </c>
      <c r="D1584" t="s">
        <v>13</v>
      </c>
      <c r="E1584" t="s">
        <v>35</v>
      </c>
      <c r="F1584">
        <v>1</v>
      </c>
      <c r="G1584">
        <v>1299</v>
      </c>
      <c r="H1584">
        <v>0.1</v>
      </c>
      <c r="I1584" t="s">
        <v>50</v>
      </c>
      <c r="J1584" t="s">
        <v>16</v>
      </c>
      <c r="K1584" t="s">
        <v>37</v>
      </c>
      <c r="L1584">
        <f>F1583*G1583*(1-H1583)</f>
        <v>2876.4</v>
      </c>
    </row>
    <row r="1585" spans="1:12">
      <c r="A1585" t="s">
        <v>2302</v>
      </c>
      <c r="B1585" s="1">
        <v>46148</v>
      </c>
      <c r="C1585" t="s">
        <v>2303</v>
      </c>
      <c r="D1585" t="s">
        <v>20</v>
      </c>
      <c r="E1585" t="s">
        <v>14</v>
      </c>
      <c r="F1585">
        <v>3</v>
      </c>
      <c r="G1585">
        <v>7999</v>
      </c>
      <c r="H1585">
        <v>0.1</v>
      </c>
      <c r="I1585" t="s">
        <v>47</v>
      </c>
      <c r="J1585" t="s">
        <v>51</v>
      </c>
      <c r="K1585" t="s">
        <v>17</v>
      </c>
      <c r="L1585">
        <f>F1584*G1584*(1-H1584)</f>
        <v>1169.1000000000001</v>
      </c>
    </row>
    <row r="1586" spans="1:12">
      <c r="A1586" t="s">
        <v>2304</v>
      </c>
      <c r="B1586" s="1">
        <v>46157</v>
      </c>
      <c r="C1586" t="s">
        <v>245</v>
      </c>
      <c r="D1586" t="s">
        <v>78</v>
      </c>
      <c r="E1586" t="s">
        <v>35</v>
      </c>
      <c r="F1586">
        <v>3</v>
      </c>
      <c r="G1586">
        <v>4999</v>
      </c>
      <c r="H1586">
        <v>0.1</v>
      </c>
      <c r="I1586" t="s">
        <v>44</v>
      </c>
      <c r="J1586" t="s">
        <v>36</v>
      </c>
      <c r="K1586" t="s">
        <v>37</v>
      </c>
      <c r="L1586">
        <f>F1585*G1585*(1-H1585)</f>
        <v>21597.3</v>
      </c>
    </row>
    <row r="1587" spans="1:12">
      <c r="A1587" t="s">
        <v>2305</v>
      </c>
      <c r="B1587" s="1">
        <v>46123</v>
      </c>
      <c r="C1587" t="s">
        <v>2306</v>
      </c>
      <c r="D1587" t="s">
        <v>31</v>
      </c>
      <c r="E1587" t="s">
        <v>27</v>
      </c>
      <c r="F1587">
        <v>1</v>
      </c>
      <c r="G1587">
        <v>2499</v>
      </c>
      <c r="H1587">
        <v>0.15</v>
      </c>
      <c r="I1587" t="s">
        <v>15</v>
      </c>
      <c r="J1587" t="s">
        <v>28</v>
      </c>
      <c r="K1587" t="s">
        <v>37</v>
      </c>
      <c r="L1587">
        <f>F1586*G1586*(1-H1586)</f>
        <v>13497.300000000001</v>
      </c>
    </row>
    <row r="1588" spans="1:12">
      <c r="A1588" t="s">
        <v>2307</v>
      </c>
      <c r="B1588" s="1">
        <v>46268</v>
      </c>
      <c r="C1588" t="s">
        <v>314</v>
      </c>
      <c r="D1588" t="s">
        <v>59</v>
      </c>
      <c r="E1588" t="s">
        <v>27</v>
      </c>
      <c r="F1588">
        <v>4</v>
      </c>
      <c r="G1588">
        <v>1999</v>
      </c>
      <c r="H1588">
        <v>0.05</v>
      </c>
      <c r="I1588" t="s">
        <v>47</v>
      </c>
      <c r="J1588" t="s">
        <v>16</v>
      </c>
      <c r="K1588" t="s">
        <v>37</v>
      </c>
      <c r="L1588">
        <f>F1587*G1587*(1-H1587)</f>
        <v>2124.15</v>
      </c>
    </row>
    <row r="1589" spans="1:12">
      <c r="A1589" t="s">
        <v>2308</v>
      </c>
      <c r="B1589" s="1">
        <v>46073</v>
      </c>
      <c r="C1589" t="s">
        <v>1559</v>
      </c>
      <c r="D1589" t="s">
        <v>59</v>
      </c>
      <c r="E1589" t="s">
        <v>40</v>
      </c>
      <c r="F1589">
        <v>5</v>
      </c>
      <c r="G1589">
        <v>7999</v>
      </c>
      <c r="H1589">
        <v>0.15</v>
      </c>
      <c r="I1589" t="s">
        <v>50</v>
      </c>
      <c r="J1589" t="s">
        <v>51</v>
      </c>
      <c r="K1589" t="s">
        <v>17</v>
      </c>
      <c r="L1589">
        <f>F1588*G1588*(1-H1588)</f>
        <v>7596.2</v>
      </c>
    </row>
    <row r="1590" spans="1:12">
      <c r="A1590" t="s">
        <v>2309</v>
      </c>
      <c r="B1590" s="1">
        <v>46182</v>
      </c>
      <c r="C1590" t="s">
        <v>615</v>
      </c>
      <c r="D1590" t="s">
        <v>71</v>
      </c>
      <c r="E1590" t="s">
        <v>27</v>
      </c>
      <c r="F1590">
        <v>4</v>
      </c>
      <c r="G1590">
        <v>599</v>
      </c>
      <c r="H1590">
        <v>0.1</v>
      </c>
      <c r="I1590" t="s">
        <v>15</v>
      </c>
      <c r="J1590" t="s">
        <v>51</v>
      </c>
      <c r="K1590" t="s">
        <v>17</v>
      </c>
      <c r="L1590">
        <f>F1589*G1589*(1-H1589)</f>
        <v>33995.75</v>
      </c>
    </row>
    <row r="1591" spans="1:12">
      <c r="A1591" t="s">
        <v>2310</v>
      </c>
      <c r="B1591" s="1">
        <v>46146</v>
      </c>
      <c r="C1591" t="s">
        <v>255</v>
      </c>
      <c r="D1591" t="s">
        <v>59</v>
      </c>
      <c r="E1591" t="s">
        <v>35</v>
      </c>
      <c r="F1591">
        <v>1</v>
      </c>
      <c r="G1591">
        <v>2499</v>
      </c>
      <c r="H1591">
        <v>0</v>
      </c>
      <c r="I1591" t="s">
        <v>44</v>
      </c>
      <c r="J1591" t="s">
        <v>16</v>
      </c>
      <c r="K1591" t="s">
        <v>17</v>
      </c>
      <c r="L1591">
        <f>F1590*G1590*(1-H1590)</f>
        <v>2156.4</v>
      </c>
    </row>
    <row r="1592" spans="1:12">
      <c r="A1592" t="s">
        <v>2311</v>
      </c>
      <c r="B1592" s="1">
        <v>46029</v>
      </c>
      <c r="C1592" t="s">
        <v>298</v>
      </c>
      <c r="D1592" t="s">
        <v>59</v>
      </c>
      <c r="E1592" t="s">
        <v>35</v>
      </c>
      <c r="F1592">
        <v>1</v>
      </c>
      <c r="G1592">
        <v>1999</v>
      </c>
      <c r="H1592">
        <v>0</v>
      </c>
      <c r="I1592" t="s">
        <v>47</v>
      </c>
      <c r="J1592" t="s">
        <v>51</v>
      </c>
      <c r="K1592" t="s">
        <v>17</v>
      </c>
      <c r="L1592">
        <f>F1591*G1591*(1-H1591)</f>
        <v>2499</v>
      </c>
    </row>
    <row r="1593" spans="1:12">
      <c r="A1593" t="s">
        <v>2312</v>
      </c>
      <c r="B1593" s="1">
        <v>46235</v>
      </c>
      <c r="C1593" t="s">
        <v>1239</v>
      </c>
      <c r="D1593" t="s">
        <v>20</v>
      </c>
      <c r="E1593" t="s">
        <v>14</v>
      </c>
      <c r="F1593">
        <v>2</v>
      </c>
      <c r="G1593">
        <v>2499</v>
      </c>
      <c r="H1593">
        <v>0</v>
      </c>
      <c r="I1593" t="s">
        <v>15</v>
      </c>
      <c r="J1593" t="s">
        <v>36</v>
      </c>
      <c r="K1593" t="s">
        <v>17</v>
      </c>
      <c r="L1593">
        <f>F1592*G1592*(1-H1592)</f>
        <v>1999</v>
      </c>
    </row>
    <row r="1594" spans="1:12">
      <c r="A1594" t="s">
        <v>2313</v>
      </c>
      <c r="B1594" s="1">
        <v>46025</v>
      </c>
      <c r="C1594" t="s">
        <v>874</v>
      </c>
      <c r="D1594" t="s">
        <v>59</v>
      </c>
      <c r="E1594" t="s">
        <v>14</v>
      </c>
      <c r="F1594">
        <v>1</v>
      </c>
      <c r="G1594">
        <v>999</v>
      </c>
      <c r="H1594">
        <v>0</v>
      </c>
      <c r="I1594" t="s">
        <v>50</v>
      </c>
      <c r="J1594" t="s">
        <v>36</v>
      </c>
      <c r="K1594" t="s">
        <v>17</v>
      </c>
      <c r="L1594">
        <f>F1593*G1593*(1-H1593)</f>
        <v>4998</v>
      </c>
    </row>
    <row r="1595" spans="1:12">
      <c r="A1595" t="s">
        <v>2314</v>
      </c>
      <c r="B1595" s="1">
        <v>46178</v>
      </c>
      <c r="C1595" t="s">
        <v>541</v>
      </c>
      <c r="D1595" t="s">
        <v>78</v>
      </c>
      <c r="E1595" t="s">
        <v>14</v>
      </c>
      <c r="F1595">
        <v>3</v>
      </c>
      <c r="G1595">
        <v>999</v>
      </c>
      <c r="H1595">
        <v>0.15</v>
      </c>
      <c r="I1595" t="s">
        <v>47</v>
      </c>
      <c r="J1595" t="s">
        <v>36</v>
      </c>
      <c r="K1595" t="s">
        <v>37</v>
      </c>
      <c r="L1595">
        <f>F1594*G1594*(1-H1594)</f>
        <v>999</v>
      </c>
    </row>
    <row r="1596" spans="1:12">
      <c r="A1596" t="s">
        <v>2315</v>
      </c>
      <c r="B1596" s="1">
        <v>46258</v>
      </c>
      <c r="C1596" t="s">
        <v>166</v>
      </c>
      <c r="D1596" t="s">
        <v>56</v>
      </c>
      <c r="E1596" t="s">
        <v>40</v>
      </c>
      <c r="F1596">
        <v>1</v>
      </c>
      <c r="G1596">
        <v>799</v>
      </c>
      <c r="H1596">
        <v>0</v>
      </c>
      <c r="I1596" t="s">
        <v>15</v>
      </c>
      <c r="J1596" t="s">
        <v>28</v>
      </c>
      <c r="K1596" t="s">
        <v>17</v>
      </c>
      <c r="L1596">
        <f>F1595*G1595*(1-H1595)</f>
        <v>2547.4499999999998</v>
      </c>
    </row>
    <row r="1597" spans="1:12">
      <c r="A1597" t="s">
        <v>2316</v>
      </c>
      <c r="B1597" s="1">
        <v>46288</v>
      </c>
      <c r="C1597" t="s">
        <v>2272</v>
      </c>
      <c r="D1597" t="s">
        <v>59</v>
      </c>
      <c r="E1597" t="s">
        <v>21</v>
      </c>
      <c r="F1597">
        <v>4</v>
      </c>
      <c r="G1597">
        <v>999</v>
      </c>
      <c r="H1597">
        <v>0.1</v>
      </c>
      <c r="I1597" t="s">
        <v>44</v>
      </c>
      <c r="J1597" t="s">
        <v>22</v>
      </c>
      <c r="K1597" t="s">
        <v>23</v>
      </c>
      <c r="L1597">
        <f>F1596*G1596*(1-H1596)</f>
        <v>799</v>
      </c>
    </row>
    <row r="1598" spans="1:12">
      <c r="A1598" t="s">
        <v>2317</v>
      </c>
      <c r="B1598" s="1">
        <v>46141</v>
      </c>
      <c r="C1598" t="s">
        <v>434</v>
      </c>
      <c r="D1598" t="s">
        <v>62</v>
      </c>
      <c r="E1598" t="s">
        <v>14</v>
      </c>
      <c r="F1598">
        <v>1</v>
      </c>
      <c r="G1598">
        <v>599</v>
      </c>
      <c r="H1598">
        <v>0</v>
      </c>
      <c r="I1598" t="s">
        <v>50</v>
      </c>
      <c r="J1598" t="s">
        <v>51</v>
      </c>
      <c r="K1598" t="s">
        <v>17</v>
      </c>
      <c r="L1598">
        <f>F1597*G1597*(1-H1597)</f>
        <v>3596.4</v>
      </c>
    </row>
    <row r="1599" spans="1:12">
      <c r="A1599" t="s">
        <v>2318</v>
      </c>
      <c r="B1599" s="1">
        <v>46058</v>
      </c>
      <c r="C1599" t="s">
        <v>1887</v>
      </c>
      <c r="D1599" t="s">
        <v>56</v>
      </c>
      <c r="E1599" t="s">
        <v>27</v>
      </c>
      <c r="F1599">
        <v>3</v>
      </c>
      <c r="G1599">
        <v>499</v>
      </c>
      <c r="H1599">
        <v>0.05</v>
      </c>
      <c r="I1599" t="s">
        <v>47</v>
      </c>
      <c r="J1599" t="s">
        <v>51</v>
      </c>
      <c r="K1599" t="s">
        <v>17</v>
      </c>
      <c r="L1599">
        <f>F1598*G1598*(1-H1598)</f>
        <v>599</v>
      </c>
    </row>
    <row r="1600" spans="1:12">
      <c r="A1600" t="s">
        <v>2319</v>
      </c>
      <c r="B1600" s="1">
        <v>46068</v>
      </c>
      <c r="C1600" t="s">
        <v>2320</v>
      </c>
      <c r="D1600" t="s">
        <v>71</v>
      </c>
      <c r="E1600" t="s">
        <v>40</v>
      </c>
      <c r="F1600">
        <v>5</v>
      </c>
      <c r="G1600">
        <v>1499</v>
      </c>
      <c r="H1600">
        <v>0</v>
      </c>
      <c r="I1600" t="s">
        <v>50</v>
      </c>
      <c r="J1600" t="s">
        <v>22</v>
      </c>
      <c r="K1600" t="s">
        <v>17</v>
      </c>
      <c r="L1600">
        <f>F1599*G1599*(1-H1599)</f>
        <v>1422.1499999999999</v>
      </c>
    </row>
    <row r="1601" spans="1:12">
      <c r="A1601" t="s">
        <v>2321</v>
      </c>
      <c r="B1601" s="1">
        <v>46281</v>
      </c>
      <c r="C1601" t="s">
        <v>2322</v>
      </c>
      <c r="D1601" t="s">
        <v>13</v>
      </c>
      <c r="E1601" t="s">
        <v>27</v>
      </c>
      <c r="F1601">
        <v>2</v>
      </c>
      <c r="G1601">
        <v>799</v>
      </c>
      <c r="H1601">
        <v>0.15</v>
      </c>
      <c r="I1601" t="s">
        <v>44</v>
      </c>
      <c r="J1601" t="s">
        <v>22</v>
      </c>
      <c r="K1601" t="s">
        <v>17</v>
      </c>
      <c r="L1601">
        <f>F1600*G1600*(1-H1600)</f>
        <v>7495</v>
      </c>
    </row>
    <row r="1602" spans="1:12">
      <c r="A1602" t="s">
        <v>2323</v>
      </c>
      <c r="B1602" s="1">
        <v>46095</v>
      </c>
      <c r="C1602" t="s">
        <v>534</v>
      </c>
      <c r="D1602" t="s">
        <v>13</v>
      </c>
      <c r="E1602" t="s">
        <v>14</v>
      </c>
      <c r="F1602">
        <v>1</v>
      </c>
      <c r="G1602">
        <v>2499</v>
      </c>
      <c r="H1602">
        <v>0.1</v>
      </c>
      <c r="I1602" t="s">
        <v>32</v>
      </c>
      <c r="J1602" t="s">
        <v>16</v>
      </c>
      <c r="K1602" t="s">
        <v>17</v>
      </c>
      <c r="L1602">
        <f>F1601*G1601*(1-H1601)</f>
        <v>1358.3</v>
      </c>
    </row>
    <row r="1603" spans="1:12">
      <c r="A1603" t="s">
        <v>2324</v>
      </c>
      <c r="B1603" s="1">
        <v>46238</v>
      </c>
      <c r="C1603" t="s">
        <v>769</v>
      </c>
      <c r="D1603" t="s">
        <v>26</v>
      </c>
      <c r="E1603" t="s">
        <v>14</v>
      </c>
      <c r="F1603">
        <v>5</v>
      </c>
      <c r="G1603">
        <v>1299</v>
      </c>
      <c r="H1603">
        <v>0</v>
      </c>
      <c r="I1603" t="s">
        <v>44</v>
      </c>
      <c r="J1603" t="s">
        <v>22</v>
      </c>
      <c r="K1603" t="s">
        <v>37</v>
      </c>
      <c r="L1603">
        <f>F1602*G1602*(1-H1602)</f>
        <v>2249.1</v>
      </c>
    </row>
    <row r="1604" spans="1:12">
      <c r="A1604" t="s">
        <v>2325</v>
      </c>
      <c r="B1604" s="1">
        <v>46096</v>
      </c>
      <c r="C1604" t="s">
        <v>394</v>
      </c>
      <c r="D1604" t="s">
        <v>43</v>
      </c>
      <c r="E1604" t="s">
        <v>14</v>
      </c>
      <c r="F1604">
        <v>5</v>
      </c>
      <c r="G1604">
        <v>7999</v>
      </c>
      <c r="H1604">
        <v>0.1</v>
      </c>
      <c r="I1604" t="s">
        <v>50</v>
      </c>
      <c r="J1604" t="s">
        <v>16</v>
      </c>
      <c r="K1604" t="s">
        <v>17</v>
      </c>
      <c r="L1604">
        <f>F1603*G1603*(1-H1603)</f>
        <v>6495</v>
      </c>
    </row>
    <row r="1605" spans="1:12">
      <c r="A1605" t="s">
        <v>2326</v>
      </c>
      <c r="B1605" s="1">
        <v>46264</v>
      </c>
      <c r="C1605" t="s">
        <v>2005</v>
      </c>
      <c r="D1605" t="s">
        <v>59</v>
      </c>
      <c r="E1605" t="s">
        <v>27</v>
      </c>
      <c r="F1605">
        <v>3</v>
      </c>
      <c r="G1605">
        <v>1299</v>
      </c>
      <c r="H1605">
        <v>0.1</v>
      </c>
      <c r="I1605" t="s">
        <v>15</v>
      </c>
      <c r="J1605" t="s">
        <v>28</v>
      </c>
      <c r="K1605" t="s">
        <v>17</v>
      </c>
      <c r="L1605">
        <f>F1604*G1604*(1-H1604)</f>
        <v>35995.5</v>
      </c>
    </row>
    <row r="1606" spans="1:12">
      <c r="A1606" t="s">
        <v>2327</v>
      </c>
      <c r="B1606" s="1">
        <v>46140</v>
      </c>
      <c r="C1606" t="s">
        <v>376</v>
      </c>
      <c r="D1606" t="s">
        <v>78</v>
      </c>
      <c r="E1606" t="s">
        <v>21</v>
      </c>
      <c r="F1606">
        <v>5</v>
      </c>
      <c r="G1606">
        <v>599</v>
      </c>
      <c r="H1606">
        <v>0.15</v>
      </c>
      <c r="I1606" t="s">
        <v>15</v>
      </c>
      <c r="J1606" t="s">
        <v>16</v>
      </c>
      <c r="K1606" t="s">
        <v>37</v>
      </c>
      <c r="L1606">
        <f>F1605*G1605*(1-H1605)</f>
        <v>3507.3</v>
      </c>
    </row>
    <row r="1607" spans="1:12">
      <c r="A1607" t="s">
        <v>2328</v>
      </c>
      <c r="B1607" s="1">
        <v>46101</v>
      </c>
      <c r="C1607" t="s">
        <v>1724</v>
      </c>
      <c r="D1607" t="s">
        <v>59</v>
      </c>
      <c r="E1607" t="s">
        <v>40</v>
      </c>
      <c r="F1607">
        <v>4</v>
      </c>
      <c r="G1607">
        <v>7999</v>
      </c>
      <c r="H1607">
        <v>0.1</v>
      </c>
      <c r="I1607" t="s">
        <v>47</v>
      </c>
      <c r="J1607" t="s">
        <v>22</v>
      </c>
      <c r="K1607" t="s">
        <v>17</v>
      </c>
      <c r="L1607">
        <f>F1606*G1606*(1-H1606)</f>
        <v>2545.75</v>
      </c>
    </row>
    <row r="1608" spans="1:12">
      <c r="A1608" t="s">
        <v>2329</v>
      </c>
      <c r="B1608" s="1">
        <v>46231</v>
      </c>
      <c r="C1608" t="s">
        <v>454</v>
      </c>
      <c r="D1608" t="s">
        <v>59</v>
      </c>
      <c r="E1608" t="s">
        <v>27</v>
      </c>
      <c r="F1608">
        <v>1</v>
      </c>
      <c r="G1608">
        <v>799</v>
      </c>
      <c r="H1608">
        <v>0.15</v>
      </c>
      <c r="I1608" t="s">
        <v>50</v>
      </c>
      <c r="J1608" t="s">
        <v>22</v>
      </c>
      <c r="K1608" t="s">
        <v>17</v>
      </c>
      <c r="L1608">
        <f>F1607*G1607*(1-H1607)</f>
        <v>28796.400000000001</v>
      </c>
    </row>
    <row r="1609" spans="1:12">
      <c r="A1609" t="s">
        <v>2330</v>
      </c>
      <c r="B1609" s="1">
        <v>46127</v>
      </c>
      <c r="C1609" t="s">
        <v>1432</v>
      </c>
      <c r="D1609" t="s">
        <v>20</v>
      </c>
      <c r="E1609" t="s">
        <v>14</v>
      </c>
      <c r="F1609">
        <v>3</v>
      </c>
      <c r="G1609">
        <v>499</v>
      </c>
      <c r="H1609">
        <v>0.1</v>
      </c>
      <c r="I1609" t="s">
        <v>47</v>
      </c>
      <c r="J1609" t="s">
        <v>36</v>
      </c>
      <c r="K1609" t="s">
        <v>17</v>
      </c>
      <c r="L1609">
        <f>F1608*G1608*(1-H1608)</f>
        <v>679.15</v>
      </c>
    </row>
    <row r="1610" spans="1:12">
      <c r="A1610" t="s">
        <v>2331</v>
      </c>
      <c r="B1610" s="1">
        <v>46165</v>
      </c>
      <c r="C1610" t="s">
        <v>1709</v>
      </c>
      <c r="D1610" t="s">
        <v>26</v>
      </c>
      <c r="E1610" t="s">
        <v>40</v>
      </c>
      <c r="F1610">
        <v>5</v>
      </c>
      <c r="G1610">
        <v>799</v>
      </c>
      <c r="H1610">
        <v>0.15</v>
      </c>
      <c r="I1610" t="s">
        <v>15</v>
      </c>
      <c r="J1610" t="s">
        <v>51</v>
      </c>
      <c r="K1610" t="s">
        <v>17</v>
      </c>
      <c r="L1610">
        <f>F1609*G1609*(1-H1609)</f>
        <v>1347.3</v>
      </c>
    </row>
    <row r="1611" spans="1:12">
      <c r="A1611" t="s">
        <v>2332</v>
      </c>
      <c r="B1611" s="1">
        <v>46190</v>
      </c>
      <c r="C1611" t="s">
        <v>1728</v>
      </c>
      <c r="D1611" t="s">
        <v>71</v>
      </c>
      <c r="E1611" t="s">
        <v>21</v>
      </c>
      <c r="F1611">
        <v>2</v>
      </c>
      <c r="G1611">
        <v>1299</v>
      </c>
      <c r="H1611">
        <v>0.05</v>
      </c>
      <c r="I1611" t="s">
        <v>47</v>
      </c>
      <c r="J1611" t="s">
        <v>22</v>
      </c>
      <c r="K1611" t="s">
        <v>37</v>
      </c>
      <c r="L1611">
        <f>F1610*G1610*(1-H1610)</f>
        <v>3395.75</v>
      </c>
    </row>
    <row r="1612" spans="1:12">
      <c r="A1612" t="s">
        <v>2333</v>
      </c>
      <c r="B1612" s="1">
        <v>46152</v>
      </c>
      <c r="C1612" t="s">
        <v>417</v>
      </c>
      <c r="D1612" t="s">
        <v>31</v>
      </c>
      <c r="E1612" t="s">
        <v>40</v>
      </c>
      <c r="F1612">
        <v>3</v>
      </c>
      <c r="G1612">
        <v>1299</v>
      </c>
      <c r="H1612">
        <v>0</v>
      </c>
      <c r="I1612" t="s">
        <v>44</v>
      </c>
      <c r="J1612" t="s">
        <v>51</v>
      </c>
      <c r="K1612" t="s">
        <v>17</v>
      </c>
      <c r="L1612">
        <f>F1611*G1611*(1-H1611)</f>
        <v>2468.1</v>
      </c>
    </row>
    <row r="1613" spans="1:12">
      <c r="A1613" t="s">
        <v>2334</v>
      </c>
      <c r="B1613" s="1">
        <v>46275</v>
      </c>
      <c r="C1613" t="s">
        <v>1797</v>
      </c>
      <c r="D1613" t="s">
        <v>13</v>
      </c>
      <c r="E1613" t="s">
        <v>21</v>
      </c>
      <c r="F1613">
        <v>4</v>
      </c>
      <c r="G1613">
        <v>1499</v>
      </c>
      <c r="H1613">
        <v>0.05</v>
      </c>
      <c r="I1613" t="s">
        <v>32</v>
      </c>
      <c r="J1613" t="s">
        <v>28</v>
      </c>
      <c r="K1613" t="s">
        <v>23</v>
      </c>
      <c r="L1613">
        <f>F1612*G1612*(1-H1612)</f>
        <v>3897</v>
      </c>
    </row>
    <row r="1614" spans="1:12">
      <c r="A1614" t="s">
        <v>2335</v>
      </c>
      <c r="B1614" s="1">
        <v>46085</v>
      </c>
      <c r="C1614" t="s">
        <v>92</v>
      </c>
      <c r="D1614" t="s">
        <v>43</v>
      </c>
      <c r="E1614" t="s">
        <v>21</v>
      </c>
      <c r="F1614">
        <v>4</v>
      </c>
      <c r="G1614">
        <v>1999</v>
      </c>
      <c r="H1614">
        <v>0.05</v>
      </c>
      <c r="I1614" t="s">
        <v>44</v>
      </c>
      <c r="J1614" t="s">
        <v>22</v>
      </c>
      <c r="K1614" t="s">
        <v>23</v>
      </c>
      <c r="L1614">
        <f>F1613*G1613*(1-H1613)</f>
        <v>5696.2</v>
      </c>
    </row>
    <row r="1615" spans="1:12">
      <c r="A1615" t="s">
        <v>2336</v>
      </c>
      <c r="B1615" s="1">
        <v>46168</v>
      </c>
      <c r="C1615" t="s">
        <v>140</v>
      </c>
      <c r="D1615" t="s">
        <v>56</v>
      </c>
      <c r="E1615" t="s">
        <v>27</v>
      </c>
      <c r="F1615">
        <v>1</v>
      </c>
      <c r="G1615">
        <v>999</v>
      </c>
      <c r="H1615">
        <v>0</v>
      </c>
      <c r="I1615" t="s">
        <v>44</v>
      </c>
      <c r="J1615" t="s">
        <v>28</v>
      </c>
      <c r="K1615" t="s">
        <v>23</v>
      </c>
      <c r="L1615">
        <f>F1614*G1614*(1-H1614)</f>
        <v>7596.2</v>
      </c>
    </row>
    <row r="1616" spans="1:12">
      <c r="A1616" t="s">
        <v>2337</v>
      </c>
      <c r="B1616" s="1">
        <v>46122</v>
      </c>
      <c r="C1616" t="s">
        <v>2338</v>
      </c>
      <c r="D1616" t="s">
        <v>20</v>
      </c>
      <c r="E1616" t="s">
        <v>40</v>
      </c>
      <c r="F1616">
        <v>4</v>
      </c>
      <c r="G1616">
        <v>1999</v>
      </c>
      <c r="H1616">
        <v>0</v>
      </c>
      <c r="I1616" t="s">
        <v>32</v>
      </c>
      <c r="J1616" t="s">
        <v>22</v>
      </c>
      <c r="K1616" t="s">
        <v>23</v>
      </c>
      <c r="L1616">
        <f>F1615*G1615*(1-H1615)</f>
        <v>999</v>
      </c>
    </row>
    <row r="1617" spans="1:12">
      <c r="A1617" t="s">
        <v>2339</v>
      </c>
      <c r="B1617" s="1">
        <v>46234</v>
      </c>
      <c r="C1617" t="s">
        <v>77</v>
      </c>
      <c r="D1617" t="s">
        <v>62</v>
      </c>
      <c r="E1617" t="s">
        <v>40</v>
      </c>
      <c r="F1617">
        <v>3</v>
      </c>
      <c r="G1617">
        <v>599</v>
      </c>
      <c r="H1617">
        <v>0</v>
      </c>
      <c r="I1617" t="s">
        <v>50</v>
      </c>
      <c r="J1617" t="s">
        <v>22</v>
      </c>
      <c r="K1617" t="s">
        <v>23</v>
      </c>
      <c r="L1617">
        <f>F1616*G1616*(1-H1616)</f>
        <v>7996</v>
      </c>
    </row>
    <row r="1618" spans="1:12">
      <c r="A1618" t="s">
        <v>2340</v>
      </c>
      <c r="B1618" s="1">
        <v>46053</v>
      </c>
      <c r="C1618" t="s">
        <v>536</v>
      </c>
      <c r="D1618" t="s">
        <v>56</v>
      </c>
      <c r="E1618" t="s">
        <v>14</v>
      </c>
      <c r="F1618">
        <v>5</v>
      </c>
      <c r="G1618">
        <v>1999</v>
      </c>
      <c r="H1618">
        <v>0</v>
      </c>
      <c r="I1618" t="s">
        <v>44</v>
      </c>
      <c r="J1618" t="s">
        <v>51</v>
      </c>
      <c r="K1618" t="s">
        <v>37</v>
      </c>
      <c r="L1618">
        <f>F1617*G1617*(1-H1617)</f>
        <v>1797</v>
      </c>
    </row>
    <row r="1619" spans="1:12">
      <c r="A1619" t="s">
        <v>2341</v>
      </c>
      <c r="B1619" s="1">
        <v>46152</v>
      </c>
      <c r="C1619" t="s">
        <v>1054</v>
      </c>
      <c r="D1619" t="s">
        <v>71</v>
      </c>
      <c r="E1619" t="s">
        <v>27</v>
      </c>
      <c r="F1619">
        <v>2</v>
      </c>
      <c r="G1619">
        <v>999</v>
      </c>
      <c r="H1619">
        <v>0.15</v>
      </c>
      <c r="I1619" t="s">
        <v>15</v>
      </c>
      <c r="J1619" t="s">
        <v>36</v>
      </c>
      <c r="K1619" t="s">
        <v>17</v>
      </c>
      <c r="L1619">
        <f>F1618*G1618*(1-H1618)</f>
        <v>9995</v>
      </c>
    </row>
    <row r="1620" spans="1:12">
      <c r="A1620" t="s">
        <v>2342</v>
      </c>
      <c r="B1620" s="1">
        <v>46132</v>
      </c>
      <c r="C1620" t="s">
        <v>1903</v>
      </c>
      <c r="D1620" t="s">
        <v>26</v>
      </c>
      <c r="E1620" t="s">
        <v>35</v>
      </c>
      <c r="F1620">
        <v>2</v>
      </c>
      <c r="G1620">
        <v>799</v>
      </c>
      <c r="H1620">
        <v>0</v>
      </c>
      <c r="I1620" t="s">
        <v>15</v>
      </c>
      <c r="J1620" t="s">
        <v>22</v>
      </c>
      <c r="K1620" t="s">
        <v>17</v>
      </c>
      <c r="L1620">
        <f>F1619*G1619*(1-H1619)</f>
        <v>1698.3</v>
      </c>
    </row>
    <row r="1621" spans="1:12">
      <c r="A1621" t="s">
        <v>2343</v>
      </c>
      <c r="B1621" s="1">
        <v>46101</v>
      </c>
      <c r="C1621" t="s">
        <v>555</v>
      </c>
      <c r="D1621" t="s">
        <v>20</v>
      </c>
      <c r="E1621" t="s">
        <v>27</v>
      </c>
      <c r="F1621">
        <v>4</v>
      </c>
      <c r="G1621">
        <v>7999</v>
      </c>
      <c r="H1621">
        <v>0.1</v>
      </c>
      <c r="I1621" t="s">
        <v>47</v>
      </c>
      <c r="J1621" t="s">
        <v>36</v>
      </c>
      <c r="K1621" t="s">
        <v>17</v>
      </c>
      <c r="L1621">
        <f>F1620*G1620*(1-H1620)</f>
        <v>1598</v>
      </c>
    </row>
    <row r="1622" spans="1:12">
      <c r="A1622" t="s">
        <v>2344</v>
      </c>
      <c r="B1622" s="1">
        <v>46125</v>
      </c>
      <c r="C1622" t="s">
        <v>1382</v>
      </c>
      <c r="D1622" t="s">
        <v>20</v>
      </c>
      <c r="E1622" t="s">
        <v>14</v>
      </c>
      <c r="F1622">
        <v>5</v>
      </c>
      <c r="G1622">
        <v>4999</v>
      </c>
      <c r="H1622">
        <v>0.1</v>
      </c>
      <c r="I1622" t="s">
        <v>47</v>
      </c>
      <c r="J1622" t="s">
        <v>28</v>
      </c>
      <c r="K1622" t="s">
        <v>23</v>
      </c>
      <c r="L1622">
        <f>F1621*G1621*(1-H1621)</f>
        <v>28796.400000000001</v>
      </c>
    </row>
    <row r="1623" spans="1:12">
      <c r="A1623" t="s">
        <v>2345</v>
      </c>
      <c r="B1623" s="1">
        <v>46172</v>
      </c>
      <c r="C1623" t="s">
        <v>594</v>
      </c>
      <c r="D1623" t="s">
        <v>31</v>
      </c>
      <c r="E1623" t="s">
        <v>27</v>
      </c>
      <c r="F1623">
        <v>5</v>
      </c>
      <c r="G1623">
        <v>999</v>
      </c>
      <c r="H1623">
        <v>0</v>
      </c>
      <c r="I1623" t="s">
        <v>50</v>
      </c>
      <c r="J1623" t="s">
        <v>28</v>
      </c>
      <c r="K1623" t="s">
        <v>17</v>
      </c>
      <c r="L1623">
        <f>F1622*G1622*(1-H1622)</f>
        <v>22495.5</v>
      </c>
    </row>
    <row r="1624" spans="1:12">
      <c r="A1624" t="s">
        <v>2346</v>
      </c>
      <c r="B1624" s="1">
        <v>46270</v>
      </c>
      <c r="C1624" t="s">
        <v>430</v>
      </c>
      <c r="D1624" t="s">
        <v>26</v>
      </c>
      <c r="E1624" t="s">
        <v>27</v>
      </c>
      <c r="F1624">
        <v>3</v>
      </c>
      <c r="G1624">
        <v>7999</v>
      </c>
      <c r="H1624">
        <v>0.1</v>
      </c>
      <c r="I1624" t="s">
        <v>44</v>
      </c>
      <c r="J1624" t="s">
        <v>28</v>
      </c>
      <c r="K1624" t="s">
        <v>17</v>
      </c>
      <c r="L1624">
        <f>F1623*G1623*(1-H1623)</f>
        <v>4995</v>
      </c>
    </row>
    <row r="1625" spans="1:12">
      <c r="A1625" t="s">
        <v>2347</v>
      </c>
      <c r="B1625" s="1">
        <v>46257</v>
      </c>
      <c r="C1625" t="s">
        <v>119</v>
      </c>
      <c r="D1625" t="s">
        <v>13</v>
      </c>
      <c r="E1625" t="s">
        <v>40</v>
      </c>
      <c r="F1625">
        <v>4</v>
      </c>
      <c r="G1625">
        <v>7999</v>
      </c>
      <c r="H1625">
        <v>0</v>
      </c>
      <c r="I1625" t="s">
        <v>15</v>
      </c>
      <c r="J1625" t="s">
        <v>16</v>
      </c>
      <c r="K1625" t="s">
        <v>17</v>
      </c>
      <c r="L1625">
        <f>F1624*G1624*(1-H1624)</f>
        <v>21597.3</v>
      </c>
    </row>
    <row r="1626" spans="1:12">
      <c r="A1626" t="s">
        <v>2348</v>
      </c>
      <c r="B1626" s="1">
        <v>46167</v>
      </c>
      <c r="C1626" t="s">
        <v>1372</v>
      </c>
      <c r="D1626" t="s">
        <v>59</v>
      </c>
      <c r="E1626" t="s">
        <v>21</v>
      </c>
      <c r="F1626">
        <v>3</v>
      </c>
      <c r="G1626">
        <v>799</v>
      </c>
      <c r="H1626">
        <v>0</v>
      </c>
      <c r="I1626" t="s">
        <v>47</v>
      </c>
      <c r="J1626" t="s">
        <v>36</v>
      </c>
      <c r="K1626" t="s">
        <v>17</v>
      </c>
      <c r="L1626">
        <f>F1625*G1625*(1-H1625)</f>
        <v>31996</v>
      </c>
    </row>
    <row r="1627" spans="1:12">
      <c r="A1627" t="s">
        <v>2349</v>
      </c>
      <c r="B1627" s="1">
        <v>46235</v>
      </c>
      <c r="C1627" t="s">
        <v>1316</v>
      </c>
      <c r="D1627" t="s">
        <v>20</v>
      </c>
      <c r="E1627" t="s">
        <v>27</v>
      </c>
      <c r="F1627">
        <v>1</v>
      </c>
      <c r="G1627">
        <v>799</v>
      </c>
      <c r="H1627">
        <v>0.15</v>
      </c>
      <c r="I1627" t="s">
        <v>47</v>
      </c>
      <c r="J1627" t="s">
        <v>16</v>
      </c>
      <c r="K1627" t="s">
        <v>17</v>
      </c>
      <c r="L1627">
        <f>F1626*G1626*(1-H1626)</f>
        <v>2397</v>
      </c>
    </row>
    <row r="1628" spans="1:12">
      <c r="A1628" t="s">
        <v>2350</v>
      </c>
      <c r="B1628" s="1">
        <v>46162</v>
      </c>
      <c r="C1628" t="s">
        <v>613</v>
      </c>
      <c r="D1628" t="s">
        <v>71</v>
      </c>
      <c r="E1628" t="s">
        <v>27</v>
      </c>
      <c r="F1628">
        <v>5</v>
      </c>
      <c r="G1628">
        <v>799</v>
      </c>
      <c r="H1628">
        <v>0.05</v>
      </c>
      <c r="I1628" t="s">
        <v>50</v>
      </c>
      <c r="J1628" t="s">
        <v>28</v>
      </c>
      <c r="K1628" t="s">
        <v>17</v>
      </c>
      <c r="L1628">
        <f>F1627*G1627*(1-H1627)</f>
        <v>679.15</v>
      </c>
    </row>
    <row r="1629" spans="1:12">
      <c r="A1629" t="s">
        <v>2351</v>
      </c>
      <c r="B1629" s="1">
        <v>46175</v>
      </c>
      <c r="C1629" t="s">
        <v>1523</v>
      </c>
      <c r="D1629" t="s">
        <v>20</v>
      </c>
      <c r="E1629" t="s">
        <v>40</v>
      </c>
      <c r="F1629">
        <v>2</v>
      </c>
      <c r="G1629">
        <v>799</v>
      </c>
      <c r="H1629">
        <v>0.05</v>
      </c>
      <c r="I1629" t="s">
        <v>44</v>
      </c>
      <c r="J1629" t="s">
        <v>28</v>
      </c>
      <c r="K1629" t="s">
        <v>37</v>
      </c>
      <c r="L1629">
        <f>F1628*G1628*(1-H1628)</f>
        <v>3795.25</v>
      </c>
    </row>
    <row r="1630" spans="1:12">
      <c r="A1630" t="s">
        <v>2352</v>
      </c>
      <c r="B1630" s="1">
        <v>46228</v>
      </c>
      <c r="C1630" t="s">
        <v>2353</v>
      </c>
      <c r="D1630" t="s">
        <v>31</v>
      </c>
      <c r="E1630" t="s">
        <v>14</v>
      </c>
      <c r="F1630">
        <v>2</v>
      </c>
      <c r="G1630">
        <v>999</v>
      </c>
      <c r="H1630">
        <v>0.1</v>
      </c>
      <c r="I1630" t="s">
        <v>47</v>
      </c>
      <c r="J1630" t="s">
        <v>16</v>
      </c>
      <c r="K1630" t="s">
        <v>17</v>
      </c>
      <c r="L1630">
        <f>F1629*G1629*(1-H1629)</f>
        <v>1518.1</v>
      </c>
    </row>
    <row r="1631" spans="1:12">
      <c r="A1631" t="s">
        <v>2354</v>
      </c>
      <c r="B1631" s="1">
        <v>46228</v>
      </c>
      <c r="C1631" t="s">
        <v>415</v>
      </c>
      <c r="D1631" t="s">
        <v>59</v>
      </c>
      <c r="E1631" t="s">
        <v>40</v>
      </c>
      <c r="F1631">
        <v>1</v>
      </c>
      <c r="G1631">
        <v>2499</v>
      </c>
      <c r="H1631">
        <v>0.1</v>
      </c>
      <c r="I1631" t="s">
        <v>32</v>
      </c>
      <c r="J1631" t="s">
        <v>22</v>
      </c>
      <c r="K1631" t="s">
        <v>17</v>
      </c>
      <c r="L1631">
        <f>F1630*G1630*(1-H1630)</f>
        <v>1798.2</v>
      </c>
    </row>
    <row r="1632" spans="1:12">
      <c r="A1632" t="s">
        <v>2355</v>
      </c>
      <c r="B1632" s="1">
        <v>46117</v>
      </c>
      <c r="C1632" t="s">
        <v>180</v>
      </c>
      <c r="D1632" t="s">
        <v>26</v>
      </c>
      <c r="E1632" t="s">
        <v>27</v>
      </c>
      <c r="F1632">
        <v>5</v>
      </c>
      <c r="G1632">
        <v>1499</v>
      </c>
      <c r="H1632">
        <v>0</v>
      </c>
      <c r="I1632" t="s">
        <v>15</v>
      </c>
      <c r="J1632" t="s">
        <v>36</v>
      </c>
      <c r="K1632" t="s">
        <v>17</v>
      </c>
      <c r="L1632">
        <f>F1631*G1631*(1-H1631)</f>
        <v>2249.1</v>
      </c>
    </row>
    <row r="1633" spans="1:12">
      <c r="A1633" t="s">
        <v>2356</v>
      </c>
      <c r="B1633" s="1">
        <v>46045</v>
      </c>
      <c r="C1633" t="s">
        <v>2357</v>
      </c>
      <c r="D1633" t="s">
        <v>71</v>
      </c>
      <c r="E1633" t="s">
        <v>14</v>
      </c>
      <c r="F1633">
        <v>4</v>
      </c>
      <c r="G1633">
        <v>1299</v>
      </c>
      <c r="H1633">
        <v>0.05</v>
      </c>
      <c r="I1633" t="s">
        <v>50</v>
      </c>
      <c r="J1633" t="s">
        <v>51</v>
      </c>
      <c r="K1633" t="s">
        <v>37</v>
      </c>
      <c r="L1633">
        <f>F1632*G1632*(1-H1632)</f>
        <v>7495</v>
      </c>
    </row>
    <row r="1634" spans="1:12">
      <c r="A1634" t="s">
        <v>2358</v>
      </c>
      <c r="B1634" s="1">
        <v>46183</v>
      </c>
      <c r="C1634" t="s">
        <v>891</v>
      </c>
      <c r="D1634" t="s">
        <v>78</v>
      </c>
      <c r="E1634" t="s">
        <v>14</v>
      </c>
      <c r="F1634">
        <v>2</v>
      </c>
      <c r="G1634">
        <v>799</v>
      </c>
      <c r="H1634">
        <v>0.15</v>
      </c>
      <c r="I1634" t="s">
        <v>47</v>
      </c>
      <c r="J1634" t="s">
        <v>22</v>
      </c>
      <c r="K1634" t="s">
        <v>17</v>
      </c>
      <c r="L1634">
        <f>F1633*G1633*(1-H1633)</f>
        <v>4936.2</v>
      </c>
    </row>
    <row r="1635" spans="1:12">
      <c r="A1635" t="s">
        <v>2359</v>
      </c>
      <c r="B1635" s="1">
        <v>46067</v>
      </c>
      <c r="C1635" t="s">
        <v>235</v>
      </c>
      <c r="D1635" t="s">
        <v>20</v>
      </c>
      <c r="E1635" t="s">
        <v>27</v>
      </c>
      <c r="F1635">
        <v>4</v>
      </c>
      <c r="G1635">
        <v>4999</v>
      </c>
      <c r="H1635">
        <v>0</v>
      </c>
      <c r="I1635" t="s">
        <v>44</v>
      </c>
      <c r="J1635" t="s">
        <v>51</v>
      </c>
      <c r="K1635" t="s">
        <v>17</v>
      </c>
      <c r="L1635">
        <f>F1634*G1634*(1-H1634)</f>
        <v>1358.3</v>
      </c>
    </row>
    <row r="1636" spans="1:12">
      <c r="A1636" t="s">
        <v>2360</v>
      </c>
      <c r="B1636" s="1">
        <v>46207</v>
      </c>
      <c r="C1636" t="s">
        <v>193</v>
      </c>
      <c r="D1636" t="s">
        <v>59</v>
      </c>
      <c r="E1636" t="s">
        <v>21</v>
      </c>
      <c r="F1636">
        <v>4</v>
      </c>
      <c r="G1636">
        <v>499</v>
      </c>
      <c r="H1636">
        <v>0.1</v>
      </c>
      <c r="I1636" t="s">
        <v>50</v>
      </c>
      <c r="J1636" t="s">
        <v>51</v>
      </c>
      <c r="K1636" t="s">
        <v>23</v>
      </c>
      <c r="L1636">
        <f>F1635*G1635*(1-H1635)</f>
        <v>19996</v>
      </c>
    </row>
    <row r="1637" spans="1:12">
      <c r="A1637" t="s">
        <v>2361</v>
      </c>
      <c r="B1637" s="1">
        <v>46097</v>
      </c>
      <c r="C1637" t="s">
        <v>1134</v>
      </c>
      <c r="D1637" t="s">
        <v>62</v>
      </c>
      <c r="E1637" t="s">
        <v>35</v>
      </c>
      <c r="F1637">
        <v>3</v>
      </c>
      <c r="G1637">
        <v>1299</v>
      </c>
      <c r="H1637">
        <v>0</v>
      </c>
      <c r="I1637" t="s">
        <v>32</v>
      </c>
      <c r="J1637" t="s">
        <v>16</v>
      </c>
      <c r="K1637" t="s">
        <v>17</v>
      </c>
      <c r="L1637">
        <f>F1636*G1636*(1-H1636)</f>
        <v>1796.4</v>
      </c>
    </row>
    <row r="1638" spans="1:12">
      <c r="A1638" t="s">
        <v>2362</v>
      </c>
      <c r="B1638" s="1">
        <v>46215</v>
      </c>
      <c r="C1638" t="s">
        <v>1657</v>
      </c>
      <c r="D1638" t="s">
        <v>62</v>
      </c>
      <c r="E1638" t="s">
        <v>40</v>
      </c>
      <c r="F1638">
        <v>4</v>
      </c>
      <c r="G1638">
        <v>1299</v>
      </c>
      <c r="H1638">
        <v>0.1</v>
      </c>
      <c r="I1638" t="s">
        <v>44</v>
      </c>
      <c r="J1638" t="s">
        <v>51</v>
      </c>
      <c r="K1638" t="s">
        <v>17</v>
      </c>
      <c r="L1638">
        <f>F1637*G1637*(1-H1637)</f>
        <v>3897</v>
      </c>
    </row>
    <row r="1639" spans="1:12">
      <c r="A1639" t="s">
        <v>2363</v>
      </c>
      <c r="B1639" s="1">
        <v>46075</v>
      </c>
      <c r="C1639" t="s">
        <v>2103</v>
      </c>
      <c r="D1639" t="s">
        <v>78</v>
      </c>
      <c r="E1639" t="s">
        <v>40</v>
      </c>
      <c r="F1639">
        <v>5</v>
      </c>
      <c r="G1639">
        <v>999</v>
      </c>
      <c r="H1639">
        <v>0</v>
      </c>
      <c r="I1639" t="s">
        <v>44</v>
      </c>
      <c r="J1639" t="s">
        <v>16</v>
      </c>
      <c r="K1639" t="s">
        <v>17</v>
      </c>
      <c r="L1639">
        <f>F1638*G1638*(1-H1638)</f>
        <v>4676.4000000000005</v>
      </c>
    </row>
    <row r="1640" spans="1:12">
      <c r="A1640" t="s">
        <v>2364</v>
      </c>
      <c r="B1640" s="1">
        <v>46200</v>
      </c>
      <c r="C1640" t="s">
        <v>1887</v>
      </c>
      <c r="D1640" t="s">
        <v>56</v>
      </c>
      <c r="E1640" t="s">
        <v>21</v>
      </c>
      <c r="F1640">
        <v>5</v>
      </c>
      <c r="G1640">
        <v>799</v>
      </c>
      <c r="H1640">
        <v>0</v>
      </c>
      <c r="I1640" t="s">
        <v>50</v>
      </c>
      <c r="J1640" t="s">
        <v>51</v>
      </c>
      <c r="K1640" t="s">
        <v>23</v>
      </c>
      <c r="L1640">
        <f>F1639*G1639*(1-H1639)</f>
        <v>4995</v>
      </c>
    </row>
    <row r="1641" spans="1:12">
      <c r="A1641" t="s">
        <v>2365</v>
      </c>
      <c r="B1641" s="1">
        <v>46175</v>
      </c>
      <c r="C1641" t="s">
        <v>162</v>
      </c>
      <c r="D1641" t="s">
        <v>31</v>
      </c>
      <c r="E1641" t="s">
        <v>40</v>
      </c>
      <c r="F1641">
        <v>4</v>
      </c>
      <c r="G1641">
        <v>999</v>
      </c>
      <c r="H1641">
        <v>0.15</v>
      </c>
      <c r="I1641" t="s">
        <v>15</v>
      </c>
      <c r="J1641" t="s">
        <v>36</v>
      </c>
      <c r="K1641" t="s">
        <v>17</v>
      </c>
      <c r="L1641">
        <f>F1640*G1640*(1-H1640)</f>
        <v>3995</v>
      </c>
    </row>
    <row r="1642" spans="1:12">
      <c r="A1642" t="s">
        <v>2366</v>
      </c>
      <c r="B1642" s="1">
        <v>46249</v>
      </c>
      <c r="C1642" t="s">
        <v>255</v>
      </c>
      <c r="D1642" t="s">
        <v>20</v>
      </c>
      <c r="E1642" t="s">
        <v>21</v>
      </c>
      <c r="F1642">
        <v>1</v>
      </c>
      <c r="G1642">
        <v>999</v>
      </c>
      <c r="H1642">
        <v>0.05</v>
      </c>
      <c r="I1642" t="s">
        <v>32</v>
      </c>
      <c r="J1642" t="s">
        <v>28</v>
      </c>
      <c r="K1642" t="s">
        <v>17</v>
      </c>
      <c r="L1642">
        <f>F1641*G1641*(1-H1641)</f>
        <v>3396.6</v>
      </c>
    </row>
    <row r="1643" spans="1:12">
      <c r="A1643" t="s">
        <v>2367</v>
      </c>
      <c r="B1643" s="1">
        <v>46130</v>
      </c>
      <c r="C1643" t="s">
        <v>1118</v>
      </c>
      <c r="D1643" t="s">
        <v>56</v>
      </c>
      <c r="E1643" t="s">
        <v>14</v>
      </c>
      <c r="F1643">
        <v>5</v>
      </c>
      <c r="G1643">
        <v>1499</v>
      </c>
      <c r="H1643">
        <v>0</v>
      </c>
      <c r="I1643" t="s">
        <v>50</v>
      </c>
      <c r="J1643" t="s">
        <v>16</v>
      </c>
      <c r="K1643" t="s">
        <v>17</v>
      </c>
      <c r="L1643">
        <f>F1642*G1642*(1-H1642)</f>
        <v>949.05</v>
      </c>
    </row>
    <row r="1644" spans="1:12">
      <c r="A1644" t="s">
        <v>2368</v>
      </c>
      <c r="B1644" s="1">
        <v>46106</v>
      </c>
      <c r="C1644" t="s">
        <v>221</v>
      </c>
      <c r="D1644" t="s">
        <v>59</v>
      </c>
      <c r="E1644" t="s">
        <v>27</v>
      </c>
      <c r="F1644">
        <v>5</v>
      </c>
      <c r="G1644">
        <v>1999</v>
      </c>
      <c r="H1644">
        <v>0.05</v>
      </c>
      <c r="I1644" t="s">
        <v>44</v>
      </c>
      <c r="J1644" t="s">
        <v>16</v>
      </c>
      <c r="K1644" t="s">
        <v>37</v>
      </c>
      <c r="L1644">
        <f>F1643*G1643*(1-H1643)</f>
        <v>7495</v>
      </c>
    </row>
    <row r="1645" spans="1:12">
      <c r="A1645" t="s">
        <v>2369</v>
      </c>
      <c r="B1645" s="1">
        <v>46282</v>
      </c>
      <c r="C1645" t="s">
        <v>144</v>
      </c>
      <c r="D1645" t="s">
        <v>20</v>
      </c>
      <c r="E1645" t="s">
        <v>14</v>
      </c>
      <c r="F1645">
        <v>1</v>
      </c>
      <c r="G1645">
        <v>999</v>
      </c>
      <c r="H1645">
        <v>0.15</v>
      </c>
      <c r="I1645" t="s">
        <v>44</v>
      </c>
      <c r="J1645" t="s">
        <v>36</v>
      </c>
      <c r="K1645" t="s">
        <v>17</v>
      </c>
      <c r="L1645">
        <f>F1644*G1644*(1-H1644)</f>
        <v>9495.25</v>
      </c>
    </row>
    <row r="1646" spans="1:12">
      <c r="A1646" t="s">
        <v>2370</v>
      </c>
      <c r="B1646" s="1">
        <v>46229</v>
      </c>
      <c r="C1646" t="s">
        <v>2207</v>
      </c>
      <c r="D1646" t="s">
        <v>43</v>
      </c>
      <c r="E1646" t="s">
        <v>27</v>
      </c>
      <c r="F1646">
        <v>5</v>
      </c>
      <c r="G1646">
        <v>1499</v>
      </c>
      <c r="H1646">
        <v>0</v>
      </c>
      <c r="I1646" t="s">
        <v>32</v>
      </c>
      <c r="J1646" t="s">
        <v>16</v>
      </c>
      <c r="K1646" t="s">
        <v>37</v>
      </c>
      <c r="L1646">
        <f>F1645*G1645*(1-H1645)</f>
        <v>849.15</v>
      </c>
    </row>
    <row r="1647" spans="1:12">
      <c r="A1647" t="s">
        <v>2371</v>
      </c>
      <c r="B1647" s="1">
        <v>46031</v>
      </c>
      <c r="C1647" t="s">
        <v>736</v>
      </c>
      <c r="D1647" t="s">
        <v>56</v>
      </c>
      <c r="E1647" t="s">
        <v>21</v>
      </c>
      <c r="F1647">
        <v>4</v>
      </c>
      <c r="G1647">
        <v>2499</v>
      </c>
      <c r="H1647">
        <v>0</v>
      </c>
      <c r="I1647" t="s">
        <v>50</v>
      </c>
      <c r="J1647" t="s">
        <v>28</v>
      </c>
      <c r="K1647" t="s">
        <v>17</v>
      </c>
      <c r="L1647">
        <f>F1646*G1646*(1-H1646)</f>
        <v>7495</v>
      </c>
    </row>
    <row r="1648" spans="1:12">
      <c r="A1648" t="s">
        <v>2372</v>
      </c>
      <c r="B1648" s="1">
        <v>46167</v>
      </c>
      <c r="C1648" t="s">
        <v>1347</v>
      </c>
      <c r="D1648" t="s">
        <v>71</v>
      </c>
      <c r="E1648" t="s">
        <v>21</v>
      </c>
      <c r="F1648">
        <v>1</v>
      </c>
      <c r="G1648">
        <v>799</v>
      </c>
      <c r="H1648">
        <v>0</v>
      </c>
      <c r="I1648" t="s">
        <v>32</v>
      </c>
      <c r="J1648" t="s">
        <v>28</v>
      </c>
      <c r="K1648" t="s">
        <v>17</v>
      </c>
      <c r="L1648">
        <f>F1647*G1647*(1-H1647)</f>
        <v>9996</v>
      </c>
    </row>
    <row r="1649" spans="1:12">
      <c r="A1649" t="s">
        <v>2373</v>
      </c>
      <c r="B1649" s="1">
        <v>46084</v>
      </c>
      <c r="C1649" t="s">
        <v>2374</v>
      </c>
      <c r="D1649" t="s">
        <v>56</v>
      </c>
      <c r="E1649" t="s">
        <v>14</v>
      </c>
      <c r="F1649">
        <v>2</v>
      </c>
      <c r="G1649">
        <v>799</v>
      </c>
      <c r="H1649">
        <v>0</v>
      </c>
      <c r="I1649" t="s">
        <v>50</v>
      </c>
      <c r="J1649" t="s">
        <v>28</v>
      </c>
      <c r="K1649" t="s">
        <v>17</v>
      </c>
      <c r="L1649">
        <f>F1648*G1648*(1-H1648)</f>
        <v>799</v>
      </c>
    </row>
    <row r="1650" spans="1:12">
      <c r="A1650" t="s">
        <v>2375</v>
      </c>
      <c r="B1650" s="1">
        <v>46264</v>
      </c>
      <c r="C1650" t="s">
        <v>162</v>
      </c>
      <c r="D1650" t="s">
        <v>43</v>
      </c>
      <c r="E1650" t="s">
        <v>27</v>
      </c>
      <c r="F1650">
        <v>3</v>
      </c>
      <c r="G1650">
        <v>2499</v>
      </c>
      <c r="H1650">
        <v>0</v>
      </c>
      <c r="I1650" t="s">
        <v>44</v>
      </c>
      <c r="J1650" t="s">
        <v>16</v>
      </c>
      <c r="K1650" t="s">
        <v>37</v>
      </c>
      <c r="L1650">
        <f>F1649*G1649*(1-H1649)</f>
        <v>1598</v>
      </c>
    </row>
    <row r="1651" spans="1:12">
      <c r="A1651" t="s">
        <v>2376</v>
      </c>
      <c r="B1651" s="1">
        <v>46103</v>
      </c>
      <c r="C1651" t="s">
        <v>1112</v>
      </c>
      <c r="D1651" t="s">
        <v>78</v>
      </c>
      <c r="E1651" t="s">
        <v>35</v>
      </c>
      <c r="F1651">
        <v>3</v>
      </c>
      <c r="G1651">
        <v>999</v>
      </c>
      <c r="H1651">
        <v>0</v>
      </c>
      <c r="I1651" t="s">
        <v>15</v>
      </c>
      <c r="J1651" t="s">
        <v>36</v>
      </c>
      <c r="K1651" t="s">
        <v>17</v>
      </c>
      <c r="L1651">
        <f>F1650*G1650*(1-H1650)</f>
        <v>7497</v>
      </c>
    </row>
    <row r="1652" spans="1:12">
      <c r="A1652" t="s">
        <v>2377</v>
      </c>
      <c r="B1652" s="1">
        <v>46200</v>
      </c>
      <c r="C1652" t="s">
        <v>1080</v>
      </c>
      <c r="D1652" t="s">
        <v>20</v>
      </c>
      <c r="E1652" t="s">
        <v>35</v>
      </c>
      <c r="F1652">
        <v>4</v>
      </c>
      <c r="G1652">
        <v>4999</v>
      </c>
      <c r="H1652">
        <v>0.05</v>
      </c>
      <c r="I1652" t="s">
        <v>15</v>
      </c>
      <c r="J1652" t="s">
        <v>36</v>
      </c>
      <c r="K1652" t="s">
        <v>17</v>
      </c>
      <c r="L1652">
        <f>F1651*G1651*(1-H1651)</f>
        <v>2997</v>
      </c>
    </row>
    <row r="1653" spans="1:12">
      <c r="A1653" t="s">
        <v>2378</v>
      </c>
      <c r="B1653" s="1">
        <v>46096</v>
      </c>
      <c r="C1653" t="s">
        <v>203</v>
      </c>
      <c r="D1653" t="s">
        <v>26</v>
      </c>
      <c r="E1653" t="s">
        <v>14</v>
      </c>
      <c r="F1653">
        <v>4</v>
      </c>
      <c r="G1653">
        <v>999</v>
      </c>
      <c r="H1653">
        <v>0</v>
      </c>
      <c r="I1653" t="s">
        <v>32</v>
      </c>
      <c r="J1653" t="s">
        <v>51</v>
      </c>
      <c r="K1653" t="s">
        <v>37</v>
      </c>
      <c r="L1653">
        <f>F1652*G1652*(1-H1652)</f>
        <v>18996.2</v>
      </c>
    </row>
    <row r="1654" spans="1:12">
      <c r="A1654" t="s">
        <v>2379</v>
      </c>
      <c r="B1654" s="1">
        <v>46220</v>
      </c>
      <c r="C1654" t="s">
        <v>1627</v>
      </c>
      <c r="D1654" t="s">
        <v>43</v>
      </c>
      <c r="E1654" t="s">
        <v>21</v>
      </c>
      <c r="F1654">
        <v>5</v>
      </c>
      <c r="G1654">
        <v>499</v>
      </c>
      <c r="H1654">
        <v>0</v>
      </c>
      <c r="I1654" t="s">
        <v>44</v>
      </c>
      <c r="J1654" t="s">
        <v>22</v>
      </c>
      <c r="K1654" t="s">
        <v>17</v>
      </c>
      <c r="L1654">
        <f>F1653*G1653*(1-H1653)</f>
        <v>3996</v>
      </c>
    </row>
    <row r="1655" spans="1:12">
      <c r="A1655" t="s">
        <v>2380</v>
      </c>
      <c r="B1655" s="1">
        <v>46203</v>
      </c>
      <c r="C1655" t="s">
        <v>896</v>
      </c>
      <c r="D1655" t="s">
        <v>20</v>
      </c>
      <c r="E1655" t="s">
        <v>35</v>
      </c>
      <c r="F1655">
        <v>4</v>
      </c>
      <c r="G1655">
        <v>1299</v>
      </c>
      <c r="H1655">
        <v>0.15</v>
      </c>
      <c r="I1655" t="s">
        <v>44</v>
      </c>
      <c r="J1655" t="s">
        <v>28</v>
      </c>
      <c r="K1655" t="s">
        <v>17</v>
      </c>
      <c r="L1655">
        <f>F1654*G1654*(1-H1654)</f>
        <v>2495</v>
      </c>
    </row>
    <row r="1656" spans="1:12">
      <c r="A1656" t="s">
        <v>2381</v>
      </c>
      <c r="B1656" s="1">
        <v>46204</v>
      </c>
      <c r="C1656" t="s">
        <v>1657</v>
      </c>
      <c r="D1656" t="s">
        <v>62</v>
      </c>
      <c r="E1656" t="s">
        <v>40</v>
      </c>
      <c r="F1656">
        <v>4</v>
      </c>
      <c r="G1656">
        <v>599</v>
      </c>
      <c r="H1656">
        <v>0.05</v>
      </c>
      <c r="I1656" t="s">
        <v>15</v>
      </c>
      <c r="J1656" t="s">
        <v>36</v>
      </c>
      <c r="K1656" t="s">
        <v>17</v>
      </c>
      <c r="L1656">
        <f>F1655*G1655*(1-H1655)</f>
        <v>4416.5999999999995</v>
      </c>
    </row>
    <row r="1657" spans="1:12">
      <c r="A1657" t="s">
        <v>2382</v>
      </c>
      <c r="B1657" s="1">
        <v>46142</v>
      </c>
      <c r="C1657" t="s">
        <v>851</v>
      </c>
      <c r="D1657" t="s">
        <v>56</v>
      </c>
      <c r="E1657" t="s">
        <v>40</v>
      </c>
      <c r="F1657">
        <v>5</v>
      </c>
      <c r="G1657">
        <v>999</v>
      </c>
      <c r="H1657">
        <v>0</v>
      </c>
      <c r="I1657" t="s">
        <v>44</v>
      </c>
      <c r="J1657" t="s">
        <v>22</v>
      </c>
      <c r="K1657" t="s">
        <v>17</v>
      </c>
      <c r="L1657">
        <f>F1656*G1656*(1-H1656)</f>
        <v>2276.1999999999998</v>
      </c>
    </row>
    <row r="1658" spans="1:12">
      <c r="A1658" t="s">
        <v>2383</v>
      </c>
      <c r="B1658" s="1">
        <v>46080</v>
      </c>
      <c r="C1658" t="s">
        <v>1514</v>
      </c>
      <c r="D1658" t="s">
        <v>59</v>
      </c>
      <c r="E1658" t="s">
        <v>14</v>
      </c>
      <c r="F1658">
        <v>3</v>
      </c>
      <c r="G1658">
        <v>7999</v>
      </c>
      <c r="H1658">
        <v>0.05</v>
      </c>
      <c r="I1658" t="s">
        <v>15</v>
      </c>
      <c r="J1658" t="s">
        <v>16</v>
      </c>
      <c r="K1658" t="s">
        <v>17</v>
      </c>
      <c r="L1658">
        <f>F1657*G1657*(1-H1657)</f>
        <v>4995</v>
      </c>
    </row>
    <row r="1659" spans="1:12">
      <c r="A1659" t="s">
        <v>2384</v>
      </c>
      <c r="B1659" s="1">
        <v>46221</v>
      </c>
      <c r="C1659" t="s">
        <v>1657</v>
      </c>
      <c r="D1659" t="s">
        <v>20</v>
      </c>
      <c r="E1659" t="s">
        <v>40</v>
      </c>
      <c r="F1659">
        <v>2</v>
      </c>
      <c r="G1659">
        <v>999</v>
      </c>
      <c r="H1659">
        <v>0</v>
      </c>
      <c r="I1659" t="s">
        <v>15</v>
      </c>
      <c r="J1659" t="s">
        <v>36</v>
      </c>
      <c r="K1659" t="s">
        <v>17</v>
      </c>
      <c r="L1659">
        <f>F1658*G1658*(1-H1658)</f>
        <v>22797.149999999998</v>
      </c>
    </row>
    <row r="1660" spans="1:12">
      <c r="A1660" t="s">
        <v>2385</v>
      </c>
      <c r="B1660" s="1">
        <v>46153</v>
      </c>
      <c r="C1660" t="s">
        <v>117</v>
      </c>
      <c r="D1660" t="s">
        <v>62</v>
      </c>
      <c r="E1660" t="s">
        <v>21</v>
      </c>
      <c r="F1660">
        <v>4</v>
      </c>
      <c r="G1660">
        <v>1299</v>
      </c>
      <c r="H1660">
        <v>0.1</v>
      </c>
      <c r="I1660" t="s">
        <v>47</v>
      </c>
      <c r="J1660" t="s">
        <v>22</v>
      </c>
      <c r="K1660" t="s">
        <v>17</v>
      </c>
      <c r="L1660">
        <f>F1659*G1659*(1-H1659)</f>
        <v>1998</v>
      </c>
    </row>
    <row r="1661" spans="1:12">
      <c r="A1661" t="s">
        <v>2386</v>
      </c>
      <c r="B1661" s="1">
        <v>46135</v>
      </c>
      <c r="C1661" t="s">
        <v>673</v>
      </c>
      <c r="D1661" t="s">
        <v>20</v>
      </c>
      <c r="E1661" t="s">
        <v>35</v>
      </c>
      <c r="F1661">
        <v>1</v>
      </c>
      <c r="G1661">
        <v>1999</v>
      </c>
      <c r="H1661">
        <v>0.15</v>
      </c>
      <c r="I1661" t="s">
        <v>47</v>
      </c>
      <c r="J1661" t="s">
        <v>36</v>
      </c>
      <c r="K1661" t="s">
        <v>17</v>
      </c>
      <c r="L1661">
        <f>F1660*G1660*(1-H1660)</f>
        <v>4676.4000000000005</v>
      </c>
    </row>
    <row r="1662" spans="1:12">
      <c r="A1662" t="s">
        <v>2387</v>
      </c>
      <c r="B1662" s="1">
        <v>46246</v>
      </c>
      <c r="C1662" t="s">
        <v>421</v>
      </c>
      <c r="D1662" t="s">
        <v>26</v>
      </c>
      <c r="E1662" t="s">
        <v>35</v>
      </c>
      <c r="F1662">
        <v>1</v>
      </c>
      <c r="G1662">
        <v>599</v>
      </c>
      <c r="H1662">
        <v>0.1</v>
      </c>
      <c r="I1662" t="s">
        <v>15</v>
      </c>
      <c r="J1662" t="s">
        <v>22</v>
      </c>
      <c r="K1662" t="s">
        <v>37</v>
      </c>
      <c r="L1662">
        <f>F1661*G1661*(1-H1661)</f>
        <v>1699.1499999999999</v>
      </c>
    </row>
    <row r="1663" spans="1:12">
      <c r="A1663" t="s">
        <v>2388</v>
      </c>
      <c r="B1663" s="1">
        <v>46053</v>
      </c>
      <c r="C1663" t="s">
        <v>1540</v>
      </c>
      <c r="D1663" t="s">
        <v>59</v>
      </c>
      <c r="E1663" t="s">
        <v>27</v>
      </c>
      <c r="F1663">
        <v>2</v>
      </c>
      <c r="G1663">
        <v>1499</v>
      </c>
      <c r="H1663">
        <v>0.1</v>
      </c>
      <c r="I1663" t="s">
        <v>32</v>
      </c>
      <c r="J1663" t="s">
        <v>28</v>
      </c>
      <c r="K1663" t="s">
        <v>37</v>
      </c>
      <c r="L1663">
        <f>F1662*G1662*(1-H1662)</f>
        <v>539.1</v>
      </c>
    </row>
    <row r="1664" spans="1:12">
      <c r="A1664" t="s">
        <v>2389</v>
      </c>
      <c r="B1664" s="1">
        <v>46067</v>
      </c>
      <c r="C1664" t="s">
        <v>2241</v>
      </c>
      <c r="D1664" t="s">
        <v>56</v>
      </c>
      <c r="E1664" t="s">
        <v>21</v>
      </c>
      <c r="F1664">
        <v>4</v>
      </c>
      <c r="G1664">
        <v>499</v>
      </c>
      <c r="H1664">
        <v>0</v>
      </c>
      <c r="I1664" t="s">
        <v>44</v>
      </c>
      <c r="J1664" t="s">
        <v>28</v>
      </c>
      <c r="K1664" t="s">
        <v>17</v>
      </c>
      <c r="L1664">
        <f>F1663*G1663*(1-H1663)</f>
        <v>2698.2000000000003</v>
      </c>
    </row>
    <row r="1665" spans="1:12">
      <c r="A1665" t="s">
        <v>2390</v>
      </c>
      <c r="B1665" s="1">
        <v>46123</v>
      </c>
      <c r="C1665" t="s">
        <v>926</v>
      </c>
      <c r="D1665" t="s">
        <v>20</v>
      </c>
      <c r="E1665" t="s">
        <v>40</v>
      </c>
      <c r="F1665">
        <v>5</v>
      </c>
      <c r="G1665">
        <v>999</v>
      </c>
      <c r="H1665">
        <v>0.1</v>
      </c>
      <c r="I1665" t="s">
        <v>15</v>
      </c>
      <c r="J1665" t="s">
        <v>36</v>
      </c>
      <c r="K1665" t="s">
        <v>37</v>
      </c>
      <c r="L1665">
        <f>F1664*G1664*(1-H1664)</f>
        <v>1996</v>
      </c>
    </row>
    <row r="1666" spans="1:12">
      <c r="A1666" t="s">
        <v>2391</v>
      </c>
      <c r="B1666" s="1">
        <v>46290</v>
      </c>
      <c r="C1666" t="s">
        <v>454</v>
      </c>
      <c r="D1666" t="s">
        <v>59</v>
      </c>
      <c r="E1666" t="s">
        <v>21</v>
      </c>
      <c r="F1666">
        <v>2</v>
      </c>
      <c r="G1666">
        <v>1499</v>
      </c>
      <c r="H1666">
        <v>0</v>
      </c>
      <c r="I1666" t="s">
        <v>44</v>
      </c>
      <c r="J1666" t="s">
        <v>22</v>
      </c>
      <c r="K1666" t="s">
        <v>17</v>
      </c>
      <c r="L1666">
        <f>F1665*G1665*(1-H1665)</f>
        <v>4495.5</v>
      </c>
    </row>
    <row r="1667" spans="1:12">
      <c r="A1667" t="s">
        <v>2392</v>
      </c>
      <c r="B1667" s="1">
        <v>46123</v>
      </c>
      <c r="C1667" t="s">
        <v>1895</v>
      </c>
      <c r="D1667" t="s">
        <v>20</v>
      </c>
      <c r="E1667" t="s">
        <v>40</v>
      </c>
      <c r="F1667">
        <v>5</v>
      </c>
      <c r="G1667">
        <v>1499</v>
      </c>
      <c r="H1667">
        <v>0.15</v>
      </c>
      <c r="I1667" t="s">
        <v>15</v>
      </c>
      <c r="J1667" t="s">
        <v>51</v>
      </c>
      <c r="K1667" t="s">
        <v>17</v>
      </c>
      <c r="L1667">
        <f>F1666*G1666*(1-H1666)</f>
        <v>2998</v>
      </c>
    </row>
    <row r="1668" spans="1:12">
      <c r="A1668" t="s">
        <v>2393</v>
      </c>
      <c r="B1668" s="1">
        <v>46199</v>
      </c>
      <c r="C1668" t="s">
        <v>2261</v>
      </c>
      <c r="D1668" t="s">
        <v>56</v>
      </c>
      <c r="E1668" t="s">
        <v>14</v>
      </c>
      <c r="F1668">
        <v>2</v>
      </c>
      <c r="G1668">
        <v>1999</v>
      </c>
      <c r="H1668">
        <v>0.15</v>
      </c>
      <c r="I1668" t="s">
        <v>32</v>
      </c>
      <c r="J1668" t="s">
        <v>16</v>
      </c>
      <c r="K1668" t="s">
        <v>23</v>
      </c>
      <c r="L1668">
        <f>F1667*G1667*(1-H1667)</f>
        <v>6370.75</v>
      </c>
    </row>
    <row r="1669" spans="1:12">
      <c r="A1669" t="s">
        <v>2394</v>
      </c>
      <c r="B1669" s="1">
        <v>46290</v>
      </c>
      <c r="C1669" t="s">
        <v>277</v>
      </c>
      <c r="D1669" t="s">
        <v>31</v>
      </c>
      <c r="E1669" t="s">
        <v>35</v>
      </c>
      <c r="F1669">
        <v>2</v>
      </c>
      <c r="G1669">
        <v>599</v>
      </c>
      <c r="H1669">
        <v>0</v>
      </c>
      <c r="I1669" t="s">
        <v>32</v>
      </c>
      <c r="J1669" t="s">
        <v>22</v>
      </c>
      <c r="K1669" t="s">
        <v>23</v>
      </c>
      <c r="L1669">
        <f>F1668*G1668*(1-H1668)</f>
        <v>3398.2999999999997</v>
      </c>
    </row>
    <row r="1670" spans="1:12">
      <c r="A1670" t="s">
        <v>2395</v>
      </c>
      <c r="B1670" s="1">
        <v>46182</v>
      </c>
      <c r="C1670" t="s">
        <v>1521</v>
      </c>
      <c r="D1670" t="s">
        <v>78</v>
      </c>
      <c r="E1670" t="s">
        <v>14</v>
      </c>
      <c r="F1670">
        <v>3</v>
      </c>
      <c r="G1670">
        <v>999</v>
      </c>
      <c r="H1670">
        <v>0</v>
      </c>
      <c r="I1670" t="s">
        <v>15</v>
      </c>
      <c r="J1670" t="s">
        <v>22</v>
      </c>
      <c r="K1670" t="s">
        <v>37</v>
      </c>
      <c r="L1670">
        <f>F1669*G1669*(1-H1669)</f>
        <v>1198</v>
      </c>
    </row>
    <row r="1671" spans="1:12">
      <c r="A1671" t="s">
        <v>2396</v>
      </c>
      <c r="B1671" s="1">
        <v>46285</v>
      </c>
      <c r="C1671" t="s">
        <v>1068</v>
      </c>
      <c r="D1671" t="s">
        <v>43</v>
      </c>
      <c r="E1671" t="s">
        <v>14</v>
      </c>
      <c r="F1671">
        <v>4</v>
      </c>
      <c r="G1671">
        <v>2499</v>
      </c>
      <c r="H1671">
        <v>0</v>
      </c>
      <c r="I1671" t="s">
        <v>44</v>
      </c>
      <c r="J1671" t="s">
        <v>22</v>
      </c>
      <c r="K1671" t="s">
        <v>37</v>
      </c>
      <c r="L1671">
        <f>F1670*G1670*(1-H1670)</f>
        <v>2997</v>
      </c>
    </row>
    <row r="1672" spans="1:12">
      <c r="A1672" t="s">
        <v>2397</v>
      </c>
      <c r="B1672" s="1">
        <v>46042</v>
      </c>
      <c r="C1672" t="s">
        <v>164</v>
      </c>
      <c r="D1672" t="s">
        <v>56</v>
      </c>
      <c r="E1672" t="s">
        <v>14</v>
      </c>
      <c r="F1672">
        <v>5</v>
      </c>
      <c r="G1672">
        <v>799</v>
      </c>
      <c r="H1672">
        <v>0.1</v>
      </c>
      <c r="I1672" t="s">
        <v>15</v>
      </c>
      <c r="J1672" t="s">
        <v>51</v>
      </c>
      <c r="K1672" t="s">
        <v>17</v>
      </c>
      <c r="L1672">
        <f>F1671*G1671*(1-H1671)</f>
        <v>9996</v>
      </c>
    </row>
    <row r="1673" spans="1:12">
      <c r="A1673" t="s">
        <v>2398</v>
      </c>
      <c r="B1673" s="1">
        <v>46280</v>
      </c>
      <c r="C1673" t="s">
        <v>197</v>
      </c>
      <c r="D1673" t="s">
        <v>78</v>
      </c>
      <c r="E1673" t="s">
        <v>35</v>
      </c>
      <c r="F1673">
        <v>1</v>
      </c>
      <c r="G1673">
        <v>1499</v>
      </c>
      <c r="H1673">
        <v>0</v>
      </c>
      <c r="I1673" t="s">
        <v>50</v>
      </c>
      <c r="J1673" t="s">
        <v>28</v>
      </c>
      <c r="K1673" t="s">
        <v>37</v>
      </c>
      <c r="L1673">
        <f>F1672*G1672*(1-H1672)</f>
        <v>3595.5</v>
      </c>
    </row>
    <row r="1674" spans="1:12">
      <c r="A1674" t="s">
        <v>2399</v>
      </c>
      <c r="B1674" s="1">
        <v>46073</v>
      </c>
      <c r="C1674" t="s">
        <v>2400</v>
      </c>
      <c r="D1674" t="s">
        <v>13</v>
      </c>
      <c r="E1674" t="s">
        <v>21</v>
      </c>
      <c r="F1674">
        <v>4</v>
      </c>
      <c r="G1674">
        <v>499</v>
      </c>
      <c r="H1674">
        <v>0.15</v>
      </c>
      <c r="I1674" t="s">
        <v>32</v>
      </c>
      <c r="J1674" t="s">
        <v>36</v>
      </c>
      <c r="K1674" t="s">
        <v>37</v>
      </c>
      <c r="L1674">
        <f>F1673*G1673*(1-H1673)</f>
        <v>1499</v>
      </c>
    </row>
    <row r="1675" spans="1:12">
      <c r="A1675" t="s">
        <v>2401</v>
      </c>
      <c r="B1675" s="1">
        <v>46242</v>
      </c>
      <c r="C1675" t="s">
        <v>564</v>
      </c>
      <c r="D1675" t="s">
        <v>31</v>
      </c>
      <c r="E1675" t="s">
        <v>14</v>
      </c>
      <c r="F1675">
        <v>5</v>
      </c>
      <c r="G1675">
        <v>1999</v>
      </c>
      <c r="H1675">
        <v>0</v>
      </c>
      <c r="I1675" t="s">
        <v>50</v>
      </c>
      <c r="J1675" t="s">
        <v>22</v>
      </c>
      <c r="K1675" t="s">
        <v>37</v>
      </c>
      <c r="L1675">
        <f>F1674*G1674*(1-H1674)</f>
        <v>1696.6</v>
      </c>
    </row>
    <row r="1676" spans="1:12">
      <c r="A1676" t="s">
        <v>2402</v>
      </c>
      <c r="B1676" s="1">
        <v>46134</v>
      </c>
      <c r="C1676" t="s">
        <v>2403</v>
      </c>
      <c r="D1676" t="s">
        <v>13</v>
      </c>
      <c r="E1676" t="s">
        <v>35</v>
      </c>
      <c r="F1676">
        <v>3</v>
      </c>
      <c r="G1676">
        <v>499</v>
      </c>
      <c r="H1676">
        <v>0</v>
      </c>
      <c r="I1676" t="s">
        <v>47</v>
      </c>
      <c r="J1676" t="s">
        <v>36</v>
      </c>
      <c r="K1676" t="s">
        <v>17</v>
      </c>
      <c r="L1676">
        <f>F1675*G1675*(1-H1675)</f>
        <v>9995</v>
      </c>
    </row>
    <row r="1677" spans="1:12">
      <c r="A1677" t="s">
        <v>2404</v>
      </c>
      <c r="B1677" s="1">
        <v>46023</v>
      </c>
      <c r="C1677" t="s">
        <v>306</v>
      </c>
      <c r="D1677" t="s">
        <v>62</v>
      </c>
      <c r="E1677" t="s">
        <v>14</v>
      </c>
      <c r="F1677">
        <v>3</v>
      </c>
      <c r="G1677">
        <v>599</v>
      </c>
      <c r="H1677">
        <v>0</v>
      </c>
      <c r="I1677" t="s">
        <v>50</v>
      </c>
      <c r="J1677" t="s">
        <v>51</v>
      </c>
      <c r="K1677" t="s">
        <v>23</v>
      </c>
      <c r="L1677">
        <f>F1676*G1676*(1-H1676)</f>
        <v>1497</v>
      </c>
    </row>
    <row r="1678" spans="1:12">
      <c r="A1678" t="s">
        <v>2405</v>
      </c>
      <c r="B1678" s="1">
        <v>46153</v>
      </c>
      <c r="C1678" t="s">
        <v>318</v>
      </c>
      <c r="D1678" t="s">
        <v>43</v>
      </c>
      <c r="E1678" t="s">
        <v>21</v>
      </c>
      <c r="F1678">
        <v>3</v>
      </c>
      <c r="G1678">
        <v>1299</v>
      </c>
      <c r="H1678">
        <v>0.05</v>
      </c>
      <c r="I1678" t="s">
        <v>50</v>
      </c>
      <c r="J1678" t="s">
        <v>28</v>
      </c>
      <c r="K1678" t="s">
        <v>17</v>
      </c>
      <c r="L1678">
        <f>F1677*G1677*(1-H1677)</f>
        <v>1797</v>
      </c>
    </row>
    <row r="1679" spans="1:12">
      <c r="A1679" t="s">
        <v>2406</v>
      </c>
      <c r="B1679" s="1">
        <v>46218</v>
      </c>
      <c r="C1679" t="s">
        <v>380</v>
      </c>
      <c r="D1679" t="s">
        <v>20</v>
      </c>
      <c r="E1679" t="s">
        <v>27</v>
      </c>
      <c r="F1679">
        <v>3</v>
      </c>
      <c r="G1679">
        <v>599</v>
      </c>
      <c r="H1679">
        <v>0</v>
      </c>
      <c r="I1679" t="s">
        <v>47</v>
      </c>
      <c r="J1679" t="s">
        <v>51</v>
      </c>
      <c r="K1679" t="s">
        <v>17</v>
      </c>
      <c r="L1679">
        <f>F1678*G1678*(1-H1678)</f>
        <v>3702.1499999999996</v>
      </c>
    </row>
    <row r="1680" spans="1:12">
      <c r="A1680" t="s">
        <v>2407</v>
      </c>
      <c r="B1680" s="1">
        <v>46255</v>
      </c>
      <c r="C1680" t="s">
        <v>2408</v>
      </c>
      <c r="D1680" t="s">
        <v>71</v>
      </c>
      <c r="E1680" t="s">
        <v>27</v>
      </c>
      <c r="F1680">
        <v>2</v>
      </c>
      <c r="G1680">
        <v>499</v>
      </c>
      <c r="H1680">
        <v>0</v>
      </c>
      <c r="I1680" t="s">
        <v>47</v>
      </c>
      <c r="J1680" t="s">
        <v>22</v>
      </c>
      <c r="K1680" t="s">
        <v>17</v>
      </c>
      <c r="L1680">
        <f>F1679*G1679*(1-H1679)</f>
        <v>1797</v>
      </c>
    </row>
    <row r="1681" spans="1:12">
      <c r="A1681" t="s">
        <v>2409</v>
      </c>
      <c r="B1681" s="1">
        <v>46227</v>
      </c>
      <c r="C1681" t="s">
        <v>699</v>
      </c>
      <c r="D1681" t="s">
        <v>59</v>
      </c>
      <c r="E1681" t="s">
        <v>21</v>
      </c>
      <c r="F1681">
        <v>4</v>
      </c>
      <c r="G1681">
        <v>599</v>
      </c>
      <c r="H1681">
        <v>0.15</v>
      </c>
      <c r="I1681" t="s">
        <v>50</v>
      </c>
      <c r="J1681" t="s">
        <v>36</v>
      </c>
      <c r="K1681" t="s">
        <v>17</v>
      </c>
      <c r="L1681">
        <f>F1680*G1680*(1-H1680)</f>
        <v>998</v>
      </c>
    </row>
    <row r="1682" spans="1:12">
      <c r="A1682" t="s">
        <v>2410</v>
      </c>
      <c r="B1682" s="1">
        <v>46256</v>
      </c>
      <c r="C1682" t="s">
        <v>1675</v>
      </c>
      <c r="D1682" t="s">
        <v>59</v>
      </c>
      <c r="E1682" t="s">
        <v>40</v>
      </c>
      <c r="F1682">
        <v>4</v>
      </c>
      <c r="G1682">
        <v>599</v>
      </c>
      <c r="H1682">
        <v>0.05</v>
      </c>
      <c r="I1682" t="s">
        <v>50</v>
      </c>
      <c r="J1682" t="s">
        <v>51</v>
      </c>
      <c r="K1682" t="s">
        <v>37</v>
      </c>
      <c r="L1682">
        <f>F1681*G1681*(1-H1681)</f>
        <v>2036.6</v>
      </c>
    </row>
    <row r="1683" spans="1:12">
      <c r="A1683" t="s">
        <v>2411</v>
      </c>
      <c r="B1683" s="1">
        <v>46269</v>
      </c>
      <c r="C1683" t="s">
        <v>1954</v>
      </c>
      <c r="D1683" t="s">
        <v>62</v>
      </c>
      <c r="E1683" t="s">
        <v>40</v>
      </c>
      <c r="F1683">
        <v>5</v>
      </c>
      <c r="G1683">
        <v>7999</v>
      </c>
      <c r="H1683">
        <v>0.1</v>
      </c>
      <c r="I1683" t="s">
        <v>15</v>
      </c>
      <c r="J1683" t="s">
        <v>28</v>
      </c>
      <c r="K1683" t="s">
        <v>37</v>
      </c>
      <c r="L1683">
        <f>F1682*G1682*(1-H1682)</f>
        <v>2276.1999999999998</v>
      </c>
    </row>
    <row r="1684" spans="1:12">
      <c r="A1684" t="s">
        <v>2412</v>
      </c>
      <c r="B1684" s="1">
        <v>46132</v>
      </c>
      <c r="C1684" t="s">
        <v>2413</v>
      </c>
      <c r="D1684" t="s">
        <v>26</v>
      </c>
      <c r="E1684" t="s">
        <v>27</v>
      </c>
      <c r="F1684">
        <v>2</v>
      </c>
      <c r="G1684">
        <v>4999</v>
      </c>
      <c r="H1684">
        <v>0</v>
      </c>
      <c r="I1684" t="s">
        <v>32</v>
      </c>
      <c r="J1684" t="s">
        <v>51</v>
      </c>
      <c r="K1684" t="s">
        <v>17</v>
      </c>
      <c r="L1684">
        <f>F1683*G1683*(1-H1683)</f>
        <v>35995.5</v>
      </c>
    </row>
    <row r="1685" spans="1:12">
      <c r="A1685" t="s">
        <v>2414</v>
      </c>
      <c r="B1685" s="1">
        <v>46070</v>
      </c>
      <c r="C1685" t="s">
        <v>759</v>
      </c>
      <c r="D1685" t="s">
        <v>59</v>
      </c>
      <c r="E1685" t="s">
        <v>27</v>
      </c>
      <c r="F1685">
        <v>4</v>
      </c>
      <c r="G1685">
        <v>499</v>
      </c>
      <c r="H1685">
        <v>0.05</v>
      </c>
      <c r="I1685" t="s">
        <v>15</v>
      </c>
      <c r="J1685" t="s">
        <v>16</v>
      </c>
      <c r="K1685" t="s">
        <v>17</v>
      </c>
      <c r="L1685">
        <f>F1684*G1684*(1-H1684)</f>
        <v>9998</v>
      </c>
    </row>
    <row r="1686" spans="1:12">
      <c r="A1686" t="s">
        <v>2415</v>
      </c>
      <c r="B1686" s="1">
        <v>46090</v>
      </c>
      <c r="C1686" t="s">
        <v>1359</v>
      </c>
      <c r="D1686" t="s">
        <v>31</v>
      </c>
      <c r="E1686" t="s">
        <v>27</v>
      </c>
      <c r="F1686">
        <v>4</v>
      </c>
      <c r="G1686">
        <v>2499</v>
      </c>
      <c r="H1686">
        <v>0.1</v>
      </c>
      <c r="I1686" t="s">
        <v>32</v>
      </c>
      <c r="J1686" t="s">
        <v>51</v>
      </c>
      <c r="K1686" t="s">
        <v>17</v>
      </c>
      <c r="L1686">
        <f>F1685*G1685*(1-H1685)</f>
        <v>1896.1999999999998</v>
      </c>
    </row>
    <row r="1687" spans="1:12">
      <c r="A1687" t="s">
        <v>2416</v>
      </c>
      <c r="B1687" s="1">
        <v>46150</v>
      </c>
      <c r="C1687" t="s">
        <v>952</v>
      </c>
      <c r="D1687" t="s">
        <v>62</v>
      </c>
      <c r="E1687" t="s">
        <v>21</v>
      </c>
      <c r="F1687">
        <v>1</v>
      </c>
      <c r="G1687">
        <v>999</v>
      </c>
      <c r="H1687">
        <v>0.1</v>
      </c>
      <c r="I1687" t="s">
        <v>50</v>
      </c>
      <c r="J1687" t="s">
        <v>28</v>
      </c>
      <c r="K1687" t="s">
        <v>23</v>
      </c>
      <c r="L1687">
        <f>F1686*G1686*(1-H1686)</f>
        <v>8996.4</v>
      </c>
    </row>
    <row r="1688" spans="1:12">
      <c r="A1688" t="s">
        <v>2417</v>
      </c>
      <c r="B1688" s="1">
        <v>46156</v>
      </c>
      <c r="C1688" t="s">
        <v>1042</v>
      </c>
      <c r="D1688" t="s">
        <v>13</v>
      </c>
      <c r="E1688" t="s">
        <v>35</v>
      </c>
      <c r="F1688">
        <v>5</v>
      </c>
      <c r="G1688">
        <v>999</v>
      </c>
      <c r="H1688">
        <v>0.05</v>
      </c>
      <c r="I1688" t="s">
        <v>15</v>
      </c>
      <c r="J1688" t="s">
        <v>36</v>
      </c>
      <c r="K1688" t="s">
        <v>23</v>
      </c>
      <c r="L1688">
        <f>F1687*G1687*(1-H1687)</f>
        <v>899.1</v>
      </c>
    </row>
    <row r="1689" spans="1:12">
      <c r="A1689" t="s">
        <v>2418</v>
      </c>
      <c r="B1689" s="1">
        <v>46222</v>
      </c>
      <c r="C1689" t="s">
        <v>217</v>
      </c>
      <c r="D1689" t="s">
        <v>62</v>
      </c>
      <c r="E1689" t="s">
        <v>21</v>
      </c>
      <c r="F1689">
        <v>2</v>
      </c>
      <c r="G1689">
        <v>4999</v>
      </c>
      <c r="H1689">
        <v>0.1</v>
      </c>
      <c r="I1689" t="s">
        <v>47</v>
      </c>
      <c r="J1689" t="s">
        <v>36</v>
      </c>
      <c r="K1689" t="s">
        <v>23</v>
      </c>
      <c r="L1689">
        <f>F1688*G1688*(1-H1688)</f>
        <v>4745.25</v>
      </c>
    </row>
    <row r="1690" spans="1:12">
      <c r="A1690" t="s">
        <v>2419</v>
      </c>
      <c r="B1690" s="1">
        <v>46142</v>
      </c>
      <c r="C1690" t="s">
        <v>1486</v>
      </c>
      <c r="D1690" t="s">
        <v>20</v>
      </c>
      <c r="E1690" t="s">
        <v>27</v>
      </c>
      <c r="F1690">
        <v>2</v>
      </c>
      <c r="G1690">
        <v>1499</v>
      </c>
      <c r="H1690">
        <v>0.15</v>
      </c>
      <c r="I1690" t="s">
        <v>32</v>
      </c>
      <c r="J1690" t="s">
        <v>28</v>
      </c>
      <c r="K1690" t="s">
        <v>37</v>
      </c>
      <c r="L1690">
        <f>F1689*G1689*(1-H1689)</f>
        <v>8998.2000000000007</v>
      </c>
    </row>
    <row r="1691" spans="1:12">
      <c r="A1691" t="s">
        <v>2420</v>
      </c>
      <c r="B1691" s="1">
        <v>46145</v>
      </c>
      <c r="C1691" t="s">
        <v>90</v>
      </c>
      <c r="D1691" t="s">
        <v>59</v>
      </c>
      <c r="E1691" t="s">
        <v>40</v>
      </c>
      <c r="F1691">
        <v>4</v>
      </c>
      <c r="G1691">
        <v>599</v>
      </c>
      <c r="H1691">
        <v>0.05</v>
      </c>
      <c r="I1691" t="s">
        <v>32</v>
      </c>
      <c r="J1691" t="s">
        <v>16</v>
      </c>
      <c r="K1691" t="s">
        <v>17</v>
      </c>
      <c r="L1691">
        <f>F1690*G1690*(1-H1690)</f>
        <v>2548.2999999999997</v>
      </c>
    </row>
    <row r="1692" spans="1:12">
      <c r="A1692" t="s">
        <v>2421</v>
      </c>
      <c r="B1692" s="1">
        <v>46225</v>
      </c>
      <c r="C1692" t="s">
        <v>241</v>
      </c>
      <c r="D1692" t="s">
        <v>78</v>
      </c>
      <c r="E1692" t="s">
        <v>35</v>
      </c>
      <c r="F1692">
        <v>4</v>
      </c>
      <c r="G1692">
        <v>1299</v>
      </c>
      <c r="H1692">
        <v>0</v>
      </c>
      <c r="I1692" t="s">
        <v>15</v>
      </c>
      <c r="J1692" t="s">
        <v>22</v>
      </c>
      <c r="K1692" t="s">
        <v>17</v>
      </c>
      <c r="L1692">
        <f>F1691*G1691*(1-H1691)</f>
        <v>2276.1999999999998</v>
      </c>
    </row>
    <row r="1693" spans="1:12">
      <c r="A1693" t="s">
        <v>2422</v>
      </c>
      <c r="B1693" s="1">
        <v>46137</v>
      </c>
      <c r="C1693" t="s">
        <v>961</v>
      </c>
      <c r="D1693" t="s">
        <v>31</v>
      </c>
      <c r="E1693" t="s">
        <v>27</v>
      </c>
      <c r="F1693">
        <v>3</v>
      </c>
      <c r="G1693">
        <v>4999</v>
      </c>
      <c r="H1693">
        <v>0</v>
      </c>
      <c r="I1693" t="s">
        <v>44</v>
      </c>
      <c r="J1693" t="s">
        <v>22</v>
      </c>
      <c r="K1693" t="s">
        <v>17</v>
      </c>
      <c r="L1693">
        <f>F1692*G1692*(1-H1692)</f>
        <v>5196</v>
      </c>
    </row>
    <row r="1694" spans="1:12">
      <c r="A1694" t="s">
        <v>2423</v>
      </c>
      <c r="B1694" s="1">
        <v>46223</v>
      </c>
      <c r="C1694" t="s">
        <v>651</v>
      </c>
      <c r="D1694" t="s">
        <v>59</v>
      </c>
      <c r="E1694" t="s">
        <v>27</v>
      </c>
      <c r="F1694">
        <v>2</v>
      </c>
      <c r="G1694">
        <v>7999</v>
      </c>
      <c r="H1694">
        <v>0.05</v>
      </c>
      <c r="I1694" t="s">
        <v>32</v>
      </c>
      <c r="J1694" t="s">
        <v>16</v>
      </c>
      <c r="K1694" t="s">
        <v>37</v>
      </c>
      <c r="L1694">
        <f>F1693*G1693*(1-H1693)</f>
        <v>14997</v>
      </c>
    </row>
    <row r="1695" spans="1:12">
      <c r="A1695" t="s">
        <v>2424</v>
      </c>
      <c r="B1695" s="1">
        <v>46049</v>
      </c>
      <c r="C1695" t="s">
        <v>174</v>
      </c>
      <c r="D1695" t="s">
        <v>26</v>
      </c>
      <c r="E1695" t="s">
        <v>40</v>
      </c>
      <c r="F1695">
        <v>4</v>
      </c>
      <c r="G1695">
        <v>1299</v>
      </c>
      <c r="H1695">
        <v>0.15</v>
      </c>
      <c r="I1695" t="s">
        <v>15</v>
      </c>
      <c r="J1695" t="s">
        <v>22</v>
      </c>
      <c r="K1695" t="s">
        <v>17</v>
      </c>
      <c r="L1695">
        <f>F1694*G1694*(1-H1694)</f>
        <v>15198.099999999999</v>
      </c>
    </row>
    <row r="1696" spans="1:12">
      <c r="A1696" t="s">
        <v>2425</v>
      </c>
      <c r="B1696" s="1">
        <v>46110</v>
      </c>
      <c r="C1696" t="s">
        <v>725</v>
      </c>
      <c r="D1696" t="s">
        <v>31</v>
      </c>
      <c r="E1696" t="s">
        <v>35</v>
      </c>
      <c r="F1696">
        <v>4</v>
      </c>
      <c r="G1696">
        <v>4999</v>
      </c>
      <c r="H1696">
        <v>0.1</v>
      </c>
      <c r="I1696" t="s">
        <v>32</v>
      </c>
      <c r="J1696" t="s">
        <v>36</v>
      </c>
      <c r="K1696" t="s">
        <v>17</v>
      </c>
      <c r="L1696">
        <f>F1695*G1695*(1-H1695)</f>
        <v>4416.5999999999995</v>
      </c>
    </row>
    <row r="1697" spans="1:12">
      <c r="A1697" t="s">
        <v>2426</v>
      </c>
      <c r="B1697" s="1">
        <v>46073</v>
      </c>
      <c r="C1697" t="s">
        <v>1432</v>
      </c>
      <c r="D1697" t="s">
        <v>31</v>
      </c>
      <c r="E1697" t="s">
        <v>40</v>
      </c>
      <c r="F1697">
        <v>4</v>
      </c>
      <c r="G1697">
        <v>799</v>
      </c>
      <c r="H1697">
        <v>0</v>
      </c>
      <c r="I1697" t="s">
        <v>44</v>
      </c>
      <c r="J1697" t="s">
        <v>22</v>
      </c>
      <c r="K1697" t="s">
        <v>17</v>
      </c>
      <c r="L1697">
        <f>F1696*G1696*(1-H1696)</f>
        <v>17996.400000000001</v>
      </c>
    </row>
    <row r="1698" spans="1:12">
      <c r="A1698" t="s">
        <v>2427</v>
      </c>
      <c r="B1698" s="1">
        <v>46109</v>
      </c>
      <c r="C1698" t="s">
        <v>2270</v>
      </c>
      <c r="D1698" t="s">
        <v>13</v>
      </c>
      <c r="E1698" t="s">
        <v>27</v>
      </c>
      <c r="F1698">
        <v>2</v>
      </c>
      <c r="G1698">
        <v>499</v>
      </c>
      <c r="H1698">
        <v>0.15</v>
      </c>
      <c r="I1698" t="s">
        <v>15</v>
      </c>
      <c r="J1698" t="s">
        <v>36</v>
      </c>
      <c r="K1698" t="s">
        <v>17</v>
      </c>
      <c r="L1698">
        <f>F1697*G1697*(1-H1697)</f>
        <v>3196</v>
      </c>
    </row>
    <row r="1699" spans="1:12">
      <c r="A1699" t="s">
        <v>2428</v>
      </c>
      <c r="B1699" s="1">
        <v>46092</v>
      </c>
      <c r="C1699" t="s">
        <v>2429</v>
      </c>
      <c r="D1699" t="s">
        <v>71</v>
      </c>
      <c r="E1699" t="s">
        <v>27</v>
      </c>
      <c r="F1699">
        <v>4</v>
      </c>
      <c r="G1699">
        <v>1299</v>
      </c>
      <c r="H1699">
        <v>0.1</v>
      </c>
      <c r="I1699" t="s">
        <v>32</v>
      </c>
      <c r="J1699" t="s">
        <v>51</v>
      </c>
      <c r="K1699" t="s">
        <v>37</v>
      </c>
      <c r="L1699">
        <f>F1698*G1698*(1-H1698)</f>
        <v>848.3</v>
      </c>
    </row>
    <row r="1700" spans="1:12">
      <c r="A1700" t="s">
        <v>2430</v>
      </c>
      <c r="B1700" s="1">
        <v>46170</v>
      </c>
      <c r="C1700" t="s">
        <v>92</v>
      </c>
      <c r="D1700" t="s">
        <v>62</v>
      </c>
      <c r="E1700" t="s">
        <v>35</v>
      </c>
      <c r="F1700">
        <v>3</v>
      </c>
      <c r="G1700">
        <v>2499</v>
      </c>
      <c r="H1700">
        <v>0.15</v>
      </c>
      <c r="I1700" t="s">
        <v>50</v>
      </c>
      <c r="J1700" t="s">
        <v>16</v>
      </c>
      <c r="K1700" t="s">
        <v>23</v>
      </c>
      <c r="L1700">
        <f>F1699*G1699*(1-H1699)</f>
        <v>4676.4000000000005</v>
      </c>
    </row>
    <row r="1701" spans="1:12">
      <c r="A1701" t="s">
        <v>2431</v>
      </c>
      <c r="B1701" s="1">
        <v>46243</v>
      </c>
      <c r="C1701" t="s">
        <v>1666</v>
      </c>
      <c r="D1701" t="s">
        <v>59</v>
      </c>
      <c r="E1701" t="s">
        <v>14</v>
      </c>
      <c r="F1701">
        <v>1</v>
      </c>
      <c r="G1701">
        <v>1499</v>
      </c>
      <c r="H1701">
        <v>0</v>
      </c>
      <c r="I1701" t="s">
        <v>32</v>
      </c>
      <c r="J1701" t="s">
        <v>16</v>
      </c>
      <c r="K1701" t="s">
        <v>37</v>
      </c>
      <c r="L1701">
        <f>F1700*G1700*(1-H1700)</f>
        <v>6372.45</v>
      </c>
    </row>
    <row r="1702" spans="1:12">
      <c r="A1702" t="s">
        <v>2432</v>
      </c>
      <c r="B1702" s="1">
        <v>46082</v>
      </c>
      <c r="C1702" t="s">
        <v>2357</v>
      </c>
      <c r="D1702" t="s">
        <v>26</v>
      </c>
      <c r="E1702" t="s">
        <v>27</v>
      </c>
      <c r="F1702">
        <v>2</v>
      </c>
      <c r="G1702">
        <v>1999</v>
      </c>
      <c r="H1702">
        <v>0</v>
      </c>
      <c r="I1702" t="s">
        <v>15</v>
      </c>
      <c r="J1702" t="s">
        <v>51</v>
      </c>
      <c r="K1702" t="s">
        <v>17</v>
      </c>
      <c r="L1702">
        <f>F1701*G1701*(1-H1701)</f>
        <v>1499</v>
      </c>
    </row>
    <row r="1703" spans="1:12">
      <c r="A1703" t="s">
        <v>2433</v>
      </c>
      <c r="B1703" s="1">
        <v>46056</v>
      </c>
      <c r="C1703" t="s">
        <v>741</v>
      </c>
      <c r="D1703" t="s">
        <v>31</v>
      </c>
      <c r="E1703" t="s">
        <v>40</v>
      </c>
      <c r="F1703">
        <v>1</v>
      </c>
      <c r="G1703">
        <v>1999</v>
      </c>
      <c r="H1703">
        <v>0.15</v>
      </c>
      <c r="I1703" t="s">
        <v>47</v>
      </c>
      <c r="J1703" t="s">
        <v>22</v>
      </c>
      <c r="K1703" t="s">
        <v>17</v>
      </c>
      <c r="L1703">
        <f>F1702*G1702*(1-H1702)</f>
        <v>3998</v>
      </c>
    </row>
    <row r="1704" spans="1:12">
      <c r="A1704" t="s">
        <v>2434</v>
      </c>
      <c r="B1704" s="1">
        <v>46262</v>
      </c>
      <c r="C1704" t="s">
        <v>162</v>
      </c>
      <c r="D1704" t="s">
        <v>31</v>
      </c>
      <c r="E1704" t="s">
        <v>40</v>
      </c>
      <c r="F1704">
        <v>3</v>
      </c>
      <c r="G1704">
        <v>599</v>
      </c>
      <c r="H1704">
        <v>0.1</v>
      </c>
      <c r="I1704" t="s">
        <v>44</v>
      </c>
      <c r="J1704" t="s">
        <v>51</v>
      </c>
      <c r="K1704" t="s">
        <v>37</v>
      </c>
      <c r="L1704">
        <f>F1703*G1703*(1-H1703)</f>
        <v>1699.1499999999999</v>
      </c>
    </row>
    <row r="1705" spans="1:12">
      <c r="A1705" t="s">
        <v>2435</v>
      </c>
      <c r="B1705" s="1">
        <v>46284</v>
      </c>
      <c r="C1705" t="s">
        <v>2191</v>
      </c>
      <c r="D1705" t="s">
        <v>59</v>
      </c>
      <c r="E1705" t="s">
        <v>21</v>
      </c>
      <c r="F1705">
        <v>2</v>
      </c>
      <c r="G1705">
        <v>499</v>
      </c>
      <c r="H1705">
        <v>0.05</v>
      </c>
      <c r="I1705" t="s">
        <v>44</v>
      </c>
      <c r="J1705" t="s">
        <v>22</v>
      </c>
      <c r="K1705" t="s">
        <v>17</v>
      </c>
      <c r="L1705">
        <f>F1704*G1704*(1-H1704)</f>
        <v>1617.3</v>
      </c>
    </row>
    <row r="1706" spans="1:12">
      <c r="A1706" t="s">
        <v>2436</v>
      </c>
      <c r="B1706" s="1">
        <v>46235</v>
      </c>
      <c r="C1706" t="s">
        <v>448</v>
      </c>
      <c r="D1706" t="s">
        <v>71</v>
      </c>
      <c r="E1706" t="s">
        <v>21</v>
      </c>
      <c r="F1706">
        <v>3</v>
      </c>
      <c r="G1706">
        <v>799</v>
      </c>
      <c r="H1706">
        <v>0.05</v>
      </c>
      <c r="I1706" t="s">
        <v>44</v>
      </c>
      <c r="J1706" t="s">
        <v>51</v>
      </c>
      <c r="K1706" t="s">
        <v>37</v>
      </c>
      <c r="L1706">
        <f>F1705*G1705*(1-H1705)</f>
        <v>948.09999999999991</v>
      </c>
    </row>
    <row r="1707" spans="1:12">
      <c r="A1707" t="s">
        <v>2437</v>
      </c>
      <c r="B1707" s="1">
        <v>46218</v>
      </c>
      <c r="C1707" t="s">
        <v>725</v>
      </c>
      <c r="D1707" t="s">
        <v>20</v>
      </c>
      <c r="E1707" t="s">
        <v>21</v>
      </c>
      <c r="F1707">
        <v>1</v>
      </c>
      <c r="G1707">
        <v>1499</v>
      </c>
      <c r="H1707">
        <v>0</v>
      </c>
      <c r="I1707" t="s">
        <v>15</v>
      </c>
      <c r="J1707" t="s">
        <v>36</v>
      </c>
      <c r="K1707" t="s">
        <v>23</v>
      </c>
      <c r="L1707">
        <f>F1706*G1706*(1-H1706)</f>
        <v>2277.15</v>
      </c>
    </row>
    <row r="1708" spans="1:12">
      <c r="A1708" t="s">
        <v>2438</v>
      </c>
      <c r="B1708" s="1">
        <v>46265</v>
      </c>
      <c r="C1708" t="s">
        <v>1233</v>
      </c>
      <c r="D1708" t="s">
        <v>59</v>
      </c>
      <c r="E1708" t="s">
        <v>35</v>
      </c>
      <c r="F1708">
        <v>4</v>
      </c>
      <c r="G1708">
        <v>599</v>
      </c>
      <c r="H1708">
        <v>0.15</v>
      </c>
      <c r="I1708" t="s">
        <v>50</v>
      </c>
      <c r="J1708" t="s">
        <v>51</v>
      </c>
      <c r="K1708" t="s">
        <v>17</v>
      </c>
      <c r="L1708">
        <f>F1707*G1707*(1-H1707)</f>
        <v>1499</v>
      </c>
    </row>
    <row r="1709" spans="1:12">
      <c r="A1709" t="s">
        <v>2439</v>
      </c>
      <c r="B1709" s="1">
        <v>46145</v>
      </c>
      <c r="C1709" t="s">
        <v>166</v>
      </c>
      <c r="D1709" t="s">
        <v>43</v>
      </c>
      <c r="E1709" t="s">
        <v>40</v>
      </c>
      <c r="F1709">
        <v>1</v>
      </c>
      <c r="G1709">
        <v>999</v>
      </c>
      <c r="H1709">
        <v>0</v>
      </c>
      <c r="I1709" t="s">
        <v>32</v>
      </c>
      <c r="J1709" t="s">
        <v>16</v>
      </c>
      <c r="K1709" t="s">
        <v>37</v>
      </c>
      <c r="L1709">
        <f>F1708*G1708*(1-H1708)</f>
        <v>2036.6</v>
      </c>
    </row>
    <row r="1710" spans="1:12">
      <c r="A1710" t="s">
        <v>2440</v>
      </c>
      <c r="B1710" s="1">
        <v>46135</v>
      </c>
      <c r="C1710" t="s">
        <v>938</v>
      </c>
      <c r="D1710" t="s">
        <v>71</v>
      </c>
      <c r="E1710" t="s">
        <v>14</v>
      </c>
      <c r="F1710">
        <v>3</v>
      </c>
      <c r="G1710">
        <v>1999</v>
      </c>
      <c r="H1710">
        <v>0</v>
      </c>
      <c r="I1710" t="s">
        <v>47</v>
      </c>
      <c r="J1710" t="s">
        <v>36</v>
      </c>
      <c r="K1710" t="s">
        <v>17</v>
      </c>
      <c r="L1710">
        <f>F1709*G1709*(1-H1709)</f>
        <v>999</v>
      </c>
    </row>
    <row r="1711" spans="1:12">
      <c r="A1711" t="s">
        <v>2441</v>
      </c>
      <c r="B1711" s="1">
        <v>46203</v>
      </c>
      <c r="C1711" t="s">
        <v>2182</v>
      </c>
      <c r="D1711" t="s">
        <v>62</v>
      </c>
      <c r="E1711" t="s">
        <v>35</v>
      </c>
      <c r="F1711">
        <v>3</v>
      </c>
      <c r="G1711">
        <v>1299</v>
      </c>
      <c r="H1711">
        <v>0.1</v>
      </c>
      <c r="I1711" t="s">
        <v>47</v>
      </c>
      <c r="J1711" t="s">
        <v>22</v>
      </c>
      <c r="K1711" t="s">
        <v>17</v>
      </c>
      <c r="L1711">
        <f>F1710*G1710*(1-H1710)</f>
        <v>5997</v>
      </c>
    </row>
    <row r="1712" spans="1:12">
      <c r="A1712" t="s">
        <v>2442</v>
      </c>
      <c r="B1712" s="1">
        <v>46232</v>
      </c>
      <c r="C1712" t="s">
        <v>2443</v>
      </c>
      <c r="D1712" t="s">
        <v>62</v>
      </c>
      <c r="E1712" t="s">
        <v>40</v>
      </c>
      <c r="F1712">
        <v>1</v>
      </c>
      <c r="G1712">
        <v>1499</v>
      </c>
      <c r="H1712">
        <v>0.1</v>
      </c>
      <c r="I1712" t="s">
        <v>15</v>
      </c>
      <c r="J1712" t="s">
        <v>22</v>
      </c>
      <c r="K1712" t="s">
        <v>17</v>
      </c>
      <c r="L1712">
        <f>F1711*G1711*(1-H1711)</f>
        <v>3507.3</v>
      </c>
    </row>
    <row r="1713" spans="1:12">
      <c r="A1713" t="s">
        <v>2444</v>
      </c>
      <c r="B1713" s="1">
        <v>46250</v>
      </c>
      <c r="C1713" t="s">
        <v>991</v>
      </c>
      <c r="D1713" t="s">
        <v>56</v>
      </c>
      <c r="E1713" t="s">
        <v>35</v>
      </c>
      <c r="F1713">
        <v>4</v>
      </c>
      <c r="G1713">
        <v>1299</v>
      </c>
      <c r="H1713">
        <v>0.1</v>
      </c>
      <c r="I1713" t="s">
        <v>47</v>
      </c>
      <c r="J1713" t="s">
        <v>16</v>
      </c>
      <c r="K1713" t="s">
        <v>37</v>
      </c>
      <c r="L1713">
        <f>F1712*G1712*(1-H1712)</f>
        <v>1349.1000000000001</v>
      </c>
    </row>
    <row r="1714" spans="1:12">
      <c r="A1714" t="s">
        <v>2445</v>
      </c>
      <c r="B1714" s="1">
        <v>46225</v>
      </c>
      <c r="C1714" t="s">
        <v>2115</v>
      </c>
      <c r="D1714" t="s">
        <v>59</v>
      </c>
      <c r="E1714" t="s">
        <v>21</v>
      </c>
      <c r="F1714">
        <v>1</v>
      </c>
      <c r="G1714">
        <v>1499</v>
      </c>
      <c r="H1714">
        <v>0</v>
      </c>
      <c r="I1714" t="s">
        <v>32</v>
      </c>
      <c r="J1714" t="s">
        <v>22</v>
      </c>
      <c r="K1714" t="s">
        <v>17</v>
      </c>
      <c r="L1714">
        <f>F1713*G1713*(1-H1713)</f>
        <v>4676.4000000000005</v>
      </c>
    </row>
    <row r="1715" spans="1:12">
      <c r="A1715" t="s">
        <v>2446</v>
      </c>
      <c r="B1715" s="1">
        <v>46207</v>
      </c>
      <c r="C1715" t="s">
        <v>2447</v>
      </c>
      <c r="D1715" t="s">
        <v>13</v>
      </c>
      <c r="E1715" t="s">
        <v>14</v>
      </c>
      <c r="F1715">
        <v>2</v>
      </c>
      <c r="G1715">
        <v>4999</v>
      </c>
      <c r="H1715">
        <v>0.05</v>
      </c>
      <c r="I1715" t="s">
        <v>32</v>
      </c>
      <c r="J1715" t="s">
        <v>36</v>
      </c>
      <c r="K1715" t="s">
        <v>17</v>
      </c>
      <c r="L1715">
        <f>F1714*G1714*(1-H1714)</f>
        <v>1499</v>
      </c>
    </row>
    <row r="1716" spans="1:12">
      <c r="A1716" t="s">
        <v>2448</v>
      </c>
      <c r="B1716" s="1">
        <v>46029</v>
      </c>
      <c r="C1716" t="s">
        <v>933</v>
      </c>
      <c r="D1716" t="s">
        <v>78</v>
      </c>
      <c r="E1716" t="s">
        <v>21</v>
      </c>
      <c r="F1716">
        <v>4</v>
      </c>
      <c r="G1716">
        <v>1999</v>
      </c>
      <c r="H1716">
        <v>0.05</v>
      </c>
      <c r="I1716" t="s">
        <v>32</v>
      </c>
      <c r="J1716" t="s">
        <v>36</v>
      </c>
      <c r="K1716" t="s">
        <v>17</v>
      </c>
      <c r="L1716">
        <f>F1715*G1715*(1-H1715)</f>
        <v>9498.1</v>
      </c>
    </row>
    <row r="1717" spans="1:12">
      <c r="A1717" t="s">
        <v>2449</v>
      </c>
      <c r="B1717" s="1">
        <v>46046</v>
      </c>
      <c r="C1717" t="s">
        <v>989</v>
      </c>
      <c r="D1717" t="s">
        <v>62</v>
      </c>
      <c r="E1717" t="s">
        <v>21</v>
      </c>
      <c r="F1717">
        <v>2</v>
      </c>
      <c r="G1717">
        <v>1999</v>
      </c>
      <c r="H1717">
        <v>0.15</v>
      </c>
      <c r="I1717" t="s">
        <v>50</v>
      </c>
      <c r="J1717" t="s">
        <v>51</v>
      </c>
      <c r="K1717" t="s">
        <v>37</v>
      </c>
      <c r="L1717">
        <f>F1716*G1716*(1-H1716)</f>
        <v>7596.2</v>
      </c>
    </row>
    <row r="1718" spans="1:12">
      <c r="A1718" t="s">
        <v>2450</v>
      </c>
      <c r="B1718" s="1">
        <v>46133</v>
      </c>
      <c r="C1718" t="s">
        <v>1276</v>
      </c>
      <c r="D1718" t="s">
        <v>20</v>
      </c>
      <c r="E1718" t="s">
        <v>21</v>
      </c>
      <c r="F1718">
        <v>5</v>
      </c>
      <c r="G1718">
        <v>499</v>
      </c>
      <c r="H1718">
        <v>0.15</v>
      </c>
      <c r="I1718" t="s">
        <v>47</v>
      </c>
      <c r="J1718" t="s">
        <v>28</v>
      </c>
      <c r="K1718" t="s">
        <v>23</v>
      </c>
      <c r="L1718">
        <f>F1717*G1717*(1-H1717)</f>
        <v>3398.2999999999997</v>
      </c>
    </row>
    <row r="1719" spans="1:12">
      <c r="A1719" t="s">
        <v>2451</v>
      </c>
      <c r="B1719" s="1">
        <v>46227</v>
      </c>
      <c r="C1719" t="s">
        <v>1508</v>
      </c>
      <c r="D1719" t="s">
        <v>20</v>
      </c>
      <c r="E1719" t="s">
        <v>27</v>
      </c>
      <c r="F1719">
        <v>1</v>
      </c>
      <c r="G1719">
        <v>1299</v>
      </c>
      <c r="H1719">
        <v>0.15</v>
      </c>
      <c r="I1719" t="s">
        <v>32</v>
      </c>
      <c r="J1719" t="s">
        <v>28</v>
      </c>
      <c r="K1719" t="s">
        <v>17</v>
      </c>
      <c r="L1719">
        <f>F1718*G1718*(1-H1718)</f>
        <v>2120.75</v>
      </c>
    </row>
    <row r="1720" spans="1:12">
      <c r="A1720" t="s">
        <v>2452</v>
      </c>
      <c r="B1720" s="1">
        <v>46044</v>
      </c>
      <c r="C1720" t="s">
        <v>1845</v>
      </c>
      <c r="D1720" t="s">
        <v>31</v>
      </c>
      <c r="E1720" t="s">
        <v>35</v>
      </c>
      <c r="F1720">
        <v>1</v>
      </c>
      <c r="G1720">
        <v>7999</v>
      </c>
      <c r="H1720">
        <v>0.05</v>
      </c>
      <c r="I1720" t="s">
        <v>50</v>
      </c>
      <c r="J1720" t="s">
        <v>51</v>
      </c>
      <c r="K1720" t="s">
        <v>23</v>
      </c>
      <c r="L1720">
        <f>F1719*G1719*(1-H1719)</f>
        <v>1104.1499999999999</v>
      </c>
    </row>
    <row r="1721" spans="1:12">
      <c r="A1721" t="s">
        <v>2453</v>
      </c>
      <c r="B1721" s="1">
        <v>46169</v>
      </c>
      <c r="C1721" t="s">
        <v>649</v>
      </c>
      <c r="D1721" t="s">
        <v>43</v>
      </c>
      <c r="E1721" t="s">
        <v>35</v>
      </c>
      <c r="F1721">
        <v>2</v>
      </c>
      <c r="G1721">
        <v>999</v>
      </c>
      <c r="H1721">
        <v>0</v>
      </c>
      <c r="I1721" t="s">
        <v>32</v>
      </c>
      <c r="J1721" t="s">
        <v>28</v>
      </c>
      <c r="K1721" t="s">
        <v>17</v>
      </c>
      <c r="L1721">
        <f>F1720*G1720*(1-H1720)</f>
        <v>7599.0499999999993</v>
      </c>
    </row>
    <row r="1722" spans="1:12">
      <c r="A1722" t="s">
        <v>2454</v>
      </c>
      <c r="B1722" s="1">
        <v>46023</v>
      </c>
      <c r="C1722" t="s">
        <v>2277</v>
      </c>
      <c r="D1722" t="s">
        <v>31</v>
      </c>
      <c r="E1722" t="s">
        <v>21</v>
      </c>
      <c r="F1722">
        <v>4</v>
      </c>
      <c r="G1722">
        <v>599</v>
      </c>
      <c r="H1722">
        <v>0</v>
      </c>
      <c r="I1722" t="s">
        <v>32</v>
      </c>
      <c r="J1722" t="s">
        <v>16</v>
      </c>
      <c r="K1722" t="s">
        <v>23</v>
      </c>
      <c r="L1722">
        <f>F1721*G1721*(1-H1721)</f>
        <v>1998</v>
      </c>
    </row>
    <row r="1723" spans="1:12">
      <c r="A1723" t="s">
        <v>2455</v>
      </c>
      <c r="B1723" s="1">
        <v>46205</v>
      </c>
      <c r="C1723" t="s">
        <v>1968</v>
      </c>
      <c r="D1723" t="s">
        <v>59</v>
      </c>
      <c r="E1723" t="s">
        <v>35</v>
      </c>
      <c r="F1723">
        <v>5</v>
      </c>
      <c r="G1723">
        <v>599</v>
      </c>
      <c r="H1723">
        <v>0.15</v>
      </c>
      <c r="I1723" t="s">
        <v>32</v>
      </c>
      <c r="J1723" t="s">
        <v>16</v>
      </c>
      <c r="K1723" t="s">
        <v>37</v>
      </c>
      <c r="L1723">
        <f>F1722*G1722*(1-H1722)</f>
        <v>2396</v>
      </c>
    </row>
    <row r="1724" spans="1:12">
      <c r="A1724" t="s">
        <v>2456</v>
      </c>
      <c r="B1724" s="1">
        <v>46289</v>
      </c>
      <c r="C1724" t="s">
        <v>944</v>
      </c>
      <c r="D1724" t="s">
        <v>43</v>
      </c>
      <c r="E1724" t="s">
        <v>40</v>
      </c>
      <c r="F1724">
        <v>1</v>
      </c>
      <c r="G1724">
        <v>1999</v>
      </c>
      <c r="H1724">
        <v>0.15</v>
      </c>
      <c r="I1724" t="s">
        <v>15</v>
      </c>
      <c r="J1724" t="s">
        <v>36</v>
      </c>
      <c r="K1724" t="s">
        <v>37</v>
      </c>
      <c r="L1724">
        <f>F1723*G1723*(1-H1723)</f>
        <v>2545.75</v>
      </c>
    </row>
    <row r="1725" spans="1:12">
      <c r="A1725" t="s">
        <v>2457</v>
      </c>
      <c r="B1725" s="1">
        <v>46105</v>
      </c>
      <c r="C1725" t="s">
        <v>1983</v>
      </c>
      <c r="D1725" t="s">
        <v>62</v>
      </c>
      <c r="E1725" t="s">
        <v>14</v>
      </c>
      <c r="F1725">
        <v>1</v>
      </c>
      <c r="G1725">
        <v>799</v>
      </c>
      <c r="H1725">
        <v>0</v>
      </c>
      <c r="I1725" t="s">
        <v>15</v>
      </c>
      <c r="J1725" t="s">
        <v>28</v>
      </c>
      <c r="K1725" t="s">
        <v>17</v>
      </c>
      <c r="L1725">
        <f>F1724*G1724*(1-H1724)</f>
        <v>1699.1499999999999</v>
      </c>
    </row>
    <row r="1726" spans="1:12">
      <c r="A1726" t="s">
        <v>2458</v>
      </c>
      <c r="B1726" s="1">
        <v>46099</v>
      </c>
      <c r="C1726" t="s">
        <v>1593</v>
      </c>
      <c r="D1726" t="s">
        <v>13</v>
      </c>
      <c r="E1726" t="s">
        <v>40</v>
      </c>
      <c r="F1726">
        <v>5</v>
      </c>
      <c r="G1726">
        <v>999</v>
      </c>
      <c r="H1726">
        <v>0.15</v>
      </c>
      <c r="I1726" t="s">
        <v>47</v>
      </c>
      <c r="J1726" t="s">
        <v>28</v>
      </c>
      <c r="K1726" t="s">
        <v>17</v>
      </c>
      <c r="L1726">
        <f>F1725*G1725*(1-H1725)</f>
        <v>799</v>
      </c>
    </row>
    <row r="1727" spans="1:12">
      <c r="A1727" t="s">
        <v>2459</v>
      </c>
      <c r="B1727" s="1">
        <v>46277</v>
      </c>
      <c r="C1727" t="s">
        <v>1934</v>
      </c>
      <c r="D1727" t="s">
        <v>26</v>
      </c>
      <c r="E1727" t="s">
        <v>27</v>
      </c>
      <c r="F1727">
        <v>4</v>
      </c>
      <c r="G1727">
        <v>1499</v>
      </c>
      <c r="H1727">
        <v>0</v>
      </c>
      <c r="I1727" t="s">
        <v>47</v>
      </c>
      <c r="J1727" t="s">
        <v>36</v>
      </c>
      <c r="K1727" t="s">
        <v>17</v>
      </c>
      <c r="L1727">
        <f>F1726*G1726*(1-H1726)</f>
        <v>4245.75</v>
      </c>
    </row>
    <row r="1728" spans="1:12">
      <c r="A1728" t="s">
        <v>2460</v>
      </c>
      <c r="B1728" s="1">
        <v>46073</v>
      </c>
      <c r="C1728" t="s">
        <v>1115</v>
      </c>
      <c r="D1728" t="s">
        <v>62</v>
      </c>
      <c r="E1728" t="s">
        <v>40</v>
      </c>
      <c r="F1728">
        <v>1</v>
      </c>
      <c r="G1728">
        <v>7999</v>
      </c>
      <c r="H1728">
        <v>0</v>
      </c>
      <c r="I1728" t="s">
        <v>44</v>
      </c>
      <c r="J1728" t="s">
        <v>51</v>
      </c>
      <c r="K1728" t="s">
        <v>17</v>
      </c>
      <c r="L1728">
        <f>F1727*G1727*(1-H1727)</f>
        <v>5996</v>
      </c>
    </row>
    <row r="1729" spans="1:12">
      <c r="A1729" t="s">
        <v>2461</v>
      </c>
      <c r="B1729" s="1">
        <v>46289</v>
      </c>
      <c r="C1729" t="s">
        <v>889</v>
      </c>
      <c r="D1729" t="s">
        <v>62</v>
      </c>
      <c r="E1729" t="s">
        <v>40</v>
      </c>
      <c r="F1729">
        <v>5</v>
      </c>
      <c r="G1729">
        <v>799</v>
      </c>
      <c r="H1729">
        <v>0.1</v>
      </c>
      <c r="I1729" t="s">
        <v>15</v>
      </c>
      <c r="J1729" t="s">
        <v>22</v>
      </c>
      <c r="K1729" t="s">
        <v>17</v>
      </c>
      <c r="L1729">
        <f>F1728*G1728*(1-H1728)</f>
        <v>7999</v>
      </c>
    </row>
    <row r="1730" spans="1:12">
      <c r="A1730" t="s">
        <v>2462</v>
      </c>
      <c r="B1730" s="1">
        <v>46045</v>
      </c>
      <c r="C1730" t="s">
        <v>2463</v>
      </c>
      <c r="D1730" t="s">
        <v>31</v>
      </c>
      <c r="E1730" t="s">
        <v>14</v>
      </c>
      <c r="F1730">
        <v>3</v>
      </c>
      <c r="G1730">
        <v>2499</v>
      </c>
      <c r="H1730">
        <v>0</v>
      </c>
      <c r="I1730" t="s">
        <v>15</v>
      </c>
      <c r="J1730" t="s">
        <v>16</v>
      </c>
      <c r="K1730" t="s">
        <v>37</v>
      </c>
      <c r="L1730">
        <f>F1729*G1729*(1-H1729)</f>
        <v>3595.5</v>
      </c>
    </row>
    <row r="1731" spans="1:12">
      <c r="A1731" t="s">
        <v>2464</v>
      </c>
      <c r="B1731" s="1">
        <v>46051</v>
      </c>
      <c r="C1731" t="s">
        <v>1038</v>
      </c>
      <c r="D1731" t="s">
        <v>31</v>
      </c>
      <c r="E1731" t="s">
        <v>40</v>
      </c>
      <c r="F1731">
        <v>3</v>
      </c>
      <c r="G1731">
        <v>1999</v>
      </c>
      <c r="H1731">
        <v>0.1</v>
      </c>
      <c r="I1731" t="s">
        <v>50</v>
      </c>
      <c r="J1731" t="s">
        <v>28</v>
      </c>
      <c r="K1731" t="s">
        <v>17</v>
      </c>
      <c r="L1731">
        <f>F1730*G1730*(1-H1730)</f>
        <v>7497</v>
      </c>
    </row>
    <row r="1732" spans="1:12">
      <c r="A1732" t="s">
        <v>2465</v>
      </c>
      <c r="B1732" s="1">
        <v>46128</v>
      </c>
      <c r="C1732" t="s">
        <v>688</v>
      </c>
      <c r="D1732" t="s">
        <v>71</v>
      </c>
      <c r="E1732" t="s">
        <v>35</v>
      </c>
      <c r="F1732">
        <v>3</v>
      </c>
      <c r="G1732">
        <v>7999</v>
      </c>
      <c r="H1732">
        <v>0</v>
      </c>
      <c r="I1732" t="s">
        <v>32</v>
      </c>
      <c r="J1732" t="s">
        <v>16</v>
      </c>
      <c r="K1732" t="s">
        <v>17</v>
      </c>
      <c r="L1732">
        <f>F1731*G1731*(1-H1731)</f>
        <v>5397.3</v>
      </c>
    </row>
    <row r="1733" spans="1:12">
      <c r="A1733" t="s">
        <v>2466</v>
      </c>
      <c r="B1733" s="1">
        <v>46069</v>
      </c>
      <c r="C1733" t="s">
        <v>1606</v>
      </c>
      <c r="D1733" t="s">
        <v>20</v>
      </c>
      <c r="E1733" t="s">
        <v>35</v>
      </c>
      <c r="F1733">
        <v>3</v>
      </c>
      <c r="G1733">
        <v>499</v>
      </c>
      <c r="H1733">
        <v>0</v>
      </c>
      <c r="I1733" t="s">
        <v>32</v>
      </c>
      <c r="J1733" t="s">
        <v>22</v>
      </c>
      <c r="K1733" t="s">
        <v>17</v>
      </c>
      <c r="L1733">
        <f>F1732*G1732*(1-H1732)</f>
        <v>23997</v>
      </c>
    </row>
    <row r="1734" spans="1:12">
      <c r="A1734" t="s">
        <v>2467</v>
      </c>
      <c r="B1734" s="1">
        <v>46067</v>
      </c>
      <c r="C1734" t="s">
        <v>979</v>
      </c>
      <c r="D1734" t="s">
        <v>31</v>
      </c>
      <c r="E1734" t="s">
        <v>14</v>
      </c>
      <c r="F1734">
        <v>4</v>
      </c>
      <c r="G1734">
        <v>1999</v>
      </c>
      <c r="H1734">
        <v>0</v>
      </c>
      <c r="I1734" t="s">
        <v>47</v>
      </c>
      <c r="J1734" t="s">
        <v>36</v>
      </c>
      <c r="K1734" t="s">
        <v>17</v>
      </c>
      <c r="L1734">
        <f>F1733*G1733*(1-H1733)</f>
        <v>1497</v>
      </c>
    </row>
    <row r="1735" spans="1:12">
      <c r="A1735" t="s">
        <v>2468</v>
      </c>
      <c r="B1735" s="1">
        <v>46196</v>
      </c>
      <c r="C1735" t="s">
        <v>541</v>
      </c>
      <c r="D1735" t="s">
        <v>62</v>
      </c>
      <c r="E1735" t="s">
        <v>14</v>
      </c>
      <c r="F1735">
        <v>1</v>
      </c>
      <c r="G1735">
        <v>499</v>
      </c>
      <c r="H1735">
        <v>0</v>
      </c>
      <c r="I1735" t="s">
        <v>15</v>
      </c>
      <c r="J1735" t="s">
        <v>22</v>
      </c>
      <c r="K1735" t="s">
        <v>37</v>
      </c>
      <c r="L1735">
        <f>F1734*G1734*(1-H1734)</f>
        <v>7996</v>
      </c>
    </row>
    <row r="1736" spans="1:12">
      <c r="A1736" t="s">
        <v>2469</v>
      </c>
      <c r="B1736" s="1">
        <v>46231</v>
      </c>
      <c r="C1736" t="s">
        <v>308</v>
      </c>
      <c r="D1736" t="s">
        <v>59</v>
      </c>
      <c r="E1736" t="s">
        <v>40</v>
      </c>
      <c r="F1736">
        <v>4</v>
      </c>
      <c r="G1736">
        <v>7999</v>
      </c>
      <c r="H1736">
        <v>0.15</v>
      </c>
      <c r="I1736" t="s">
        <v>50</v>
      </c>
      <c r="J1736" t="s">
        <v>28</v>
      </c>
      <c r="K1736" t="s">
        <v>17</v>
      </c>
      <c r="L1736">
        <f>F1735*G1735*(1-H1735)</f>
        <v>499</v>
      </c>
    </row>
    <row r="1737" spans="1:12">
      <c r="A1737" t="s">
        <v>2470</v>
      </c>
      <c r="B1737" s="1">
        <v>46115</v>
      </c>
      <c r="C1737" t="s">
        <v>267</v>
      </c>
      <c r="D1737" t="s">
        <v>31</v>
      </c>
      <c r="E1737" t="s">
        <v>35</v>
      </c>
      <c r="F1737">
        <v>3</v>
      </c>
      <c r="G1737">
        <v>4999</v>
      </c>
      <c r="H1737">
        <v>0</v>
      </c>
      <c r="I1737" t="s">
        <v>44</v>
      </c>
      <c r="J1737" t="s">
        <v>28</v>
      </c>
      <c r="K1737" t="s">
        <v>17</v>
      </c>
      <c r="L1737">
        <f>F1736*G1736*(1-H1736)</f>
        <v>27196.6</v>
      </c>
    </row>
    <row r="1738" spans="1:12">
      <c r="A1738" t="s">
        <v>2471</v>
      </c>
      <c r="B1738" s="1">
        <v>46182</v>
      </c>
      <c r="C1738" t="s">
        <v>160</v>
      </c>
      <c r="D1738" t="s">
        <v>43</v>
      </c>
      <c r="E1738" t="s">
        <v>27</v>
      </c>
      <c r="F1738">
        <v>1</v>
      </c>
      <c r="G1738">
        <v>1499</v>
      </c>
      <c r="H1738">
        <v>0</v>
      </c>
      <c r="I1738" t="s">
        <v>50</v>
      </c>
      <c r="J1738" t="s">
        <v>51</v>
      </c>
      <c r="K1738" t="s">
        <v>37</v>
      </c>
      <c r="L1738">
        <f>F1737*G1737*(1-H1737)</f>
        <v>14997</v>
      </c>
    </row>
    <row r="1739" spans="1:12">
      <c r="A1739" t="s">
        <v>2472</v>
      </c>
      <c r="B1739" s="1">
        <v>46094</v>
      </c>
      <c r="C1739" t="s">
        <v>1740</v>
      </c>
      <c r="D1739" t="s">
        <v>26</v>
      </c>
      <c r="E1739" t="s">
        <v>14</v>
      </c>
      <c r="F1739">
        <v>2</v>
      </c>
      <c r="G1739">
        <v>2499</v>
      </c>
      <c r="H1739">
        <v>0.05</v>
      </c>
      <c r="I1739" t="s">
        <v>50</v>
      </c>
      <c r="J1739" t="s">
        <v>28</v>
      </c>
      <c r="K1739" t="s">
        <v>23</v>
      </c>
      <c r="L1739">
        <f>F1738*G1738*(1-H1738)</f>
        <v>1499</v>
      </c>
    </row>
    <row r="1740" spans="1:12">
      <c r="A1740" t="s">
        <v>2473</v>
      </c>
      <c r="B1740" s="1">
        <v>46176</v>
      </c>
      <c r="C1740" t="s">
        <v>1130</v>
      </c>
      <c r="D1740" t="s">
        <v>56</v>
      </c>
      <c r="E1740" t="s">
        <v>21</v>
      </c>
      <c r="F1740">
        <v>3</v>
      </c>
      <c r="G1740">
        <v>1299</v>
      </c>
      <c r="H1740">
        <v>0.05</v>
      </c>
      <c r="I1740" t="s">
        <v>47</v>
      </c>
      <c r="J1740" t="s">
        <v>36</v>
      </c>
      <c r="K1740" t="s">
        <v>17</v>
      </c>
      <c r="L1740">
        <f>F1739*G1739*(1-H1739)</f>
        <v>4748.0999999999995</v>
      </c>
    </row>
    <row r="1741" spans="1:12">
      <c r="A1741" t="s">
        <v>2474</v>
      </c>
      <c r="B1741" s="1">
        <v>46228</v>
      </c>
      <c r="C1741" t="s">
        <v>1068</v>
      </c>
      <c r="D1741" t="s">
        <v>59</v>
      </c>
      <c r="E1741" t="s">
        <v>14</v>
      </c>
      <c r="F1741">
        <v>2</v>
      </c>
      <c r="G1741">
        <v>499</v>
      </c>
      <c r="H1741">
        <v>0</v>
      </c>
      <c r="I1741" t="s">
        <v>15</v>
      </c>
      <c r="J1741" t="s">
        <v>16</v>
      </c>
      <c r="K1741" t="s">
        <v>17</v>
      </c>
      <c r="L1741">
        <f>F1740*G1740*(1-H1740)</f>
        <v>3702.1499999999996</v>
      </c>
    </row>
    <row r="1742" spans="1:12">
      <c r="A1742" t="s">
        <v>2475</v>
      </c>
      <c r="B1742" s="1">
        <v>46277</v>
      </c>
      <c r="C1742" t="s">
        <v>952</v>
      </c>
      <c r="D1742" t="s">
        <v>71</v>
      </c>
      <c r="E1742" t="s">
        <v>21</v>
      </c>
      <c r="F1742">
        <v>4</v>
      </c>
      <c r="G1742">
        <v>999</v>
      </c>
      <c r="H1742">
        <v>0.15</v>
      </c>
      <c r="I1742" t="s">
        <v>50</v>
      </c>
      <c r="J1742" t="s">
        <v>36</v>
      </c>
      <c r="K1742" t="s">
        <v>17</v>
      </c>
      <c r="L1742">
        <f>F1741*G1741*(1-H1741)</f>
        <v>998</v>
      </c>
    </row>
    <row r="1743" spans="1:12">
      <c r="A1743" t="s">
        <v>2476</v>
      </c>
      <c r="B1743" s="1">
        <v>46142</v>
      </c>
      <c r="C1743" t="s">
        <v>1052</v>
      </c>
      <c r="D1743" t="s">
        <v>56</v>
      </c>
      <c r="E1743" t="s">
        <v>40</v>
      </c>
      <c r="F1743">
        <v>5</v>
      </c>
      <c r="G1743">
        <v>1999</v>
      </c>
      <c r="H1743">
        <v>0</v>
      </c>
      <c r="I1743" t="s">
        <v>44</v>
      </c>
      <c r="J1743" t="s">
        <v>36</v>
      </c>
      <c r="K1743" t="s">
        <v>17</v>
      </c>
      <c r="L1743">
        <f>F1742*G1742*(1-H1742)</f>
        <v>3396.6</v>
      </c>
    </row>
    <row r="1744" spans="1:12">
      <c r="A1744" t="s">
        <v>2477</v>
      </c>
      <c r="B1744" s="1">
        <v>46282</v>
      </c>
      <c r="C1744" t="s">
        <v>73</v>
      </c>
      <c r="D1744" t="s">
        <v>26</v>
      </c>
      <c r="E1744" t="s">
        <v>40</v>
      </c>
      <c r="F1744">
        <v>5</v>
      </c>
      <c r="G1744">
        <v>1999</v>
      </c>
      <c r="H1744">
        <v>0.05</v>
      </c>
      <c r="I1744" t="s">
        <v>44</v>
      </c>
      <c r="J1744" t="s">
        <v>16</v>
      </c>
      <c r="K1744" t="s">
        <v>17</v>
      </c>
      <c r="L1744">
        <f>F1743*G1743*(1-H1743)</f>
        <v>9995</v>
      </c>
    </row>
    <row r="1745" spans="1:12">
      <c r="A1745" t="s">
        <v>2478</v>
      </c>
      <c r="B1745" s="1">
        <v>46242</v>
      </c>
      <c r="C1745" t="s">
        <v>891</v>
      </c>
      <c r="D1745" t="s">
        <v>26</v>
      </c>
      <c r="E1745" t="s">
        <v>14</v>
      </c>
      <c r="F1745">
        <v>3</v>
      </c>
      <c r="G1745">
        <v>1299</v>
      </c>
      <c r="H1745">
        <v>0.15</v>
      </c>
      <c r="I1745" t="s">
        <v>47</v>
      </c>
      <c r="J1745" t="s">
        <v>22</v>
      </c>
      <c r="K1745" t="s">
        <v>17</v>
      </c>
      <c r="L1745">
        <f>F1744*G1744*(1-H1744)</f>
        <v>9495.25</v>
      </c>
    </row>
    <row r="1746" spans="1:12">
      <c r="A1746" t="s">
        <v>2479</v>
      </c>
      <c r="B1746" s="1">
        <v>46038</v>
      </c>
      <c r="C1746" t="s">
        <v>1499</v>
      </c>
      <c r="D1746" t="s">
        <v>71</v>
      </c>
      <c r="E1746" t="s">
        <v>27</v>
      </c>
      <c r="F1746">
        <v>2</v>
      </c>
      <c r="G1746">
        <v>4999</v>
      </c>
      <c r="H1746">
        <v>0</v>
      </c>
      <c r="I1746" t="s">
        <v>32</v>
      </c>
      <c r="J1746" t="s">
        <v>16</v>
      </c>
      <c r="K1746" t="s">
        <v>17</v>
      </c>
      <c r="L1746">
        <f>F1745*G1745*(1-H1745)</f>
        <v>3312.45</v>
      </c>
    </row>
    <row r="1747" spans="1:12">
      <c r="A1747" t="s">
        <v>2480</v>
      </c>
      <c r="B1747" s="1">
        <v>46237</v>
      </c>
      <c r="C1747" t="s">
        <v>534</v>
      </c>
      <c r="D1747" t="s">
        <v>13</v>
      </c>
      <c r="E1747" t="s">
        <v>21</v>
      </c>
      <c r="F1747">
        <v>1</v>
      </c>
      <c r="G1747">
        <v>4999</v>
      </c>
      <c r="H1747">
        <v>0.1</v>
      </c>
      <c r="I1747" t="s">
        <v>44</v>
      </c>
      <c r="J1747" t="s">
        <v>16</v>
      </c>
      <c r="K1747" t="s">
        <v>17</v>
      </c>
      <c r="L1747">
        <f>F1746*G1746*(1-H1746)</f>
        <v>9998</v>
      </c>
    </row>
    <row r="1748" spans="1:12">
      <c r="A1748" t="s">
        <v>2481</v>
      </c>
      <c r="B1748" s="1">
        <v>46105</v>
      </c>
      <c r="C1748" t="s">
        <v>2482</v>
      </c>
      <c r="D1748" t="s">
        <v>20</v>
      </c>
      <c r="E1748" t="s">
        <v>40</v>
      </c>
      <c r="F1748">
        <v>5</v>
      </c>
      <c r="G1748">
        <v>1499</v>
      </c>
      <c r="H1748">
        <v>0</v>
      </c>
      <c r="I1748" t="s">
        <v>50</v>
      </c>
      <c r="J1748" t="s">
        <v>28</v>
      </c>
      <c r="K1748" t="s">
        <v>17</v>
      </c>
      <c r="L1748">
        <f>F1747*G1747*(1-H1747)</f>
        <v>4499.1000000000004</v>
      </c>
    </row>
    <row r="1749" spans="1:12">
      <c r="A1749" t="s">
        <v>2483</v>
      </c>
      <c r="B1749" s="1">
        <v>46254</v>
      </c>
      <c r="C1749" t="s">
        <v>690</v>
      </c>
      <c r="D1749" t="s">
        <v>31</v>
      </c>
      <c r="E1749" t="s">
        <v>14</v>
      </c>
      <c r="F1749">
        <v>4</v>
      </c>
      <c r="G1749">
        <v>1499</v>
      </c>
      <c r="H1749">
        <v>0</v>
      </c>
      <c r="I1749" t="s">
        <v>32</v>
      </c>
      <c r="J1749" t="s">
        <v>16</v>
      </c>
      <c r="K1749" t="s">
        <v>17</v>
      </c>
      <c r="L1749">
        <f>F1748*G1748*(1-H1748)</f>
        <v>7495</v>
      </c>
    </row>
    <row r="1750" spans="1:12">
      <c r="A1750" t="s">
        <v>2484</v>
      </c>
      <c r="B1750" s="1">
        <v>46076</v>
      </c>
      <c r="C1750" t="s">
        <v>154</v>
      </c>
      <c r="D1750" t="s">
        <v>59</v>
      </c>
      <c r="E1750" t="s">
        <v>35</v>
      </c>
      <c r="F1750">
        <v>5</v>
      </c>
      <c r="G1750">
        <v>1299</v>
      </c>
      <c r="H1750">
        <v>0.15</v>
      </c>
      <c r="I1750" t="s">
        <v>47</v>
      </c>
      <c r="J1750" t="s">
        <v>16</v>
      </c>
      <c r="K1750" t="s">
        <v>17</v>
      </c>
      <c r="L1750">
        <f>F1749*G1749*(1-H1749)</f>
        <v>5996</v>
      </c>
    </row>
    <row r="1751" spans="1:12">
      <c r="A1751" t="s">
        <v>2485</v>
      </c>
      <c r="B1751" s="1">
        <v>46069</v>
      </c>
      <c r="C1751" t="s">
        <v>1268</v>
      </c>
      <c r="D1751" t="s">
        <v>59</v>
      </c>
      <c r="E1751" t="s">
        <v>21</v>
      </c>
      <c r="F1751">
        <v>5</v>
      </c>
      <c r="G1751">
        <v>1299</v>
      </c>
      <c r="H1751">
        <v>0</v>
      </c>
      <c r="I1751" t="s">
        <v>15</v>
      </c>
      <c r="J1751" t="s">
        <v>36</v>
      </c>
      <c r="K1751" t="s">
        <v>17</v>
      </c>
      <c r="L1751">
        <f>F1750*G1750*(1-H1750)</f>
        <v>5520.75</v>
      </c>
    </row>
    <row r="1752" spans="1:12">
      <c r="A1752" t="s">
        <v>2486</v>
      </c>
      <c r="B1752" s="1">
        <v>46169</v>
      </c>
      <c r="C1752" t="s">
        <v>1213</v>
      </c>
      <c r="D1752" t="s">
        <v>56</v>
      </c>
      <c r="E1752" t="s">
        <v>35</v>
      </c>
      <c r="F1752">
        <v>3</v>
      </c>
      <c r="G1752">
        <v>1299</v>
      </c>
      <c r="H1752">
        <v>0.15</v>
      </c>
      <c r="I1752" t="s">
        <v>15</v>
      </c>
      <c r="J1752" t="s">
        <v>36</v>
      </c>
      <c r="K1752" t="s">
        <v>37</v>
      </c>
      <c r="L1752">
        <f>F1751*G1751*(1-H1751)</f>
        <v>6495</v>
      </c>
    </row>
    <row r="1753" spans="1:12">
      <c r="A1753" t="s">
        <v>2487</v>
      </c>
      <c r="B1753" s="1">
        <v>46078</v>
      </c>
      <c r="C1753" t="s">
        <v>1340</v>
      </c>
      <c r="D1753" t="s">
        <v>71</v>
      </c>
      <c r="E1753" t="s">
        <v>27</v>
      </c>
      <c r="F1753">
        <v>5</v>
      </c>
      <c r="G1753">
        <v>1499</v>
      </c>
      <c r="H1753">
        <v>0</v>
      </c>
      <c r="I1753" t="s">
        <v>50</v>
      </c>
      <c r="J1753" t="s">
        <v>36</v>
      </c>
      <c r="K1753" t="s">
        <v>17</v>
      </c>
      <c r="L1753">
        <f>F1752*G1752*(1-H1752)</f>
        <v>3312.45</v>
      </c>
    </row>
    <row r="1754" spans="1:12">
      <c r="A1754" t="s">
        <v>2488</v>
      </c>
      <c r="B1754" s="1">
        <v>46273</v>
      </c>
      <c r="C1754" t="s">
        <v>832</v>
      </c>
      <c r="D1754" t="s">
        <v>13</v>
      </c>
      <c r="E1754" t="s">
        <v>40</v>
      </c>
      <c r="F1754">
        <v>2</v>
      </c>
      <c r="G1754">
        <v>1299</v>
      </c>
      <c r="H1754">
        <v>0.15</v>
      </c>
      <c r="I1754" t="s">
        <v>32</v>
      </c>
      <c r="J1754" t="s">
        <v>51</v>
      </c>
      <c r="K1754" t="s">
        <v>37</v>
      </c>
      <c r="L1754">
        <f>F1753*G1753*(1-H1753)</f>
        <v>7495</v>
      </c>
    </row>
    <row r="1755" spans="1:12">
      <c r="A1755" t="s">
        <v>2489</v>
      </c>
      <c r="B1755" s="1">
        <v>46205</v>
      </c>
      <c r="C1755" t="s">
        <v>1132</v>
      </c>
      <c r="D1755" t="s">
        <v>59</v>
      </c>
      <c r="E1755" t="s">
        <v>14</v>
      </c>
      <c r="F1755">
        <v>3</v>
      </c>
      <c r="G1755">
        <v>1499</v>
      </c>
      <c r="H1755">
        <v>0.05</v>
      </c>
      <c r="I1755" t="s">
        <v>44</v>
      </c>
      <c r="J1755" t="s">
        <v>22</v>
      </c>
      <c r="K1755" t="s">
        <v>37</v>
      </c>
      <c r="L1755">
        <f>F1754*G1754*(1-H1754)</f>
        <v>2208.2999999999997</v>
      </c>
    </row>
    <row r="1756" spans="1:12">
      <c r="A1756" t="s">
        <v>2490</v>
      </c>
      <c r="B1756" s="1">
        <v>46074</v>
      </c>
      <c r="C1756" t="s">
        <v>870</v>
      </c>
      <c r="D1756" t="s">
        <v>78</v>
      </c>
      <c r="E1756" t="s">
        <v>14</v>
      </c>
      <c r="F1756">
        <v>5</v>
      </c>
      <c r="G1756">
        <v>799</v>
      </c>
      <c r="H1756">
        <v>0.05</v>
      </c>
      <c r="I1756" t="s">
        <v>44</v>
      </c>
      <c r="J1756" t="s">
        <v>51</v>
      </c>
      <c r="K1756" t="s">
        <v>17</v>
      </c>
      <c r="L1756">
        <f>F1755*G1755*(1-H1755)</f>
        <v>4272.1499999999996</v>
      </c>
    </row>
    <row r="1757" spans="1:12">
      <c r="A1757" t="s">
        <v>2491</v>
      </c>
      <c r="B1757" s="1">
        <v>46289</v>
      </c>
      <c r="C1757" t="s">
        <v>651</v>
      </c>
      <c r="D1757" t="s">
        <v>20</v>
      </c>
      <c r="E1757" t="s">
        <v>27</v>
      </c>
      <c r="F1757">
        <v>1</v>
      </c>
      <c r="G1757">
        <v>799</v>
      </c>
      <c r="H1757">
        <v>0</v>
      </c>
      <c r="I1757" t="s">
        <v>47</v>
      </c>
      <c r="J1757" t="s">
        <v>36</v>
      </c>
      <c r="K1757" t="s">
        <v>37</v>
      </c>
      <c r="L1757">
        <f>F1756*G1756*(1-H1756)</f>
        <v>3795.25</v>
      </c>
    </row>
    <row r="1758" spans="1:12">
      <c r="A1758" t="s">
        <v>2492</v>
      </c>
      <c r="B1758" s="1">
        <v>46150</v>
      </c>
      <c r="C1758" t="s">
        <v>2066</v>
      </c>
      <c r="D1758" t="s">
        <v>62</v>
      </c>
      <c r="E1758" t="s">
        <v>21</v>
      </c>
      <c r="F1758">
        <v>3</v>
      </c>
      <c r="G1758">
        <v>1499</v>
      </c>
      <c r="H1758">
        <v>0</v>
      </c>
      <c r="I1758" t="s">
        <v>47</v>
      </c>
      <c r="J1758" t="s">
        <v>16</v>
      </c>
      <c r="K1758" t="s">
        <v>17</v>
      </c>
      <c r="L1758">
        <f>F1757*G1757*(1-H1757)</f>
        <v>799</v>
      </c>
    </row>
    <row r="1759" spans="1:12">
      <c r="A1759" t="s">
        <v>2493</v>
      </c>
      <c r="B1759" s="1">
        <v>46030</v>
      </c>
      <c r="C1759" t="s">
        <v>403</v>
      </c>
      <c r="D1759" t="s">
        <v>71</v>
      </c>
      <c r="E1759" t="s">
        <v>21</v>
      </c>
      <c r="F1759">
        <v>1</v>
      </c>
      <c r="G1759">
        <v>7999</v>
      </c>
      <c r="H1759">
        <v>0.15</v>
      </c>
      <c r="I1759" t="s">
        <v>32</v>
      </c>
      <c r="J1759" t="s">
        <v>36</v>
      </c>
      <c r="K1759" t="s">
        <v>17</v>
      </c>
      <c r="L1759">
        <f>F1758*G1758*(1-H1758)</f>
        <v>4497</v>
      </c>
    </row>
    <row r="1760" spans="1:12">
      <c r="A1760" t="s">
        <v>2494</v>
      </c>
      <c r="B1760" s="1">
        <v>46231</v>
      </c>
      <c r="C1760" t="s">
        <v>1998</v>
      </c>
      <c r="D1760" t="s">
        <v>78</v>
      </c>
      <c r="E1760" t="s">
        <v>35</v>
      </c>
      <c r="F1760">
        <v>5</v>
      </c>
      <c r="G1760">
        <v>1299</v>
      </c>
      <c r="H1760">
        <v>0.15</v>
      </c>
      <c r="I1760" t="s">
        <v>47</v>
      </c>
      <c r="J1760" t="s">
        <v>28</v>
      </c>
      <c r="K1760" t="s">
        <v>37</v>
      </c>
      <c r="L1760">
        <f>F1759*G1759*(1-H1759)</f>
        <v>6799.15</v>
      </c>
    </row>
    <row r="1761" spans="1:12">
      <c r="A1761" t="s">
        <v>2495</v>
      </c>
      <c r="B1761" s="1">
        <v>46137</v>
      </c>
      <c r="C1761" t="s">
        <v>921</v>
      </c>
      <c r="D1761" t="s">
        <v>13</v>
      </c>
      <c r="E1761" t="s">
        <v>14</v>
      </c>
      <c r="F1761">
        <v>3</v>
      </c>
      <c r="G1761">
        <v>7999</v>
      </c>
      <c r="H1761">
        <v>0.15</v>
      </c>
      <c r="I1761" t="s">
        <v>47</v>
      </c>
      <c r="J1761" t="s">
        <v>22</v>
      </c>
      <c r="K1761" t="s">
        <v>23</v>
      </c>
      <c r="L1761">
        <f>F1760*G1760*(1-H1760)</f>
        <v>5520.75</v>
      </c>
    </row>
    <row r="1762" spans="1:12">
      <c r="A1762" t="s">
        <v>2496</v>
      </c>
      <c r="B1762" s="1">
        <v>46159</v>
      </c>
      <c r="C1762" t="s">
        <v>408</v>
      </c>
      <c r="D1762" t="s">
        <v>31</v>
      </c>
      <c r="E1762" t="s">
        <v>21</v>
      </c>
      <c r="F1762">
        <v>3</v>
      </c>
      <c r="G1762">
        <v>4999</v>
      </c>
      <c r="H1762">
        <v>0.05</v>
      </c>
      <c r="I1762" t="s">
        <v>32</v>
      </c>
      <c r="J1762" t="s">
        <v>51</v>
      </c>
      <c r="K1762" t="s">
        <v>37</v>
      </c>
      <c r="L1762">
        <f>F1761*G1761*(1-H1761)</f>
        <v>20397.45</v>
      </c>
    </row>
    <row r="1763" spans="1:12">
      <c r="A1763" t="s">
        <v>2497</v>
      </c>
      <c r="B1763" s="1">
        <v>46110</v>
      </c>
      <c r="C1763" t="s">
        <v>783</v>
      </c>
      <c r="D1763" t="s">
        <v>71</v>
      </c>
      <c r="E1763" t="s">
        <v>21</v>
      </c>
      <c r="F1763">
        <v>4</v>
      </c>
      <c r="G1763">
        <v>799</v>
      </c>
      <c r="H1763">
        <v>0</v>
      </c>
      <c r="I1763" t="s">
        <v>32</v>
      </c>
      <c r="J1763" t="s">
        <v>36</v>
      </c>
      <c r="K1763" t="s">
        <v>17</v>
      </c>
      <c r="L1763">
        <f>F1762*G1762*(1-H1762)</f>
        <v>14247.15</v>
      </c>
    </row>
    <row r="1764" spans="1:12">
      <c r="A1764" t="s">
        <v>2498</v>
      </c>
      <c r="B1764" s="1">
        <v>46164</v>
      </c>
      <c r="C1764" t="s">
        <v>926</v>
      </c>
      <c r="D1764" t="s">
        <v>59</v>
      </c>
      <c r="E1764" t="s">
        <v>35</v>
      </c>
      <c r="F1764">
        <v>2</v>
      </c>
      <c r="G1764">
        <v>1499</v>
      </c>
      <c r="H1764">
        <v>0</v>
      </c>
      <c r="I1764" t="s">
        <v>15</v>
      </c>
      <c r="J1764" t="s">
        <v>16</v>
      </c>
      <c r="K1764" t="s">
        <v>23</v>
      </c>
      <c r="L1764">
        <f>F1763*G1763*(1-H1763)</f>
        <v>3196</v>
      </c>
    </row>
    <row r="1765" spans="1:12">
      <c r="A1765" t="s">
        <v>2499</v>
      </c>
      <c r="B1765" s="1">
        <v>46178</v>
      </c>
      <c r="C1765" t="s">
        <v>801</v>
      </c>
      <c r="D1765" t="s">
        <v>43</v>
      </c>
      <c r="E1765" t="s">
        <v>21</v>
      </c>
      <c r="F1765">
        <v>1</v>
      </c>
      <c r="G1765">
        <v>499</v>
      </c>
      <c r="H1765">
        <v>0.1</v>
      </c>
      <c r="I1765" t="s">
        <v>32</v>
      </c>
      <c r="J1765" t="s">
        <v>22</v>
      </c>
      <c r="K1765" t="s">
        <v>17</v>
      </c>
      <c r="L1765">
        <f>F1764*G1764*(1-H1764)</f>
        <v>2998</v>
      </c>
    </row>
    <row r="1766" spans="1:12">
      <c r="A1766" t="s">
        <v>2500</v>
      </c>
      <c r="B1766" s="1">
        <v>46036</v>
      </c>
      <c r="C1766" t="s">
        <v>353</v>
      </c>
      <c r="D1766" t="s">
        <v>62</v>
      </c>
      <c r="E1766" t="s">
        <v>14</v>
      </c>
      <c r="F1766">
        <v>2</v>
      </c>
      <c r="G1766">
        <v>1999</v>
      </c>
      <c r="H1766">
        <v>0.15</v>
      </c>
      <c r="I1766" t="s">
        <v>47</v>
      </c>
      <c r="J1766" t="s">
        <v>51</v>
      </c>
      <c r="K1766" t="s">
        <v>17</v>
      </c>
      <c r="L1766">
        <f>F1765*G1765*(1-H1765)</f>
        <v>449.1</v>
      </c>
    </row>
    <row r="1767" spans="1:12">
      <c r="A1767" t="s">
        <v>2501</v>
      </c>
      <c r="B1767" s="1">
        <v>46208</v>
      </c>
      <c r="C1767" t="s">
        <v>1800</v>
      </c>
      <c r="D1767" t="s">
        <v>43</v>
      </c>
      <c r="E1767" t="s">
        <v>35</v>
      </c>
      <c r="F1767">
        <v>3</v>
      </c>
      <c r="G1767">
        <v>599</v>
      </c>
      <c r="H1767">
        <v>0</v>
      </c>
      <c r="I1767" t="s">
        <v>32</v>
      </c>
      <c r="J1767" t="s">
        <v>36</v>
      </c>
      <c r="K1767" t="s">
        <v>17</v>
      </c>
      <c r="L1767">
        <f>F1766*G1766*(1-H1766)</f>
        <v>3398.2999999999997</v>
      </c>
    </row>
    <row r="1768" spans="1:12">
      <c r="A1768" t="s">
        <v>2502</v>
      </c>
      <c r="B1768" s="1">
        <v>46270</v>
      </c>
      <c r="C1768" t="s">
        <v>162</v>
      </c>
      <c r="D1768" t="s">
        <v>56</v>
      </c>
      <c r="E1768" t="s">
        <v>14</v>
      </c>
      <c r="F1768">
        <v>3</v>
      </c>
      <c r="G1768">
        <v>2499</v>
      </c>
      <c r="H1768">
        <v>0</v>
      </c>
      <c r="I1768" t="s">
        <v>47</v>
      </c>
      <c r="J1768" t="s">
        <v>16</v>
      </c>
      <c r="K1768" t="s">
        <v>17</v>
      </c>
      <c r="L1768">
        <f>F1767*G1767*(1-H1767)</f>
        <v>1797</v>
      </c>
    </row>
    <row r="1769" spans="1:12">
      <c r="A1769" t="s">
        <v>2503</v>
      </c>
      <c r="B1769" s="1">
        <v>46092</v>
      </c>
      <c r="C1769" t="s">
        <v>1465</v>
      </c>
      <c r="D1769" t="s">
        <v>56</v>
      </c>
      <c r="E1769" t="s">
        <v>21</v>
      </c>
      <c r="F1769">
        <v>1</v>
      </c>
      <c r="G1769">
        <v>1499</v>
      </c>
      <c r="H1769">
        <v>0</v>
      </c>
      <c r="I1769" t="s">
        <v>44</v>
      </c>
      <c r="J1769" t="s">
        <v>28</v>
      </c>
      <c r="K1769" t="s">
        <v>37</v>
      </c>
      <c r="L1769">
        <f>F1768*G1768*(1-H1768)</f>
        <v>7497</v>
      </c>
    </row>
    <row r="1770" spans="1:12">
      <c r="A1770" t="s">
        <v>2504</v>
      </c>
      <c r="B1770" s="1">
        <v>46039</v>
      </c>
      <c r="C1770" t="s">
        <v>96</v>
      </c>
      <c r="D1770" t="s">
        <v>78</v>
      </c>
      <c r="E1770" t="s">
        <v>21</v>
      </c>
      <c r="F1770">
        <v>5</v>
      </c>
      <c r="G1770">
        <v>1999</v>
      </c>
      <c r="H1770">
        <v>0.15</v>
      </c>
      <c r="I1770" t="s">
        <v>44</v>
      </c>
      <c r="J1770" t="s">
        <v>36</v>
      </c>
      <c r="K1770" t="s">
        <v>37</v>
      </c>
      <c r="L1770">
        <f>F1769*G1769*(1-H1769)</f>
        <v>1499</v>
      </c>
    </row>
    <row r="1771" spans="1:12">
      <c r="A1771" t="s">
        <v>2505</v>
      </c>
      <c r="B1771" s="1">
        <v>46102</v>
      </c>
      <c r="C1771" t="s">
        <v>77</v>
      </c>
      <c r="D1771" t="s">
        <v>78</v>
      </c>
      <c r="E1771" t="s">
        <v>35</v>
      </c>
      <c r="F1771">
        <v>2</v>
      </c>
      <c r="G1771">
        <v>7999</v>
      </c>
      <c r="H1771">
        <v>0.1</v>
      </c>
      <c r="I1771" t="s">
        <v>47</v>
      </c>
      <c r="J1771" t="s">
        <v>16</v>
      </c>
      <c r="K1771" t="s">
        <v>37</v>
      </c>
      <c r="L1771">
        <f>F1770*G1770*(1-H1770)</f>
        <v>8495.75</v>
      </c>
    </row>
    <row r="1772" spans="1:12">
      <c r="A1772" t="s">
        <v>2506</v>
      </c>
      <c r="B1772" s="1">
        <v>46094</v>
      </c>
      <c r="C1772" t="s">
        <v>1276</v>
      </c>
      <c r="D1772" t="s">
        <v>43</v>
      </c>
      <c r="E1772" t="s">
        <v>14</v>
      </c>
      <c r="F1772">
        <v>5</v>
      </c>
      <c r="G1772">
        <v>499</v>
      </c>
      <c r="H1772">
        <v>0</v>
      </c>
      <c r="I1772" t="s">
        <v>50</v>
      </c>
      <c r="J1772" t="s">
        <v>36</v>
      </c>
      <c r="K1772" t="s">
        <v>17</v>
      </c>
      <c r="L1772">
        <f>F1771*G1771*(1-H1771)</f>
        <v>14398.2</v>
      </c>
    </row>
    <row r="1773" spans="1:12">
      <c r="A1773" t="s">
        <v>2507</v>
      </c>
      <c r="B1773" s="1">
        <v>46215</v>
      </c>
      <c r="C1773" t="s">
        <v>396</v>
      </c>
      <c r="D1773" t="s">
        <v>59</v>
      </c>
      <c r="E1773" t="s">
        <v>40</v>
      </c>
      <c r="F1773">
        <v>3</v>
      </c>
      <c r="G1773">
        <v>1999</v>
      </c>
      <c r="H1773">
        <v>0.05</v>
      </c>
      <c r="I1773" t="s">
        <v>50</v>
      </c>
      <c r="J1773" t="s">
        <v>22</v>
      </c>
      <c r="K1773" t="s">
        <v>23</v>
      </c>
      <c r="L1773">
        <f>F1772*G1772*(1-H1772)</f>
        <v>2495</v>
      </c>
    </row>
    <row r="1774" spans="1:12">
      <c r="A1774" t="s">
        <v>2508</v>
      </c>
      <c r="B1774" s="1">
        <v>46086</v>
      </c>
      <c r="C1774" t="s">
        <v>1499</v>
      </c>
      <c r="D1774" t="s">
        <v>59</v>
      </c>
      <c r="E1774" t="s">
        <v>35</v>
      </c>
      <c r="F1774">
        <v>3</v>
      </c>
      <c r="G1774">
        <v>4999</v>
      </c>
      <c r="H1774">
        <v>0.15</v>
      </c>
      <c r="I1774" t="s">
        <v>15</v>
      </c>
      <c r="J1774" t="s">
        <v>28</v>
      </c>
      <c r="K1774" t="s">
        <v>17</v>
      </c>
      <c r="L1774">
        <f>F1773*G1773*(1-H1773)</f>
        <v>5697.15</v>
      </c>
    </row>
    <row r="1775" spans="1:12">
      <c r="A1775" t="s">
        <v>2509</v>
      </c>
      <c r="B1775" s="1">
        <v>46275</v>
      </c>
      <c r="C1775" t="s">
        <v>963</v>
      </c>
      <c r="D1775" t="s">
        <v>43</v>
      </c>
      <c r="E1775" t="s">
        <v>14</v>
      </c>
      <c r="F1775">
        <v>3</v>
      </c>
      <c r="G1775">
        <v>599</v>
      </c>
      <c r="H1775">
        <v>0.15</v>
      </c>
      <c r="I1775" t="s">
        <v>47</v>
      </c>
      <c r="J1775" t="s">
        <v>22</v>
      </c>
      <c r="K1775" t="s">
        <v>17</v>
      </c>
      <c r="L1775">
        <f>F1774*G1774*(1-H1774)</f>
        <v>12747.449999999999</v>
      </c>
    </row>
    <row r="1776" spans="1:12">
      <c r="A1776" t="s">
        <v>2510</v>
      </c>
      <c r="B1776" s="1">
        <v>46038</v>
      </c>
      <c r="C1776" t="s">
        <v>1171</v>
      </c>
      <c r="D1776" t="s">
        <v>20</v>
      </c>
      <c r="E1776" t="s">
        <v>35</v>
      </c>
      <c r="F1776">
        <v>2</v>
      </c>
      <c r="G1776">
        <v>4999</v>
      </c>
      <c r="H1776">
        <v>0</v>
      </c>
      <c r="I1776" t="s">
        <v>47</v>
      </c>
      <c r="J1776" t="s">
        <v>28</v>
      </c>
      <c r="K1776" t="s">
        <v>37</v>
      </c>
      <c r="L1776">
        <f>F1775*G1775*(1-H1775)</f>
        <v>1527.45</v>
      </c>
    </row>
    <row r="1777" spans="1:12">
      <c r="A1777" t="s">
        <v>2511</v>
      </c>
      <c r="B1777" s="1">
        <v>46133</v>
      </c>
      <c r="C1777" t="s">
        <v>1151</v>
      </c>
      <c r="D1777" t="s">
        <v>56</v>
      </c>
      <c r="E1777" t="s">
        <v>40</v>
      </c>
      <c r="F1777">
        <v>4</v>
      </c>
      <c r="G1777">
        <v>999</v>
      </c>
      <c r="H1777">
        <v>0</v>
      </c>
      <c r="I1777" t="s">
        <v>32</v>
      </c>
      <c r="J1777" t="s">
        <v>36</v>
      </c>
      <c r="K1777" t="s">
        <v>17</v>
      </c>
      <c r="L1777">
        <f>F1776*G1776*(1-H1776)</f>
        <v>9998</v>
      </c>
    </row>
    <row r="1778" spans="1:12">
      <c r="A1778" t="s">
        <v>2512</v>
      </c>
      <c r="B1778" s="1">
        <v>46047</v>
      </c>
      <c r="C1778" t="s">
        <v>1176</v>
      </c>
      <c r="D1778" t="s">
        <v>62</v>
      </c>
      <c r="E1778" t="s">
        <v>27</v>
      </c>
      <c r="F1778">
        <v>2</v>
      </c>
      <c r="G1778">
        <v>599</v>
      </c>
      <c r="H1778">
        <v>0.1</v>
      </c>
      <c r="I1778" t="s">
        <v>15</v>
      </c>
      <c r="J1778" t="s">
        <v>51</v>
      </c>
      <c r="K1778" t="s">
        <v>17</v>
      </c>
      <c r="L1778">
        <f>F1777*G1777*(1-H1777)</f>
        <v>3996</v>
      </c>
    </row>
    <row r="1779" spans="1:12">
      <c r="A1779" t="s">
        <v>2513</v>
      </c>
      <c r="B1779" s="1">
        <v>46194</v>
      </c>
      <c r="C1779" t="s">
        <v>524</v>
      </c>
      <c r="D1779" t="s">
        <v>26</v>
      </c>
      <c r="E1779" t="s">
        <v>35</v>
      </c>
      <c r="F1779">
        <v>2</v>
      </c>
      <c r="G1779">
        <v>4999</v>
      </c>
      <c r="H1779">
        <v>0.15</v>
      </c>
      <c r="I1779" t="s">
        <v>15</v>
      </c>
      <c r="J1779" t="s">
        <v>51</v>
      </c>
      <c r="K1779" t="s">
        <v>23</v>
      </c>
      <c r="L1779">
        <f>F1778*G1778*(1-H1778)</f>
        <v>1078.2</v>
      </c>
    </row>
    <row r="1780" spans="1:12">
      <c r="A1780" t="s">
        <v>2514</v>
      </c>
      <c r="B1780" s="1">
        <v>46194</v>
      </c>
      <c r="C1780" t="s">
        <v>68</v>
      </c>
      <c r="D1780" t="s">
        <v>71</v>
      </c>
      <c r="E1780" t="s">
        <v>35</v>
      </c>
      <c r="F1780">
        <v>5</v>
      </c>
      <c r="G1780">
        <v>799</v>
      </c>
      <c r="H1780">
        <v>0</v>
      </c>
      <c r="I1780" t="s">
        <v>44</v>
      </c>
      <c r="J1780" t="s">
        <v>16</v>
      </c>
      <c r="K1780" t="s">
        <v>17</v>
      </c>
      <c r="L1780">
        <f>F1779*G1779*(1-H1779)</f>
        <v>8498.2999999999993</v>
      </c>
    </row>
    <row r="1781" spans="1:12">
      <c r="A1781" t="s">
        <v>2515</v>
      </c>
      <c r="B1781" s="1">
        <v>46178</v>
      </c>
      <c r="C1781" t="s">
        <v>2516</v>
      </c>
      <c r="D1781" t="s">
        <v>20</v>
      </c>
      <c r="E1781" t="s">
        <v>35</v>
      </c>
      <c r="F1781">
        <v>2</v>
      </c>
      <c r="G1781">
        <v>999</v>
      </c>
      <c r="H1781">
        <v>0.05</v>
      </c>
      <c r="I1781" t="s">
        <v>15</v>
      </c>
      <c r="J1781" t="s">
        <v>16</v>
      </c>
      <c r="K1781" t="s">
        <v>23</v>
      </c>
      <c r="L1781">
        <f>F1780*G1780*(1-H1780)</f>
        <v>3995</v>
      </c>
    </row>
    <row r="1782" spans="1:12">
      <c r="A1782" t="s">
        <v>2517</v>
      </c>
      <c r="B1782" s="1">
        <v>46288</v>
      </c>
      <c r="C1782" t="s">
        <v>1344</v>
      </c>
      <c r="D1782" t="s">
        <v>26</v>
      </c>
      <c r="E1782" t="s">
        <v>40</v>
      </c>
      <c r="F1782">
        <v>4</v>
      </c>
      <c r="G1782">
        <v>4999</v>
      </c>
      <c r="H1782">
        <v>0</v>
      </c>
      <c r="I1782" t="s">
        <v>50</v>
      </c>
      <c r="J1782" t="s">
        <v>16</v>
      </c>
      <c r="K1782" t="s">
        <v>17</v>
      </c>
      <c r="L1782">
        <f>F1781*G1781*(1-H1781)</f>
        <v>1898.1</v>
      </c>
    </row>
    <row r="1783" spans="1:12">
      <c r="A1783" t="s">
        <v>2518</v>
      </c>
      <c r="B1783" s="1">
        <v>46059</v>
      </c>
      <c r="C1783" t="s">
        <v>1597</v>
      </c>
      <c r="D1783" t="s">
        <v>56</v>
      </c>
      <c r="E1783" t="s">
        <v>27</v>
      </c>
      <c r="F1783">
        <v>4</v>
      </c>
      <c r="G1783">
        <v>2499</v>
      </c>
      <c r="H1783">
        <v>0.1</v>
      </c>
      <c r="I1783" t="s">
        <v>32</v>
      </c>
      <c r="J1783" t="s">
        <v>51</v>
      </c>
      <c r="K1783" t="s">
        <v>17</v>
      </c>
      <c r="L1783">
        <f>F1782*G1782*(1-H1782)</f>
        <v>19996</v>
      </c>
    </row>
    <row r="1784" spans="1:12">
      <c r="A1784" t="s">
        <v>2519</v>
      </c>
      <c r="B1784" s="1">
        <v>46193</v>
      </c>
      <c r="C1784" t="s">
        <v>2520</v>
      </c>
      <c r="D1784" t="s">
        <v>43</v>
      </c>
      <c r="E1784" t="s">
        <v>35</v>
      </c>
      <c r="F1784">
        <v>2</v>
      </c>
      <c r="G1784">
        <v>1999</v>
      </c>
      <c r="H1784">
        <v>0.1</v>
      </c>
      <c r="I1784" t="s">
        <v>50</v>
      </c>
      <c r="J1784" t="s">
        <v>51</v>
      </c>
      <c r="K1784" t="s">
        <v>17</v>
      </c>
      <c r="L1784">
        <f>F1783*G1783*(1-H1783)</f>
        <v>8996.4</v>
      </c>
    </row>
    <row r="1785" spans="1:12">
      <c r="A1785" t="s">
        <v>2521</v>
      </c>
      <c r="B1785" s="1">
        <v>46035</v>
      </c>
      <c r="C1785" t="s">
        <v>257</v>
      </c>
      <c r="D1785" t="s">
        <v>62</v>
      </c>
      <c r="E1785" t="s">
        <v>27</v>
      </c>
      <c r="F1785">
        <v>2</v>
      </c>
      <c r="G1785">
        <v>2499</v>
      </c>
      <c r="H1785">
        <v>0</v>
      </c>
      <c r="I1785" t="s">
        <v>15</v>
      </c>
      <c r="J1785" t="s">
        <v>22</v>
      </c>
      <c r="K1785" t="s">
        <v>17</v>
      </c>
      <c r="L1785">
        <f>F1784*G1784*(1-H1784)</f>
        <v>3598.2000000000003</v>
      </c>
    </row>
    <row r="1786" spans="1:12">
      <c r="A1786" t="s">
        <v>2522</v>
      </c>
      <c r="B1786" s="1">
        <v>46179</v>
      </c>
      <c r="C1786" t="s">
        <v>228</v>
      </c>
      <c r="D1786" t="s">
        <v>43</v>
      </c>
      <c r="E1786" t="s">
        <v>14</v>
      </c>
      <c r="F1786">
        <v>5</v>
      </c>
      <c r="G1786">
        <v>499</v>
      </c>
      <c r="H1786">
        <v>0</v>
      </c>
      <c r="I1786" t="s">
        <v>44</v>
      </c>
      <c r="J1786" t="s">
        <v>28</v>
      </c>
      <c r="K1786" t="s">
        <v>17</v>
      </c>
      <c r="L1786">
        <f>F1785*G1785*(1-H1785)</f>
        <v>4998</v>
      </c>
    </row>
    <row r="1787" spans="1:12">
      <c r="A1787" t="s">
        <v>2523</v>
      </c>
      <c r="B1787" s="1">
        <v>46279</v>
      </c>
      <c r="C1787" t="s">
        <v>685</v>
      </c>
      <c r="D1787" t="s">
        <v>43</v>
      </c>
      <c r="E1787" t="s">
        <v>40</v>
      </c>
      <c r="F1787">
        <v>3</v>
      </c>
      <c r="G1787">
        <v>2499</v>
      </c>
      <c r="H1787">
        <v>0</v>
      </c>
      <c r="I1787" t="s">
        <v>50</v>
      </c>
      <c r="J1787" t="s">
        <v>16</v>
      </c>
      <c r="K1787" t="s">
        <v>17</v>
      </c>
      <c r="L1787">
        <f>F1786*G1786*(1-H1786)</f>
        <v>2495</v>
      </c>
    </row>
    <row r="1788" spans="1:12">
      <c r="A1788" t="s">
        <v>2524</v>
      </c>
      <c r="B1788" s="1">
        <v>46161</v>
      </c>
      <c r="C1788" t="s">
        <v>1595</v>
      </c>
      <c r="D1788" t="s">
        <v>43</v>
      </c>
      <c r="E1788" t="s">
        <v>40</v>
      </c>
      <c r="F1788">
        <v>5</v>
      </c>
      <c r="G1788">
        <v>499</v>
      </c>
      <c r="H1788">
        <v>0.05</v>
      </c>
      <c r="I1788" t="s">
        <v>15</v>
      </c>
      <c r="J1788" t="s">
        <v>28</v>
      </c>
      <c r="K1788" t="s">
        <v>17</v>
      </c>
      <c r="L1788">
        <f>F1787*G1787*(1-H1787)</f>
        <v>7497</v>
      </c>
    </row>
    <row r="1789" spans="1:12">
      <c r="A1789" t="s">
        <v>2525</v>
      </c>
      <c r="B1789" s="1">
        <v>46145</v>
      </c>
      <c r="C1789" t="s">
        <v>796</v>
      </c>
      <c r="D1789" t="s">
        <v>26</v>
      </c>
      <c r="E1789" t="s">
        <v>14</v>
      </c>
      <c r="F1789">
        <v>3</v>
      </c>
      <c r="G1789">
        <v>799</v>
      </c>
      <c r="H1789">
        <v>0.15</v>
      </c>
      <c r="I1789" t="s">
        <v>44</v>
      </c>
      <c r="J1789" t="s">
        <v>22</v>
      </c>
      <c r="K1789" t="s">
        <v>37</v>
      </c>
      <c r="L1789">
        <f>F1788*G1788*(1-H1788)</f>
        <v>2370.25</v>
      </c>
    </row>
    <row r="1790" spans="1:12">
      <c r="A1790" t="s">
        <v>2526</v>
      </c>
      <c r="B1790" s="1">
        <v>46195</v>
      </c>
      <c r="C1790" t="s">
        <v>1724</v>
      </c>
      <c r="D1790" t="s">
        <v>56</v>
      </c>
      <c r="E1790" t="s">
        <v>14</v>
      </c>
      <c r="F1790">
        <v>4</v>
      </c>
      <c r="G1790">
        <v>1499</v>
      </c>
      <c r="H1790">
        <v>0.05</v>
      </c>
      <c r="I1790" t="s">
        <v>47</v>
      </c>
      <c r="J1790" t="s">
        <v>22</v>
      </c>
      <c r="K1790" t="s">
        <v>17</v>
      </c>
      <c r="L1790">
        <f>F1789*G1789*(1-H1789)</f>
        <v>2037.45</v>
      </c>
    </row>
    <row r="1791" spans="1:12">
      <c r="A1791" t="s">
        <v>2527</v>
      </c>
      <c r="B1791" s="1">
        <v>46274</v>
      </c>
      <c r="C1791" t="s">
        <v>1105</v>
      </c>
      <c r="D1791" t="s">
        <v>13</v>
      </c>
      <c r="E1791" t="s">
        <v>35</v>
      </c>
      <c r="F1791">
        <v>5</v>
      </c>
      <c r="G1791">
        <v>1499</v>
      </c>
      <c r="H1791">
        <v>0</v>
      </c>
      <c r="I1791" t="s">
        <v>44</v>
      </c>
      <c r="J1791" t="s">
        <v>16</v>
      </c>
      <c r="K1791" t="s">
        <v>23</v>
      </c>
      <c r="L1791">
        <f>F1790*G1790*(1-H1790)</f>
        <v>5696.2</v>
      </c>
    </row>
    <row r="1792" spans="1:12">
      <c r="A1792" t="s">
        <v>2528</v>
      </c>
      <c r="B1792" s="1">
        <v>46241</v>
      </c>
      <c r="C1792" t="s">
        <v>1259</v>
      </c>
      <c r="D1792" t="s">
        <v>59</v>
      </c>
      <c r="E1792" t="s">
        <v>21</v>
      </c>
      <c r="F1792">
        <v>2</v>
      </c>
      <c r="G1792">
        <v>1999</v>
      </c>
      <c r="H1792">
        <v>0</v>
      </c>
      <c r="I1792" t="s">
        <v>15</v>
      </c>
      <c r="J1792" t="s">
        <v>51</v>
      </c>
      <c r="K1792" t="s">
        <v>17</v>
      </c>
      <c r="L1792">
        <f>F1791*G1791*(1-H1791)</f>
        <v>7495</v>
      </c>
    </row>
    <row r="1793" spans="1:12">
      <c r="A1793" t="s">
        <v>2529</v>
      </c>
      <c r="B1793" s="1">
        <v>46193</v>
      </c>
      <c r="C1793" t="s">
        <v>2530</v>
      </c>
      <c r="D1793" t="s">
        <v>26</v>
      </c>
      <c r="E1793" t="s">
        <v>14</v>
      </c>
      <c r="F1793">
        <v>2</v>
      </c>
      <c r="G1793">
        <v>599</v>
      </c>
      <c r="H1793">
        <v>0</v>
      </c>
      <c r="I1793" t="s">
        <v>50</v>
      </c>
      <c r="J1793" t="s">
        <v>22</v>
      </c>
      <c r="K1793" t="s">
        <v>17</v>
      </c>
      <c r="L1793">
        <f>F1792*G1792*(1-H1792)</f>
        <v>3998</v>
      </c>
    </row>
    <row r="1794" spans="1:12">
      <c r="A1794" t="s">
        <v>2531</v>
      </c>
      <c r="B1794" s="1">
        <v>46087</v>
      </c>
      <c r="C1794" t="s">
        <v>560</v>
      </c>
      <c r="D1794" t="s">
        <v>13</v>
      </c>
      <c r="E1794" t="s">
        <v>40</v>
      </c>
      <c r="F1794">
        <v>5</v>
      </c>
      <c r="G1794">
        <v>1299</v>
      </c>
      <c r="H1794">
        <v>0.1</v>
      </c>
      <c r="I1794" t="s">
        <v>50</v>
      </c>
      <c r="J1794" t="s">
        <v>16</v>
      </c>
      <c r="K1794" t="s">
        <v>23</v>
      </c>
      <c r="L1794">
        <f>F1793*G1793*(1-H1793)</f>
        <v>1198</v>
      </c>
    </row>
    <row r="1795" spans="1:12">
      <c r="A1795" t="s">
        <v>2532</v>
      </c>
      <c r="B1795" s="1">
        <v>46182</v>
      </c>
      <c r="C1795" t="s">
        <v>2080</v>
      </c>
      <c r="D1795" t="s">
        <v>71</v>
      </c>
      <c r="E1795" t="s">
        <v>40</v>
      </c>
      <c r="F1795">
        <v>5</v>
      </c>
      <c r="G1795">
        <v>2499</v>
      </c>
      <c r="H1795">
        <v>0</v>
      </c>
      <c r="I1795" t="s">
        <v>32</v>
      </c>
      <c r="J1795" t="s">
        <v>22</v>
      </c>
      <c r="K1795" t="s">
        <v>23</v>
      </c>
      <c r="L1795">
        <f>F1794*G1794*(1-H1794)</f>
        <v>5845.5</v>
      </c>
    </row>
    <row r="1796" spans="1:12">
      <c r="A1796" t="s">
        <v>2533</v>
      </c>
      <c r="B1796" s="1">
        <v>46056</v>
      </c>
      <c r="C1796" t="s">
        <v>1128</v>
      </c>
      <c r="D1796" t="s">
        <v>78</v>
      </c>
      <c r="E1796" t="s">
        <v>27</v>
      </c>
      <c r="F1796">
        <v>5</v>
      </c>
      <c r="G1796">
        <v>1299</v>
      </c>
      <c r="H1796">
        <v>0.15</v>
      </c>
      <c r="I1796" t="s">
        <v>44</v>
      </c>
      <c r="J1796" t="s">
        <v>16</v>
      </c>
      <c r="K1796" t="s">
        <v>17</v>
      </c>
      <c r="L1796">
        <f>F1795*G1795*(1-H1795)</f>
        <v>12495</v>
      </c>
    </row>
    <row r="1797" spans="1:12">
      <c r="A1797" t="s">
        <v>2534</v>
      </c>
      <c r="B1797" s="1">
        <v>46137</v>
      </c>
      <c r="C1797" t="s">
        <v>656</v>
      </c>
      <c r="D1797" t="s">
        <v>56</v>
      </c>
      <c r="E1797" t="s">
        <v>35</v>
      </c>
      <c r="F1797">
        <v>2</v>
      </c>
      <c r="G1797">
        <v>2499</v>
      </c>
      <c r="H1797">
        <v>0</v>
      </c>
      <c r="I1797" t="s">
        <v>47</v>
      </c>
      <c r="J1797" t="s">
        <v>28</v>
      </c>
      <c r="K1797" t="s">
        <v>17</v>
      </c>
      <c r="L1797">
        <f>F1796*G1796*(1-H1796)</f>
        <v>5520.75</v>
      </c>
    </row>
    <row r="1798" spans="1:12">
      <c r="A1798" t="s">
        <v>2535</v>
      </c>
      <c r="B1798" s="1">
        <v>46074</v>
      </c>
      <c r="C1798" t="s">
        <v>401</v>
      </c>
      <c r="D1798" t="s">
        <v>13</v>
      </c>
      <c r="E1798" t="s">
        <v>14</v>
      </c>
      <c r="F1798">
        <v>5</v>
      </c>
      <c r="G1798">
        <v>1299</v>
      </c>
      <c r="H1798">
        <v>0.15</v>
      </c>
      <c r="I1798" t="s">
        <v>47</v>
      </c>
      <c r="J1798" t="s">
        <v>36</v>
      </c>
      <c r="K1798" t="s">
        <v>17</v>
      </c>
      <c r="L1798">
        <f>F1797*G1797*(1-H1797)</f>
        <v>4998</v>
      </c>
    </row>
    <row r="1799" spans="1:12">
      <c r="A1799" t="s">
        <v>2536</v>
      </c>
      <c r="B1799" s="1">
        <v>46138</v>
      </c>
      <c r="C1799" t="s">
        <v>1611</v>
      </c>
      <c r="D1799" t="s">
        <v>13</v>
      </c>
      <c r="E1799" t="s">
        <v>14</v>
      </c>
      <c r="F1799">
        <v>5</v>
      </c>
      <c r="G1799">
        <v>2499</v>
      </c>
      <c r="H1799">
        <v>0.15</v>
      </c>
      <c r="I1799" t="s">
        <v>47</v>
      </c>
      <c r="J1799" t="s">
        <v>51</v>
      </c>
      <c r="K1799" t="s">
        <v>17</v>
      </c>
      <c r="L1799">
        <f>F1798*G1798*(1-H1798)</f>
        <v>5520.75</v>
      </c>
    </row>
    <row r="1800" spans="1:12">
      <c r="A1800" t="s">
        <v>2537</v>
      </c>
      <c r="B1800" s="1">
        <v>46171</v>
      </c>
      <c r="C1800" t="s">
        <v>1454</v>
      </c>
      <c r="D1800" t="s">
        <v>71</v>
      </c>
      <c r="E1800" t="s">
        <v>35</v>
      </c>
      <c r="F1800">
        <v>2</v>
      </c>
      <c r="G1800">
        <v>999</v>
      </c>
      <c r="H1800">
        <v>0.05</v>
      </c>
      <c r="I1800" t="s">
        <v>44</v>
      </c>
      <c r="J1800" t="s">
        <v>16</v>
      </c>
      <c r="K1800" t="s">
        <v>17</v>
      </c>
      <c r="L1800">
        <f>F1799*G1799*(1-H1799)</f>
        <v>10620.75</v>
      </c>
    </row>
    <row r="1801" spans="1:12">
      <c r="A1801" t="s">
        <v>2538</v>
      </c>
      <c r="B1801" s="1">
        <v>46122</v>
      </c>
      <c r="C1801" t="s">
        <v>341</v>
      </c>
      <c r="D1801" t="s">
        <v>43</v>
      </c>
      <c r="E1801" t="s">
        <v>35</v>
      </c>
      <c r="F1801">
        <v>1</v>
      </c>
      <c r="G1801">
        <v>599</v>
      </c>
      <c r="H1801">
        <v>0.15</v>
      </c>
      <c r="I1801" t="s">
        <v>50</v>
      </c>
      <c r="J1801" t="s">
        <v>36</v>
      </c>
      <c r="K1801" t="s">
        <v>37</v>
      </c>
      <c r="L1801">
        <f>F1800*G1800*(1-H1800)</f>
        <v>1898.1</v>
      </c>
    </row>
    <row r="1802" spans="1:12">
      <c r="A1802" t="s">
        <v>2539</v>
      </c>
      <c r="B1802" s="1">
        <v>46206</v>
      </c>
      <c r="C1802" t="s">
        <v>1606</v>
      </c>
      <c r="D1802" t="s">
        <v>13</v>
      </c>
      <c r="E1802" t="s">
        <v>40</v>
      </c>
      <c r="F1802">
        <v>5</v>
      </c>
      <c r="G1802">
        <v>1299</v>
      </c>
      <c r="H1802">
        <v>0.1</v>
      </c>
      <c r="I1802" t="s">
        <v>15</v>
      </c>
      <c r="J1802" t="s">
        <v>16</v>
      </c>
      <c r="K1802" t="s">
        <v>17</v>
      </c>
      <c r="L1802">
        <f>F1801*G1801*(1-H1801)</f>
        <v>509.15</v>
      </c>
    </row>
    <row r="1803" spans="1:12">
      <c r="A1803" t="s">
        <v>2540</v>
      </c>
      <c r="B1803" s="1">
        <v>46120</v>
      </c>
      <c r="C1803" t="s">
        <v>1272</v>
      </c>
      <c r="D1803" t="s">
        <v>20</v>
      </c>
      <c r="E1803" t="s">
        <v>40</v>
      </c>
      <c r="F1803">
        <v>2</v>
      </c>
      <c r="G1803">
        <v>999</v>
      </c>
      <c r="H1803">
        <v>0.1</v>
      </c>
      <c r="I1803" t="s">
        <v>44</v>
      </c>
      <c r="J1803" t="s">
        <v>16</v>
      </c>
      <c r="K1803" t="s">
        <v>17</v>
      </c>
      <c r="L1803">
        <f>F1802*G1802*(1-H1802)</f>
        <v>5845.5</v>
      </c>
    </row>
    <row r="1804" spans="1:12">
      <c r="A1804" t="s">
        <v>2541</v>
      </c>
      <c r="B1804" s="1">
        <v>46060</v>
      </c>
      <c r="C1804" t="s">
        <v>1272</v>
      </c>
      <c r="D1804" t="s">
        <v>59</v>
      </c>
      <c r="E1804" t="s">
        <v>40</v>
      </c>
      <c r="F1804">
        <v>1</v>
      </c>
      <c r="G1804">
        <v>4999</v>
      </c>
      <c r="H1804">
        <v>0.15</v>
      </c>
      <c r="I1804" t="s">
        <v>32</v>
      </c>
      <c r="J1804" t="s">
        <v>22</v>
      </c>
      <c r="K1804" t="s">
        <v>17</v>
      </c>
      <c r="L1804">
        <f>F1803*G1803*(1-H1803)</f>
        <v>1798.2</v>
      </c>
    </row>
    <row r="1805" spans="1:12">
      <c r="A1805" t="s">
        <v>2542</v>
      </c>
      <c r="B1805" s="1">
        <v>46154</v>
      </c>
      <c r="C1805" t="s">
        <v>209</v>
      </c>
      <c r="D1805" t="s">
        <v>71</v>
      </c>
      <c r="E1805" t="s">
        <v>35</v>
      </c>
      <c r="F1805">
        <v>5</v>
      </c>
      <c r="G1805">
        <v>799</v>
      </c>
      <c r="H1805">
        <v>0.05</v>
      </c>
      <c r="I1805" t="s">
        <v>44</v>
      </c>
      <c r="J1805" t="s">
        <v>16</v>
      </c>
      <c r="K1805" t="s">
        <v>17</v>
      </c>
      <c r="L1805">
        <f>F1804*G1804*(1-H1804)</f>
        <v>4249.1499999999996</v>
      </c>
    </row>
    <row r="1806" spans="1:12">
      <c r="A1806" t="s">
        <v>2543</v>
      </c>
      <c r="B1806" s="1">
        <v>46276</v>
      </c>
      <c r="C1806" t="s">
        <v>1983</v>
      </c>
      <c r="D1806" t="s">
        <v>59</v>
      </c>
      <c r="E1806" t="s">
        <v>35</v>
      </c>
      <c r="F1806">
        <v>5</v>
      </c>
      <c r="G1806">
        <v>999</v>
      </c>
      <c r="H1806">
        <v>0.15</v>
      </c>
      <c r="I1806" t="s">
        <v>47</v>
      </c>
      <c r="J1806" t="s">
        <v>16</v>
      </c>
      <c r="K1806" t="s">
        <v>37</v>
      </c>
      <c r="L1806">
        <f>F1805*G1805*(1-H1805)</f>
        <v>3795.25</v>
      </c>
    </row>
    <row r="1807" spans="1:12">
      <c r="A1807" t="s">
        <v>2544</v>
      </c>
      <c r="B1807" s="1">
        <v>46272</v>
      </c>
      <c r="C1807" t="s">
        <v>711</v>
      </c>
      <c r="D1807" t="s">
        <v>56</v>
      </c>
      <c r="E1807" t="s">
        <v>14</v>
      </c>
      <c r="F1807">
        <v>5</v>
      </c>
      <c r="G1807">
        <v>1299</v>
      </c>
      <c r="H1807">
        <v>0.1</v>
      </c>
      <c r="I1807" t="s">
        <v>47</v>
      </c>
      <c r="J1807" t="s">
        <v>22</v>
      </c>
      <c r="K1807" t="s">
        <v>17</v>
      </c>
      <c r="L1807">
        <f>F1806*G1806*(1-H1806)</f>
        <v>4245.75</v>
      </c>
    </row>
    <row r="1808" spans="1:12">
      <c r="A1808" t="s">
        <v>2545</v>
      </c>
      <c r="B1808" s="1">
        <v>46130</v>
      </c>
      <c r="C1808" t="s">
        <v>1316</v>
      </c>
      <c r="D1808" t="s">
        <v>59</v>
      </c>
      <c r="E1808" t="s">
        <v>21</v>
      </c>
      <c r="F1808">
        <v>5</v>
      </c>
      <c r="G1808">
        <v>4999</v>
      </c>
      <c r="H1808">
        <v>0.1</v>
      </c>
      <c r="I1808" t="s">
        <v>15</v>
      </c>
      <c r="J1808" t="s">
        <v>51</v>
      </c>
      <c r="K1808" t="s">
        <v>17</v>
      </c>
      <c r="L1808">
        <f>F1807*G1807*(1-H1807)</f>
        <v>5845.5</v>
      </c>
    </row>
    <row r="1809" spans="1:12">
      <c r="A1809" t="s">
        <v>2546</v>
      </c>
      <c r="B1809" s="1">
        <v>46173</v>
      </c>
      <c r="C1809" t="s">
        <v>316</v>
      </c>
      <c r="D1809" t="s">
        <v>56</v>
      </c>
      <c r="E1809" t="s">
        <v>14</v>
      </c>
      <c r="F1809">
        <v>2</v>
      </c>
      <c r="G1809">
        <v>2499</v>
      </c>
      <c r="H1809">
        <v>0</v>
      </c>
      <c r="I1809" t="s">
        <v>47</v>
      </c>
      <c r="J1809" t="s">
        <v>51</v>
      </c>
      <c r="K1809" t="s">
        <v>37</v>
      </c>
      <c r="L1809">
        <f>F1808*G1808*(1-H1808)</f>
        <v>22495.5</v>
      </c>
    </row>
    <row r="1810" spans="1:12">
      <c r="A1810" t="s">
        <v>2547</v>
      </c>
      <c r="B1810" s="1">
        <v>46050</v>
      </c>
      <c r="C1810" t="s">
        <v>318</v>
      </c>
      <c r="D1810" t="s">
        <v>56</v>
      </c>
      <c r="E1810" t="s">
        <v>27</v>
      </c>
      <c r="F1810">
        <v>3</v>
      </c>
      <c r="G1810">
        <v>1999</v>
      </c>
      <c r="H1810">
        <v>0.05</v>
      </c>
      <c r="I1810" t="s">
        <v>44</v>
      </c>
      <c r="J1810" t="s">
        <v>28</v>
      </c>
      <c r="K1810" t="s">
        <v>17</v>
      </c>
      <c r="L1810">
        <f>F1809*G1809*(1-H1809)</f>
        <v>4998</v>
      </c>
    </row>
    <row r="1811" spans="1:12">
      <c r="A1811" t="s">
        <v>2548</v>
      </c>
      <c r="B1811" s="1">
        <v>46290</v>
      </c>
      <c r="C1811" t="s">
        <v>2036</v>
      </c>
      <c r="D1811" t="s">
        <v>26</v>
      </c>
      <c r="E1811" t="s">
        <v>21</v>
      </c>
      <c r="F1811">
        <v>2</v>
      </c>
      <c r="G1811">
        <v>4999</v>
      </c>
      <c r="H1811">
        <v>0.15</v>
      </c>
      <c r="I1811" t="s">
        <v>15</v>
      </c>
      <c r="J1811" t="s">
        <v>22</v>
      </c>
      <c r="K1811" t="s">
        <v>37</v>
      </c>
      <c r="L1811">
        <f>F1810*G1810*(1-H1810)</f>
        <v>5697.15</v>
      </c>
    </row>
    <row r="1812" spans="1:12">
      <c r="A1812" t="s">
        <v>2549</v>
      </c>
      <c r="B1812" s="1">
        <v>46284</v>
      </c>
      <c r="C1812" t="s">
        <v>178</v>
      </c>
      <c r="D1812" t="s">
        <v>26</v>
      </c>
      <c r="E1812" t="s">
        <v>35</v>
      </c>
      <c r="F1812">
        <v>2</v>
      </c>
      <c r="G1812">
        <v>799</v>
      </c>
      <c r="H1812">
        <v>0.15</v>
      </c>
      <c r="I1812" t="s">
        <v>32</v>
      </c>
      <c r="J1812" t="s">
        <v>36</v>
      </c>
      <c r="K1812" t="s">
        <v>17</v>
      </c>
      <c r="L1812">
        <f>F1811*G1811*(1-H1811)</f>
        <v>8498.2999999999993</v>
      </c>
    </row>
    <row r="1813" spans="1:12">
      <c r="A1813" t="s">
        <v>2550</v>
      </c>
      <c r="B1813" s="1">
        <v>46187</v>
      </c>
      <c r="C1813" t="s">
        <v>75</v>
      </c>
      <c r="D1813" t="s">
        <v>62</v>
      </c>
      <c r="E1813" t="s">
        <v>14</v>
      </c>
      <c r="F1813">
        <v>2</v>
      </c>
      <c r="G1813">
        <v>1299</v>
      </c>
      <c r="H1813">
        <v>0</v>
      </c>
      <c r="I1813" t="s">
        <v>44</v>
      </c>
      <c r="J1813" t="s">
        <v>16</v>
      </c>
      <c r="K1813" t="s">
        <v>23</v>
      </c>
      <c r="L1813">
        <f>F1812*G1812*(1-H1812)</f>
        <v>1358.3</v>
      </c>
    </row>
    <row r="1814" spans="1:12">
      <c r="A1814" t="s">
        <v>2551</v>
      </c>
      <c r="B1814" s="1">
        <v>46122</v>
      </c>
      <c r="C1814" t="s">
        <v>1184</v>
      </c>
      <c r="D1814" t="s">
        <v>26</v>
      </c>
      <c r="E1814" t="s">
        <v>35</v>
      </c>
      <c r="F1814">
        <v>3</v>
      </c>
      <c r="G1814">
        <v>999</v>
      </c>
      <c r="H1814">
        <v>0.05</v>
      </c>
      <c r="I1814" t="s">
        <v>32</v>
      </c>
      <c r="J1814" t="s">
        <v>28</v>
      </c>
      <c r="K1814" t="s">
        <v>23</v>
      </c>
      <c r="L1814">
        <f>F1813*G1813*(1-H1813)</f>
        <v>2598</v>
      </c>
    </row>
    <row r="1815" spans="1:12">
      <c r="A1815" t="s">
        <v>2552</v>
      </c>
      <c r="B1815" s="1">
        <v>46230</v>
      </c>
      <c r="C1815" t="s">
        <v>2553</v>
      </c>
      <c r="D1815" t="s">
        <v>31</v>
      </c>
      <c r="E1815" t="s">
        <v>27</v>
      </c>
      <c r="F1815">
        <v>4</v>
      </c>
      <c r="G1815">
        <v>599</v>
      </c>
      <c r="H1815">
        <v>0.15</v>
      </c>
      <c r="I1815" t="s">
        <v>32</v>
      </c>
      <c r="J1815" t="s">
        <v>36</v>
      </c>
      <c r="K1815" t="s">
        <v>37</v>
      </c>
      <c r="L1815">
        <f>F1814*G1814*(1-H1814)</f>
        <v>2847.15</v>
      </c>
    </row>
    <row r="1816" spans="1:12">
      <c r="A1816" t="s">
        <v>2554</v>
      </c>
      <c r="B1816" s="1">
        <v>46270</v>
      </c>
      <c r="C1816" t="s">
        <v>2482</v>
      </c>
      <c r="D1816" t="s">
        <v>31</v>
      </c>
      <c r="E1816" t="s">
        <v>40</v>
      </c>
      <c r="F1816">
        <v>2</v>
      </c>
      <c r="G1816">
        <v>799</v>
      </c>
      <c r="H1816">
        <v>0.05</v>
      </c>
      <c r="I1816" t="s">
        <v>44</v>
      </c>
      <c r="J1816" t="s">
        <v>28</v>
      </c>
      <c r="K1816" t="s">
        <v>17</v>
      </c>
      <c r="L1816">
        <f>F1815*G1815*(1-H1815)</f>
        <v>2036.6</v>
      </c>
    </row>
    <row r="1817" spans="1:12">
      <c r="A1817" t="s">
        <v>2555</v>
      </c>
      <c r="B1817" s="1">
        <v>46269</v>
      </c>
      <c r="C1817" t="s">
        <v>886</v>
      </c>
      <c r="D1817" t="s">
        <v>31</v>
      </c>
      <c r="E1817" t="s">
        <v>40</v>
      </c>
      <c r="F1817">
        <v>5</v>
      </c>
      <c r="G1817">
        <v>1299</v>
      </c>
      <c r="H1817">
        <v>0.1</v>
      </c>
      <c r="I1817" t="s">
        <v>50</v>
      </c>
      <c r="J1817" t="s">
        <v>51</v>
      </c>
      <c r="K1817" t="s">
        <v>37</v>
      </c>
      <c r="L1817">
        <f>F1816*G1816*(1-H1816)</f>
        <v>1518.1</v>
      </c>
    </row>
    <row r="1818" spans="1:12">
      <c r="A1818" t="s">
        <v>2556</v>
      </c>
      <c r="B1818" s="1">
        <v>46101</v>
      </c>
      <c r="C1818" t="s">
        <v>803</v>
      </c>
      <c r="D1818" t="s">
        <v>26</v>
      </c>
      <c r="E1818" t="s">
        <v>21</v>
      </c>
      <c r="F1818">
        <v>1</v>
      </c>
      <c r="G1818">
        <v>2499</v>
      </c>
      <c r="H1818">
        <v>0</v>
      </c>
      <c r="I1818" t="s">
        <v>50</v>
      </c>
      <c r="J1818" t="s">
        <v>28</v>
      </c>
      <c r="K1818" t="s">
        <v>17</v>
      </c>
      <c r="L1818">
        <f>F1817*G1817*(1-H1817)</f>
        <v>5845.5</v>
      </c>
    </row>
    <row r="1819" spans="1:12">
      <c r="A1819" t="s">
        <v>2557</v>
      </c>
      <c r="B1819" s="1">
        <v>46226</v>
      </c>
      <c r="C1819" t="s">
        <v>1213</v>
      </c>
      <c r="D1819" t="s">
        <v>78</v>
      </c>
      <c r="E1819" t="s">
        <v>14</v>
      </c>
      <c r="F1819">
        <v>3</v>
      </c>
      <c r="G1819">
        <v>1999</v>
      </c>
      <c r="H1819">
        <v>0.05</v>
      </c>
      <c r="I1819" t="s">
        <v>50</v>
      </c>
      <c r="J1819" t="s">
        <v>16</v>
      </c>
      <c r="K1819" t="s">
        <v>37</v>
      </c>
      <c r="L1819">
        <f>F1818*G1818*(1-H1818)</f>
        <v>2499</v>
      </c>
    </row>
    <row r="1820" spans="1:12">
      <c r="A1820" t="s">
        <v>2558</v>
      </c>
      <c r="B1820" s="1">
        <v>46245</v>
      </c>
      <c r="C1820" t="s">
        <v>2559</v>
      </c>
      <c r="D1820" t="s">
        <v>59</v>
      </c>
      <c r="E1820" t="s">
        <v>40</v>
      </c>
      <c r="F1820">
        <v>1</v>
      </c>
      <c r="G1820">
        <v>1299</v>
      </c>
      <c r="H1820">
        <v>0</v>
      </c>
      <c r="I1820" t="s">
        <v>44</v>
      </c>
      <c r="J1820" t="s">
        <v>28</v>
      </c>
      <c r="K1820" t="s">
        <v>17</v>
      </c>
      <c r="L1820">
        <f>F1819*G1819*(1-H1819)</f>
        <v>5697.15</v>
      </c>
    </row>
    <row r="1821" spans="1:12">
      <c r="A1821" t="s">
        <v>2560</v>
      </c>
      <c r="B1821" s="1">
        <v>46143</v>
      </c>
      <c r="C1821" t="s">
        <v>564</v>
      </c>
      <c r="D1821" t="s">
        <v>13</v>
      </c>
      <c r="E1821" t="s">
        <v>35</v>
      </c>
      <c r="F1821">
        <v>3</v>
      </c>
      <c r="G1821">
        <v>2499</v>
      </c>
      <c r="H1821">
        <v>0.15</v>
      </c>
      <c r="I1821" t="s">
        <v>47</v>
      </c>
      <c r="J1821" t="s">
        <v>16</v>
      </c>
      <c r="K1821" t="s">
        <v>17</v>
      </c>
      <c r="L1821">
        <f>F1820*G1820*(1-H1820)</f>
        <v>1299</v>
      </c>
    </row>
    <row r="1822" spans="1:12">
      <c r="A1822" t="s">
        <v>2561</v>
      </c>
      <c r="B1822" s="1">
        <v>46255</v>
      </c>
      <c r="C1822" t="s">
        <v>2562</v>
      </c>
      <c r="D1822" t="s">
        <v>71</v>
      </c>
      <c r="E1822" t="s">
        <v>14</v>
      </c>
      <c r="F1822">
        <v>2</v>
      </c>
      <c r="G1822">
        <v>4999</v>
      </c>
      <c r="H1822">
        <v>0</v>
      </c>
      <c r="I1822" t="s">
        <v>32</v>
      </c>
      <c r="J1822" t="s">
        <v>22</v>
      </c>
      <c r="K1822" t="s">
        <v>23</v>
      </c>
      <c r="L1822">
        <f>F1821*G1821*(1-H1821)</f>
        <v>6372.45</v>
      </c>
    </row>
    <row r="1823" spans="1:12">
      <c r="A1823" t="s">
        <v>2563</v>
      </c>
      <c r="B1823" s="1">
        <v>46039</v>
      </c>
      <c r="C1823" t="s">
        <v>1728</v>
      </c>
      <c r="D1823" t="s">
        <v>43</v>
      </c>
      <c r="E1823" t="s">
        <v>21</v>
      </c>
      <c r="F1823">
        <v>4</v>
      </c>
      <c r="G1823">
        <v>999</v>
      </c>
      <c r="H1823">
        <v>0.1</v>
      </c>
      <c r="I1823" t="s">
        <v>32</v>
      </c>
      <c r="J1823" t="s">
        <v>36</v>
      </c>
      <c r="K1823" t="s">
        <v>17</v>
      </c>
      <c r="L1823">
        <f>F1822*G1822*(1-H1822)</f>
        <v>9998</v>
      </c>
    </row>
    <row r="1824" spans="1:12">
      <c r="A1824" t="s">
        <v>2564</v>
      </c>
      <c r="B1824" s="1">
        <v>46170</v>
      </c>
      <c r="C1824" t="s">
        <v>275</v>
      </c>
      <c r="D1824" t="s">
        <v>62</v>
      </c>
      <c r="E1824" t="s">
        <v>40</v>
      </c>
      <c r="F1824">
        <v>4</v>
      </c>
      <c r="G1824">
        <v>1499</v>
      </c>
      <c r="H1824">
        <v>0.1</v>
      </c>
      <c r="I1824" t="s">
        <v>32</v>
      </c>
      <c r="J1824" t="s">
        <v>51</v>
      </c>
      <c r="K1824" t="s">
        <v>17</v>
      </c>
      <c r="L1824">
        <f>F1823*G1823*(1-H1823)</f>
        <v>3596.4</v>
      </c>
    </row>
    <row r="1825" spans="1:12">
      <c r="A1825" t="s">
        <v>2565</v>
      </c>
      <c r="B1825" s="1">
        <v>46223</v>
      </c>
      <c r="C1825" t="s">
        <v>1895</v>
      </c>
      <c r="D1825" t="s">
        <v>62</v>
      </c>
      <c r="E1825" t="s">
        <v>21</v>
      </c>
      <c r="F1825">
        <v>1</v>
      </c>
      <c r="G1825">
        <v>599</v>
      </c>
      <c r="H1825">
        <v>0.05</v>
      </c>
      <c r="I1825" t="s">
        <v>50</v>
      </c>
      <c r="J1825" t="s">
        <v>51</v>
      </c>
      <c r="K1825" t="s">
        <v>17</v>
      </c>
      <c r="L1825">
        <f>F1824*G1824*(1-H1824)</f>
        <v>5396.4000000000005</v>
      </c>
    </row>
    <row r="1826" spans="1:12">
      <c r="A1826" t="s">
        <v>2566</v>
      </c>
      <c r="B1826" s="1">
        <v>46294</v>
      </c>
      <c r="C1826" t="s">
        <v>908</v>
      </c>
      <c r="D1826" t="s">
        <v>26</v>
      </c>
      <c r="E1826" t="s">
        <v>27</v>
      </c>
      <c r="F1826">
        <v>2</v>
      </c>
      <c r="G1826">
        <v>999</v>
      </c>
      <c r="H1826">
        <v>0.15</v>
      </c>
      <c r="I1826" t="s">
        <v>50</v>
      </c>
      <c r="J1826" t="s">
        <v>16</v>
      </c>
      <c r="K1826" t="s">
        <v>17</v>
      </c>
      <c r="L1826">
        <f>F1825*G1825*(1-H1825)</f>
        <v>569.04999999999995</v>
      </c>
    </row>
    <row r="1827" spans="1:12">
      <c r="A1827" t="s">
        <v>2567</v>
      </c>
      <c r="B1827" s="1">
        <v>46031</v>
      </c>
      <c r="C1827" t="s">
        <v>2295</v>
      </c>
      <c r="D1827" t="s">
        <v>71</v>
      </c>
      <c r="E1827" t="s">
        <v>14</v>
      </c>
      <c r="F1827">
        <v>2</v>
      </c>
      <c r="G1827">
        <v>599</v>
      </c>
      <c r="H1827">
        <v>0.15</v>
      </c>
      <c r="I1827" t="s">
        <v>15</v>
      </c>
      <c r="J1827" t="s">
        <v>36</v>
      </c>
      <c r="K1827" t="s">
        <v>23</v>
      </c>
      <c r="L1827">
        <f>F1826*G1826*(1-H1826)</f>
        <v>1698.3</v>
      </c>
    </row>
    <row r="1828" spans="1:12">
      <c r="A1828" t="s">
        <v>2568</v>
      </c>
      <c r="B1828" s="1">
        <v>46189</v>
      </c>
      <c r="C1828" t="s">
        <v>259</v>
      </c>
      <c r="D1828" t="s">
        <v>13</v>
      </c>
      <c r="E1828" t="s">
        <v>40</v>
      </c>
      <c r="F1828">
        <v>1</v>
      </c>
      <c r="G1828">
        <v>4999</v>
      </c>
      <c r="H1828">
        <v>0.15</v>
      </c>
      <c r="I1828" t="s">
        <v>47</v>
      </c>
      <c r="J1828" t="s">
        <v>22</v>
      </c>
      <c r="K1828" t="s">
        <v>17</v>
      </c>
      <c r="L1828">
        <f>F1827*G1827*(1-H1827)</f>
        <v>1018.3</v>
      </c>
    </row>
    <row r="1829" spans="1:12">
      <c r="A1829" t="s">
        <v>2569</v>
      </c>
      <c r="B1829" s="1">
        <v>46277</v>
      </c>
      <c r="C1829" t="s">
        <v>530</v>
      </c>
      <c r="D1829" t="s">
        <v>26</v>
      </c>
      <c r="E1829" t="s">
        <v>14</v>
      </c>
      <c r="F1829">
        <v>4</v>
      </c>
      <c r="G1829">
        <v>1999</v>
      </c>
      <c r="H1829">
        <v>0</v>
      </c>
      <c r="I1829" t="s">
        <v>32</v>
      </c>
      <c r="J1829" t="s">
        <v>51</v>
      </c>
      <c r="K1829" t="s">
        <v>37</v>
      </c>
      <c r="L1829">
        <f>F1828*G1828*(1-H1828)</f>
        <v>4249.1499999999996</v>
      </c>
    </row>
    <row r="1830" spans="1:12">
      <c r="A1830" t="s">
        <v>2570</v>
      </c>
      <c r="B1830" s="1">
        <v>46130</v>
      </c>
      <c r="C1830" t="s">
        <v>2571</v>
      </c>
      <c r="D1830" t="s">
        <v>13</v>
      </c>
      <c r="E1830" t="s">
        <v>21</v>
      </c>
      <c r="F1830">
        <v>1</v>
      </c>
      <c r="G1830">
        <v>1999</v>
      </c>
      <c r="H1830">
        <v>0.15</v>
      </c>
      <c r="I1830" t="s">
        <v>44</v>
      </c>
      <c r="J1830" t="s">
        <v>16</v>
      </c>
      <c r="K1830" t="s">
        <v>37</v>
      </c>
      <c r="L1830">
        <f>F1829*G1829*(1-H1829)</f>
        <v>7996</v>
      </c>
    </row>
    <row r="1831" spans="1:12">
      <c r="A1831" t="s">
        <v>2572</v>
      </c>
      <c r="B1831" s="1">
        <v>46232</v>
      </c>
      <c r="C1831" t="s">
        <v>1359</v>
      </c>
      <c r="D1831" t="s">
        <v>43</v>
      </c>
      <c r="E1831" t="s">
        <v>35</v>
      </c>
      <c r="F1831">
        <v>3</v>
      </c>
      <c r="G1831">
        <v>799</v>
      </c>
      <c r="H1831">
        <v>0.05</v>
      </c>
      <c r="I1831" t="s">
        <v>32</v>
      </c>
      <c r="J1831" t="s">
        <v>16</v>
      </c>
      <c r="K1831" t="s">
        <v>17</v>
      </c>
      <c r="L1831">
        <f>F1830*G1830*(1-H1830)</f>
        <v>1699.1499999999999</v>
      </c>
    </row>
    <row r="1832" spans="1:12">
      <c r="A1832" t="s">
        <v>2573</v>
      </c>
      <c r="B1832" s="1">
        <v>46282</v>
      </c>
      <c r="C1832" t="s">
        <v>318</v>
      </c>
      <c r="D1832" t="s">
        <v>78</v>
      </c>
      <c r="E1832" t="s">
        <v>35</v>
      </c>
      <c r="F1832">
        <v>4</v>
      </c>
      <c r="G1832">
        <v>1999</v>
      </c>
      <c r="H1832">
        <v>0</v>
      </c>
      <c r="I1832" t="s">
        <v>47</v>
      </c>
      <c r="J1832" t="s">
        <v>16</v>
      </c>
      <c r="K1832" t="s">
        <v>23</v>
      </c>
      <c r="L1832">
        <f>F1831*G1831*(1-H1831)</f>
        <v>2277.15</v>
      </c>
    </row>
    <row r="1833" spans="1:12">
      <c r="A1833" t="s">
        <v>2574</v>
      </c>
      <c r="B1833" s="1">
        <v>46219</v>
      </c>
      <c r="C1833" t="s">
        <v>205</v>
      </c>
      <c r="D1833" t="s">
        <v>26</v>
      </c>
      <c r="E1833" t="s">
        <v>14</v>
      </c>
      <c r="F1833">
        <v>2</v>
      </c>
      <c r="G1833">
        <v>2499</v>
      </c>
      <c r="H1833">
        <v>0</v>
      </c>
      <c r="I1833" t="s">
        <v>47</v>
      </c>
      <c r="J1833" t="s">
        <v>22</v>
      </c>
      <c r="K1833" t="s">
        <v>17</v>
      </c>
      <c r="L1833">
        <f>F1832*G1832*(1-H1832)</f>
        <v>7996</v>
      </c>
    </row>
    <row r="1834" spans="1:12">
      <c r="A1834" t="s">
        <v>2575</v>
      </c>
      <c r="B1834" s="1">
        <v>46072</v>
      </c>
      <c r="C1834" t="s">
        <v>2576</v>
      </c>
      <c r="D1834" t="s">
        <v>43</v>
      </c>
      <c r="E1834" t="s">
        <v>35</v>
      </c>
      <c r="F1834">
        <v>1</v>
      </c>
      <c r="G1834">
        <v>599</v>
      </c>
      <c r="H1834">
        <v>0.15</v>
      </c>
      <c r="I1834" t="s">
        <v>32</v>
      </c>
      <c r="J1834" t="s">
        <v>16</v>
      </c>
      <c r="K1834" t="s">
        <v>37</v>
      </c>
      <c r="L1834">
        <f>F1833*G1833*(1-H1833)</f>
        <v>4998</v>
      </c>
    </row>
    <row r="1835" spans="1:12">
      <c r="A1835" t="s">
        <v>2577</v>
      </c>
      <c r="B1835" s="1">
        <v>46283</v>
      </c>
      <c r="C1835" t="s">
        <v>606</v>
      </c>
      <c r="D1835" t="s">
        <v>56</v>
      </c>
      <c r="E1835" t="s">
        <v>21</v>
      </c>
      <c r="F1835">
        <v>5</v>
      </c>
      <c r="G1835">
        <v>4999</v>
      </c>
      <c r="H1835">
        <v>0.15</v>
      </c>
      <c r="I1835" t="s">
        <v>32</v>
      </c>
      <c r="J1835" t="s">
        <v>51</v>
      </c>
      <c r="K1835" t="s">
        <v>23</v>
      </c>
      <c r="L1835">
        <f>F1834*G1834*(1-H1834)</f>
        <v>509.15</v>
      </c>
    </row>
    <row r="1836" spans="1:12">
      <c r="A1836" t="s">
        <v>2578</v>
      </c>
      <c r="B1836" s="1">
        <v>46252</v>
      </c>
      <c r="C1836" t="s">
        <v>2579</v>
      </c>
      <c r="D1836" t="s">
        <v>59</v>
      </c>
      <c r="E1836" t="s">
        <v>14</v>
      </c>
      <c r="F1836">
        <v>4</v>
      </c>
      <c r="G1836">
        <v>1499</v>
      </c>
      <c r="H1836">
        <v>0</v>
      </c>
      <c r="I1836" t="s">
        <v>44</v>
      </c>
      <c r="J1836" t="s">
        <v>28</v>
      </c>
      <c r="K1836" t="s">
        <v>17</v>
      </c>
      <c r="L1836">
        <f>F1835*G1835*(1-H1835)</f>
        <v>21245.75</v>
      </c>
    </row>
    <row r="1837" spans="1:12">
      <c r="A1837" t="s">
        <v>2580</v>
      </c>
      <c r="B1837" s="1">
        <v>46151</v>
      </c>
      <c r="C1837" t="s">
        <v>1038</v>
      </c>
      <c r="D1837" t="s">
        <v>71</v>
      </c>
      <c r="E1837" t="s">
        <v>21</v>
      </c>
      <c r="F1837">
        <v>4</v>
      </c>
      <c r="G1837">
        <v>2499</v>
      </c>
      <c r="H1837">
        <v>0.15</v>
      </c>
      <c r="I1837" t="s">
        <v>44</v>
      </c>
      <c r="J1837" t="s">
        <v>28</v>
      </c>
      <c r="K1837" t="s">
        <v>17</v>
      </c>
      <c r="L1837">
        <f>F1836*G1836*(1-H1836)</f>
        <v>5996</v>
      </c>
    </row>
    <row r="1838" spans="1:12">
      <c r="A1838" t="s">
        <v>2581</v>
      </c>
      <c r="B1838" s="1">
        <v>46163</v>
      </c>
      <c r="C1838" t="s">
        <v>1621</v>
      </c>
      <c r="D1838" t="s">
        <v>26</v>
      </c>
      <c r="E1838" t="s">
        <v>21</v>
      </c>
      <c r="F1838">
        <v>2</v>
      </c>
      <c r="G1838">
        <v>4999</v>
      </c>
      <c r="H1838">
        <v>0.15</v>
      </c>
      <c r="I1838" t="s">
        <v>15</v>
      </c>
      <c r="J1838" t="s">
        <v>16</v>
      </c>
      <c r="K1838" t="s">
        <v>23</v>
      </c>
      <c r="L1838">
        <f>F1837*G1837*(1-H1837)</f>
        <v>8496.6</v>
      </c>
    </row>
    <row r="1839" spans="1:12">
      <c r="A1839" t="s">
        <v>2582</v>
      </c>
      <c r="B1839" s="1">
        <v>46180</v>
      </c>
      <c r="C1839" t="s">
        <v>1009</v>
      </c>
      <c r="D1839" t="s">
        <v>56</v>
      </c>
      <c r="E1839" t="s">
        <v>14</v>
      </c>
      <c r="F1839">
        <v>3</v>
      </c>
      <c r="G1839">
        <v>2499</v>
      </c>
      <c r="H1839">
        <v>0.1</v>
      </c>
      <c r="I1839" t="s">
        <v>32</v>
      </c>
      <c r="J1839" t="s">
        <v>22</v>
      </c>
      <c r="K1839" t="s">
        <v>17</v>
      </c>
      <c r="L1839">
        <f>F1838*G1838*(1-H1838)</f>
        <v>8498.2999999999993</v>
      </c>
    </row>
    <row r="1840" spans="1:12">
      <c r="A1840" t="s">
        <v>2583</v>
      </c>
      <c r="B1840" s="1">
        <v>46137</v>
      </c>
      <c r="C1840" t="s">
        <v>2584</v>
      </c>
      <c r="D1840" t="s">
        <v>71</v>
      </c>
      <c r="E1840" t="s">
        <v>14</v>
      </c>
      <c r="F1840">
        <v>2</v>
      </c>
      <c r="G1840">
        <v>1999</v>
      </c>
      <c r="H1840">
        <v>0.1</v>
      </c>
      <c r="I1840" t="s">
        <v>15</v>
      </c>
      <c r="J1840" t="s">
        <v>28</v>
      </c>
      <c r="K1840" t="s">
        <v>17</v>
      </c>
      <c r="L1840">
        <f>F1839*G1839*(1-H1839)</f>
        <v>6747.3</v>
      </c>
    </row>
    <row r="1841" spans="1:12">
      <c r="A1841" t="s">
        <v>2585</v>
      </c>
      <c r="B1841" s="1">
        <v>46159</v>
      </c>
      <c r="C1841" t="s">
        <v>783</v>
      </c>
      <c r="D1841" t="s">
        <v>43</v>
      </c>
      <c r="E1841" t="s">
        <v>35</v>
      </c>
      <c r="F1841">
        <v>3</v>
      </c>
      <c r="G1841">
        <v>499</v>
      </c>
      <c r="H1841">
        <v>0.05</v>
      </c>
      <c r="I1841" t="s">
        <v>47</v>
      </c>
      <c r="J1841" t="s">
        <v>36</v>
      </c>
      <c r="K1841" t="s">
        <v>23</v>
      </c>
      <c r="L1841">
        <f>F1840*G1840*(1-H1840)</f>
        <v>3598.2000000000003</v>
      </c>
    </row>
    <row r="1842" spans="1:12">
      <c r="A1842" t="s">
        <v>2586</v>
      </c>
      <c r="B1842" s="1">
        <v>46084</v>
      </c>
      <c r="C1842" t="s">
        <v>1036</v>
      </c>
      <c r="D1842" t="s">
        <v>71</v>
      </c>
      <c r="E1842" t="s">
        <v>21</v>
      </c>
      <c r="F1842">
        <v>2</v>
      </c>
      <c r="G1842">
        <v>4999</v>
      </c>
      <c r="H1842">
        <v>0.05</v>
      </c>
      <c r="I1842" t="s">
        <v>32</v>
      </c>
      <c r="J1842" t="s">
        <v>51</v>
      </c>
      <c r="K1842" t="s">
        <v>17</v>
      </c>
      <c r="L1842">
        <f>F1841*G1841*(1-H1841)</f>
        <v>1422.1499999999999</v>
      </c>
    </row>
    <row r="1843" spans="1:12">
      <c r="A1843" t="s">
        <v>2587</v>
      </c>
      <c r="B1843" s="1">
        <v>46100</v>
      </c>
      <c r="C1843" t="s">
        <v>423</v>
      </c>
      <c r="D1843" t="s">
        <v>13</v>
      </c>
      <c r="E1843" t="s">
        <v>14</v>
      </c>
      <c r="F1843">
        <v>1</v>
      </c>
      <c r="G1843">
        <v>999</v>
      </c>
      <c r="H1843">
        <v>0.1</v>
      </c>
      <c r="I1843" t="s">
        <v>47</v>
      </c>
      <c r="J1843" t="s">
        <v>22</v>
      </c>
      <c r="K1843" t="s">
        <v>17</v>
      </c>
      <c r="L1843">
        <f>F1842*G1842*(1-H1842)</f>
        <v>9498.1</v>
      </c>
    </row>
    <row r="1844" spans="1:12">
      <c r="A1844" t="s">
        <v>2588</v>
      </c>
      <c r="B1844" s="1">
        <v>46280</v>
      </c>
      <c r="C1844" t="s">
        <v>1559</v>
      </c>
      <c r="D1844" t="s">
        <v>71</v>
      </c>
      <c r="E1844" t="s">
        <v>35</v>
      </c>
      <c r="F1844">
        <v>2</v>
      </c>
      <c r="G1844">
        <v>2499</v>
      </c>
      <c r="H1844">
        <v>0.1</v>
      </c>
      <c r="I1844" t="s">
        <v>50</v>
      </c>
      <c r="J1844" t="s">
        <v>51</v>
      </c>
      <c r="K1844" t="s">
        <v>17</v>
      </c>
      <c r="L1844">
        <f>F1843*G1843*(1-H1843)</f>
        <v>899.1</v>
      </c>
    </row>
    <row r="1845" spans="1:12">
      <c r="A1845" t="s">
        <v>2589</v>
      </c>
      <c r="B1845" s="1">
        <v>46287</v>
      </c>
      <c r="C1845" t="s">
        <v>1165</v>
      </c>
      <c r="D1845" t="s">
        <v>78</v>
      </c>
      <c r="E1845" t="s">
        <v>27</v>
      </c>
      <c r="F1845">
        <v>3</v>
      </c>
      <c r="G1845">
        <v>799</v>
      </c>
      <c r="H1845">
        <v>0</v>
      </c>
      <c r="I1845" t="s">
        <v>50</v>
      </c>
      <c r="J1845" t="s">
        <v>36</v>
      </c>
      <c r="K1845" t="s">
        <v>17</v>
      </c>
      <c r="L1845">
        <f>F1844*G1844*(1-H1844)</f>
        <v>4498.2</v>
      </c>
    </row>
    <row r="1846" spans="1:12">
      <c r="A1846" t="s">
        <v>2590</v>
      </c>
      <c r="B1846" s="1">
        <v>46110</v>
      </c>
      <c r="C1846" t="s">
        <v>215</v>
      </c>
      <c r="D1846" t="s">
        <v>26</v>
      </c>
      <c r="E1846" t="s">
        <v>40</v>
      </c>
      <c r="F1846">
        <v>2</v>
      </c>
      <c r="G1846">
        <v>7999</v>
      </c>
      <c r="H1846">
        <v>0.15</v>
      </c>
      <c r="I1846" t="s">
        <v>15</v>
      </c>
      <c r="J1846" t="s">
        <v>28</v>
      </c>
      <c r="K1846" t="s">
        <v>37</v>
      </c>
      <c r="L1846">
        <f>F1845*G1845*(1-H1845)</f>
        <v>2397</v>
      </c>
    </row>
    <row r="1847" spans="1:12">
      <c r="A1847" t="s">
        <v>2591</v>
      </c>
      <c r="B1847" s="1">
        <v>46135</v>
      </c>
      <c r="C1847" t="s">
        <v>805</v>
      </c>
      <c r="D1847" t="s">
        <v>20</v>
      </c>
      <c r="E1847" t="s">
        <v>35</v>
      </c>
      <c r="F1847">
        <v>3</v>
      </c>
      <c r="G1847">
        <v>2499</v>
      </c>
      <c r="H1847">
        <v>0</v>
      </c>
      <c r="I1847" t="s">
        <v>15</v>
      </c>
      <c r="J1847" t="s">
        <v>28</v>
      </c>
      <c r="K1847" t="s">
        <v>17</v>
      </c>
      <c r="L1847">
        <f>F1846*G1846*(1-H1846)</f>
        <v>13598.3</v>
      </c>
    </row>
    <row r="1848" spans="1:12">
      <c r="A1848" t="s">
        <v>2592</v>
      </c>
      <c r="B1848" s="1">
        <v>46166</v>
      </c>
      <c r="C1848" t="s">
        <v>366</v>
      </c>
      <c r="D1848" t="s">
        <v>59</v>
      </c>
      <c r="E1848" t="s">
        <v>35</v>
      </c>
      <c r="F1848">
        <v>2</v>
      </c>
      <c r="G1848">
        <v>499</v>
      </c>
      <c r="H1848">
        <v>0.05</v>
      </c>
      <c r="I1848" t="s">
        <v>15</v>
      </c>
      <c r="J1848" t="s">
        <v>22</v>
      </c>
      <c r="K1848" t="s">
        <v>17</v>
      </c>
      <c r="L1848">
        <f>F1847*G1847*(1-H1847)</f>
        <v>7497</v>
      </c>
    </row>
    <row r="1849" spans="1:12">
      <c r="A1849" t="s">
        <v>2593</v>
      </c>
      <c r="B1849" s="1">
        <v>46024</v>
      </c>
      <c r="C1849" t="s">
        <v>539</v>
      </c>
      <c r="D1849" t="s">
        <v>71</v>
      </c>
      <c r="E1849" t="s">
        <v>14</v>
      </c>
      <c r="F1849">
        <v>2</v>
      </c>
      <c r="G1849">
        <v>4999</v>
      </c>
      <c r="H1849">
        <v>0</v>
      </c>
      <c r="I1849" t="s">
        <v>47</v>
      </c>
      <c r="J1849" t="s">
        <v>51</v>
      </c>
      <c r="K1849" t="s">
        <v>17</v>
      </c>
      <c r="L1849">
        <f>F1848*G1848*(1-H1848)</f>
        <v>948.09999999999991</v>
      </c>
    </row>
    <row r="1850" spans="1:12">
      <c r="A1850" t="s">
        <v>2594</v>
      </c>
      <c r="B1850" s="1">
        <v>46175</v>
      </c>
      <c r="C1850" t="s">
        <v>1649</v>
      </c>
      <c r="D1850" t="s">
        <v>43</v>
      </c>
      <c r="E1850" t="s">
        <v>40</v>
      </c>
      <c r="F1850">
        <v>2</v>
      </c>
      <c r="G1850">
        <v>499</v>
      </c>
      <c r="H1850">
        <v>0</v>
      </c>
      <c r="I1850" t="s">
        <v>47</v>
      </c>
      <c r="J1850" t="s">
        <v>28</v>
      </c>
      <c r="K1850" t="s">
        <v>17</v>
      </c>
      <c r="L1850">
        <f>F1849*G1849*(1-H1849)</f>
        <v>9998</v>
      </c>
    </row>
    <row r="1851" spans="1:12">
      <c r="A1851" t="s">
        <v>2595</v>
      </c>
      <c r="B1851" s="1">
        <v>46054</v>
      </c>
      <c r="C1851" t="s">
        <v>174</v>
      </c>
      <c r="D1851" t="s">
        <v>56</v>
      </c>
      <c r="E1851" t="s">
        <v>27</v>
      </c>
      <c r="F1851">
        <v>1</v>
      </c>
      <c r="G1851">
        <v>4999</v>
      </c>
      <c r="H1851">
        <v>0.05</v>
      </c>
      <c r="I1851" t="s">
        <v>32</v>
      </c>
      <c r="J1851" t="s">
        <v>28</v>
      </c>
      <c r="K1851" t="s">
        <v>23</v>
      </c>
      <c r="L1851">
        <f>F1850*G1850*(1-H1850)</f>
        <v>998</v>
      </c>
    </row>
    <row r="1852" spans="1:12">
      <c r="A1852" t="s">
        <v>2596</v>
      </c>
      <c r="B1852" s="1">
        <v>46064</v>
      </c>
      <c r="C1852" t="s">
        <v>2066</v>
      </c>
      <c r="D1852" t="s">
        <v>43</v>
      </c>
      <c r="E1852" t="s">
        <v>14</v>
      </c>
      <c r="F1852">
        <v>1</v>
      </c>
      <c r="G1852">
        <v>499</v>
      </c>
      <c r="H1852">
        <v>0</v>
      </c>
      <c r="I1852" t="s">
        <v>47</v>
      </c>
      <c r="J1852" t="s">
        <v>16</v>
      </c>
      <c r="K1852" t="s">
        <v>23</v>
      </c>
      <c r="L1852">
        <f>F1851*G1851*(1-H1851)</f>
        <v>4749.05</v>
      </c>
    </row>
    <row r="1853" spans="1:12">
      <c r="A1853" t="s">
        <v>2597</v>
      </c>
      <c r="B1853" s="1">
        <v>46211</v>
      </c>
      <c r="C1853" t="s">
        <v>2598</v>
      </c>
      <c r="D1853" t="s">
        <v>31</v>
      </c>
      <c r="E1853" t="s">
        <v>14</v>
      </c>
      <c r="F1853">
        <v>2</v>
      </c>
      <c r="G1853">
        <v>7999</v>
      </c>
      <c r="H1853">
        <v>0.15</v>
      </c>
      <c r="I1853" t="s">
        <v>50</v>
      </c>
      <c r="J1853" t="s">
        <v>51</v>
      </c>
      <c r="K1853" t="s">
        <v>37</v>
      </c>
      <c r="L1853">
        <f>F1852*G1852*(1-H1852)</f>
        <v>499</v>
      </c>
    </row>
    <row r="1854" spans="1:12">
      <c r="A1854" t="s">
        <v>2599</v>
      </c>
      <c r="B1854" s="1">
        <v>46105</v>
      </c>
      <c r="C1854" t="s">
        <v>829</v>
      </c>
      <c r="D1854" t="s">
        <v>59</v>
      </c>
      <c r="E1854" t="s">
        <v>21</v>
      </c>
      <c r="F1854">
        <v>3</v>
      </c>
      <c r="G1854">
        <v>1299</v>
      </c>
      <c r="H1854">
        <v>0.1</v>
      </c>
      <c r="I1854" t="s">
        <v>50</v>
      </c>
      <c r="J1854" t="s">
        <v>16</v>
      </c>
      <c r="K1854" t="s">
        <v>23</v>
      </c>
      <c r="L1854">
        <f>F1853*G1853*(1-H1853)</f>
        <v>13598.3</v>
      </c>
    </row>
    <row r="1855" spans="1:12">
      <c r="A1855" t="s">
        <v>2600</v>
      </c>
      <c r="B1855" s="1">
        <v>46025</v>
      </c>
      <c r="C1855" t="s">
        <v>2601</v>
      </c>
      <c r="D1855" t="s">
        <v>31</v>
      </c>
      <c r="E1855" t="s">
        <v>35</v>
      </c>
      <c r="F1855">
        <v>5</v>
      </c>
      <c r="G1855">
        <v>599</v>
      </c>
      <c r="H1855">
        <v>0.1</v>
      </c>
      <c r="I1855" t="s">
        <v>47</v>
      </c>
      <c r="J1855" t="s">
        <v>28</v>
      </c>
      <c r="K1855" t="s">
        <v>17</v>
      </c>
      <c r="L1855">
        <f>F1854*G1854*(1-H1854)</f>
        <v>3507.3</v>
      </c>
    </row>
    <row r="1856" spans="1:12">
      <c r="A1856" t="s">
        <v>2602</v>
      </c>
      <c r="B1856" s="1">
        <v>46162</v>
      </c>
      <c r="C1856" t="s">
        <v>2603</v>
      </c>
      <c r="D1856" t="s">
        <v>78</v>
      </c>
      <c r="E1856" t="s">
        <v>40</v>
      </c>
      <c r="F1856">
        <v>5</v>
      </c>
      <c r="G1856">
        <v>799</v>
      </c>
      <c r="H1856">
        <v>0</v>
      </c>
      <c r="I1856" t="s">
        <v>15</v>
      </c>
      <c r="J1856" t="s">
        <v>16</v>
      </c>
      <c r="K1856" t="s">
        <v>17</v>
      </c>
      <c r="L1856">
        <f>F1855*G1855*(1-H1855)</f>
        <v>2695.5</v>
      </c>
    </row>
    <row r="1857" spans="1:12">
      <c r="A1857" t="s">
        <v>2604</v>
      </c>
      <c r="B1857" s="1">
        <v>46125</v>
      </c>
      <c r="C1857" t="s">
        <v>961</v>
      </c>
      <c r="D1857" t="s">
        <v>62</v>
      </c>
      <c r="E1857" t="s">
        <v>40</v>
      </c>
      <c r="F1857">
        <v>5</v>
      </c>
      <c r="G1857">
        <v>1499</v>
      </c>
      <c r="H1857">
        <v>0.1</v>
      </c>
      <c r="I1857" t="s">
        <v>15</v>
      </c>
      <c r="J1857" t="s">
        <v>16</v>
      </c>
      <c r="K1857" t="s">
        <v>37</v>
      </c>
      <c r="L1857">
        <f>F1856*G1856*(1-H1856)</f>
        <v>3995</v>
      </c>
    </row>
    <row r="1858" spans="1:12">
      <c r="A1858" t="s">
        <v>2605</v>
      </c>
      <c r="B1858" s="1">
        <v>46187</v>
      </c>
      <c r="C1858" t="s">
        <v>1416</v>
      </c>
      <c r="D1858" t="s">
        <v>20</v>
      </c>
      <c r="E1858" t="s">
        <v>14</v>
      </c>
      <c r="F1858">
        <v>5</v>
      </c>
      <c r="G1858">
        <v>7999</v>
      </c>
      <c r="H1858">
        <v>0.1</v>
      </c>
      <c r="I1858" t="s">
        <v>15</v>
      </c>
      <c r="J1858" t="s">
        <v>22</v>
      </c>
      <c r="K1858" t="s">
        <v>17</v>
      </c>
      <c r="L1858">
        <f>F1857*G1857*(1-H1857)</f>
        <v>6745.5</v>
      </c>
    </row>
    <row r="1859" spans="1:12">
      <c r="A1859" t="s">
        <v>2606</v>
      </c>
      <c r="B1859" s="1">
        <v>46211</v>
      </c>
      <c r="C1859" t="s">
        <v>203</v>
      </c>
      <c r="D1859" t="s">
        <v>62</v>
      </c>
      <c r="E1859" t="s">
        <v>40</v>
      </c>
      <c r="F1859">
        <v>2</v>
      </c>
      <c r="G1859">
        <v>499</v>
      </c>
      <c r="H1859">
        <v>0.1</v>
      </c>
      <c r="I1859" t="s">
        <v>47</v>
      </c>
      <c r="J1859" t="s">
        <v>36</v>
      </c>
      <c r="K1859" t="s">
        <v>17</v>
      </c>
      <c r="L1859">
        <f>F1858*G1858*(1-H1858)</f>
        <v>35995.5</v>
      </c>
    </row>
    <row r="1860" spans="1:12">
      <c r="A1860" t="s">
        <v>2607</v>
      </c>
      <c r="B1860" s="1">
        <v>46198</v>
      </c>
      <c r="C1860" t="s">
        <v>369</v>
      </c>
      <c r="D1860" t="s">
        <v>59</v>
      </c>
      <c r="E1860" t="s">
        <v>35</v>
      </c>
      <c r="F1860">
        <v>5</v>
      </c>
      <c r="G1860">
        <v>599</v>
      </c>
      <c r="H1860">
        <v>0</v>
      </c>
      <c r="I1860" t="s">
        <v>15</v>
      </c>
      <c r="J1860" t="s">
        <v>51</v>
      </c>
      <c r="K1860" t="s">
        <v>17</v>
      </c>
      <c r="L1860">
        <f>F1859*G1859*(1-H1859)</f>
        <v>898.2</v>
      </c>
    </row>
    <row r="1861" spans="1:12">
      <c r="A1861" t="s">
        <v>2608</v>
      </c>
      <c r="B1861" s="1">
        <v>46125</v>
      </c>
      <c r="C1861" t="s">
        <v>1225</v>
      </c>
      <c r="D1861" t="s">
        <v>31</v>
      </c>
      <c r="E1861" t="s">
        <v>14</v>
      </c>
      <c r="F1861">
        <v>4</v>
      </c>
      <c r="G1861">
        <v>599</v>
      </c>
      <c r="H1861">
        <v>0.1</v>
      </c>
      <c r="I1861" t="s">
        <v>32</v>
      </c>
      <c r="J1861" t="s">
        <v>16</v>
      </c>
      <c r="K1861" t="s">
        <v>23</v>
      </c>
      <c r="L1861">
        <f>F1860*G1860*(1-H1860)</f>
        <v>2995</v>
      </c>
    </row>
    <row r="1862" spans="1:12">
      <c r="A1862" t="s">
        <v>2609</v>
      </c>
      <c r="B1862" s="1">
        <v>46071</v>
      </c>
      <c r="C1862" t="s">
        <v>699</v>
      </c>
      <c r="D1862" t="s">
        <v>71</v>
      </c>
      <c r="E1862" t="s">
        <v>40</v>
      </c>
      <c r="F1862">
        <v>4</v>
      </c>
      <c r="G1862">
        <v>7999</v>
      </c>
      <c r="H1862">
        <v>0.05</v>
      </c>
      <c r="I1862" t="s">
        <v>44</v>
      </c>
      <c r="J1862" t="s">
        <v>36</v>
      </c>
      <c r="K1862" t="s">
        <v>17</v>
      </c>
      <c r="L1862">
        <f>F1861*G1861*(1-H1861)</f>
        <v>2156.4</v>
      </c>
    </row>
    <row r="1863" spans="1:12">
      <c r="A1863" t="s">
        <v>2610</v>
      </c>
      <c r="B1863" s="1">
        <v>46026</v>
      </c>
      <c r="C1863" t="s">
        <v>552</v>
      </c>
      <c r="D1863" t="s">
        <v>56</v>
      </c>
      <c r="E1863" t="s">
        <v>27</v>
      </c>
      <c r="F1863">
        <v>5</v>
      </c>
      <c r="G1863">
        <v>7999</v>
      </c>
      <c r="H1863">
        <v>0.05</v>
      </c>
      <c r="I1863" t="s">
        <v>47</v>
      </c>
      <c r="J1863" t="s">
        <v>51</v>
      </c>
      <c r="K1863" t="s">
        <v>17</v>
      </c>
      <c r="L1863">
        <f>F1862*G1862*(1-H1862)</f>
        <v>30396.199999999997</v>
      </c>
    </row>
    <row r="1864" spans="1:12">
      <c r="A1864" t="s">
        <v>2611</v>
      </c>
      <c r="B1864" s="1">
        <v>46197</v>
      </c>
      <c r="C1864" t="s">
        <v>2080</v>
      </c>
      <c r="D1864" t="s">
        <v>56</v>
      </c>
      <c r="E1864" t="s">
        <v>21</v>
      </c>
      <c r="F1864">
        <v>4</v>
      </c>
      <c r="G1864">
        <v>799</v>
      </c>
      <c r="H1864">
        <v>0.1</v>
      </c>
      <c r="I1864" t="s">
        <v>44</v>
      </c>
      <c r="J1864" t="s">
        <v>22</v>
      </c>
      <c r="K1864" t="s">
        <v>17</v>
      </c>
      <c r="L1864">
        <f>F1863*G1863*(1-H1863)</f>
        <v>37995.25</v>
      </c>
    </row>
    <row r="1865" spans="1:12">
      <c r="A1865" t="s">
        <v>2612</v>
      </c>
      <c r="B1865" s="1">
        <v>46285</v>
      </c>
      <c r="C1865" t="s">
        <v>956</v>
      </c>
      <c r="D1865" t="s">
        <v>78</v>
      </c>
      <c r="E1865" t="s">
        <v>14</v>
      </c>
      <c r="F1865">
        <v>4</v>
      </c>
      <c r="G1865">
        <v>799</v>
      </c>
      <c r="H1865">
        <v>0.1</v>
      </c>
      <c r="I1865" t="s">
        <v>32</v>
      </c>
      <c r="J1865" t="s">
        <v>16</v>
      </c>
      <c r="K1865" t="s">
        <v>37</v>
      </c>
      <c r="L1865">
        <f>F1864*G1864*(1-H1864)</f>
        <v>2876.4</v>
      </c>
    </row>
    <row r="1866" spans="1:12">
      <c r="A1866" t="s">
        <v>2613</v>
      </c>
      <c r="B1866" s="1">
        <v>46235</v>
      </c>
      <c r="C1866" t="s">
        <v>1165</v>
      </c>
      <c r="D1866" t="s">
        <v>13</v>
      </c>
      <c r="E1866" t="s">
        <v>35</v>
      </c>
      <c r="F1866">
        <v>5</v>
      </c>
      <c r="G1866">
        <v>4999</v>
      </c>
      <c r="H1866">
        <v>0.15</v>
      </c>
      <c r="I1866" t="s">
        <v>50</v>
      </c>
      <c r="J1866" t="s">
        <v>16</v>
      </c>
      <c r="K1866" t="s">
        <v>37</v>
      </c>
      <c r="L1866">
        <f>F1865*G1865*(1-H1865)</f>
        <v>2876.4</v>
      </c>
    </row>
    <row r="1867" spans="1:12">
      <c r="A1867" t="s">
        <v>2614</v>
      </c>
      <c r="B1867" s="1">
        <v>46142</v>
      </c>
      <c r="C1867" t="s">
        <v>174</v>
      </c>
      <c r="D1867" t="s">
        <v>71</v>
      </c>
      <c r="E1867" t="s">
        <v>14</v>
      </c>
      <c r="F1867">
        <v>5</v>
      </c>
      <c r="G1867">
        <v>999</v>
      </c>
      <c r="H1867">
        <v>0.15</v>
      </c>
      <c r="I1867" t="s">
        <v>44</v>
      </c>
      <c r="J1867" t="s">
        <v>22</v>
      </c>
      <c r="K1867" t="s">
        <v>17</v>
      </c>
      <c r="L1867">
        <f>F1866*G1866*(1-H1866)</f>
        <v>21245.75</v>
      </c>
    </row>
    <row r="1868" spans="1:12">
      <c r="A1868" t="s">
        <v>2615</v>
      </c>
      <c r="B1868" s="1">
        <v>46283</v>
      </c>
      <c r="C1868" t="s">
        <v>2463</v>
      </c>
      <c r="D1868" t="s">
        <v>13</v>
      </c>
      <c r="E1868" t="s">
        <v>40</v>
      </c>
      <c r="F1868">
        <v>3</v>
      </c>
      <c r="G1868">
        <v>2499</v>
      </c>
      <c r="H1868">
        <v>0</v>
      </c>
      <c r="I1868" t="s">
        <v>15</v>
      </c>
      <c r="J1868" t="s">
        <v>51</v>
      </c>
      <c r="K1868" t="s">
        <v>17</v>
      </c>
      <c r="L1868">
        <f>F1867*G1867*(1-H1867)</f>
        <v>4245.75</v>
      </c>
    </row>
    <row r="1869" spans="1:12">
      <c r="A1869" t="s">
        <v>2616</v>
      </c>
      <c r="B1869" s="1">
        <v>46128</v>
      </c>
      <c r="C1869" t="s">
        <v>1495</v>
      </c>
      <c r="D1869" t="s">
        <v>13</v>
      </c>
      <c r="E1869" t="s">
        <v>27</v>
      </c>
      <c r="F1869">
        <v>4</v>
      </c>
      <c r="G1869">
        <v>599</v>
      </c>
      <c r="H1869">
        <v>0.05</v>
      </c>
      <c r="I1869" t="s">
        <v>50</v>
      </c>
      <c r="J1869" t="s">
        <v>51</v>
      </c>
      <c r="K1869" t="s">
        <v>17</v>
      </c>
      <c r="L1869">
        <f>F1868*G1868*(1-H1868)</f>
        <v>7497</v>
      </c>
    </row>
    <row r="1870" spans="1:12">
      <c r="A1870" t="s">
        <v>2617</v>
      </c>
      <c r="B1870" s="1">
        <v>46292</v>
      </c>
      <c r="C1870" t="s">
        <v>646</v>
      </c>
      <c r="D1870" t="s">
        <v>13</v>
      </c>
      <c r="E1870" t="s">
        <v>40</v>
      </c>
      <c r="F1870">
        <v>4</v>
      </c>
      <c r="G1870">
        <v>599</v>
      </c>
      <c r="H1870">
        <v>0.1</v>
      </c>
      <c r="I1870" t="s">
        <v>15</v>
      </c>
      <c r="J1870" t="s">
        <v>36</v>
      </c>
      <c r="K1870" t="s">
        <v>17</v>
      </c>
      <c r="L1870">
        <f>F1869*G1869*(1-H1869)</f>
        <v>2276.1999999999998</v>
      </c>
    </row>
    <row r="1871" spans="1:12">
      <c r="A1871" t="s">
        <v>2618</v>
      </c>
      <c r="B1871" s="1">
        <v>46253</v>
      </c>
      <c r="C1871" t="s">
        <v>245</v>
      </c>
      <c r="D1871" t="s">
        <v>59</v>
      </c>
      <c r="E1871" t="s">
        <v>27</v>
      </c>
      <c r="F1871">
        <v>2</v>
      </c>
      <c r="G1871">
        <v>999</v>
      </c>
      <c r="H1871">
        <v>0.1</v>
      </c>
      <c r="I1871" t="s">
        <v>44</v>
      </c>
      <c r="J1871" t="s">
        <v>16</v>
      </c>
      <c r="K1871" t="s">
        <v>37</v>
      </c>
      <c r="L1871">
        <f>F1870*G1870*(1-H1870)</f>
        <v>2156.4</v>
      </c>
    </row>
    <row r="1872" spans="1:12">
      <c r="A1872" t="s">
        <v>2619</v>
      </c>
      <c r="B1872" s="1">
        <v>46189</v>
      </c>
      <c r="C1872" t="s">
        <v>1768</v>
      </c>
      <c r="D1872" t="s">
        <v>31</v>
      </c>
      <c r="E1872" t="s">
        <v>14</v>
      </c>
      <c r="F1872">
        <v>5</v>
      </c>
      <c r="G1872">
        <v>599</v>
      </c>
      <c r="H1872">
        <v>0.05</v>
      </c>
      <c r="I1872" t="s">
        <v>50</v>
      </c>
      <c r="J1872" t="s">
        <v>51</v>
      </c>
      <c r="K1872" t="s">
        <v>37</v>
      </c>
      <c r="L1872">
        <f>F1871*G1871*(1-H1871)</f>
        <v>1798.2</v>
      </c>
    </row>
    <row r="1873" spans="1:12">
      <c r="A1873" t="s">
        <v>2620</v>
      </c>
      <c r="B1873" s="1">
        <v>46099</v>
      </c>
      <c r="C1873" t="s">
        <v>55</v>
      </c>
      <c r="D1873" t="s">
        <v>78</v>
      </c>
      <c r="E1873" t="s">
        <v>14</v>
      </c>
      <c r="F1873">
        <v>5</v>
      </c>
      <c r="G1873">
        <v>799</v>
      </c>
      <c r="H1873">
        <v>0.05</v>
      </c>
      <c r="I1873" t="s">
        <v>32</v>
      </c>
      <c r="J1873" t="s">
        <v>28</v>
      </c>
      <c r="K1873" t="s">
        <v>17</v>
      </c>
      <c r="L1873">
        <f>F1872*G1872*(1-H1872)</f>
        <v>2845.25</v>
      </c>
    </row>
    <row r="1874" spans="1:12">
      <c r="A1874" t="s">
        <v>2621</v>
      </c>
      <c r="B1874" s="1">
        <v>46192</v>
      </c>
      <c r="C1874" t="s">
        <v>88</v>
      </c>
      <c r="D1874" t="s">
        <v>43</v>
      </c>
      <c r="E1874" t="s">
        <v>27</v>
      </c>
      <c r="F1874">
        <v>5</v>
      </c>
      <c r="G1874">
        <v>1999</v>
      </c>
      <c r="H1874">
        <v>0.15</v>
      </c>
      <c r="I1874" t="s">
        <v>47</v>
      </c>
      <c r="J1874" t="s">
        <v>36</v>
      </c>
      <c r="K1874" t="s">
        <v>17</v>
      </c>
      <c r="L1874">
        <f>F1873*G1873*(1-H1873)</f>
        <v>3795.25</v>
      </c>
    </row>
    <row r="1875" spans="1:12">
      <c r="A1875" t="s">
        <v>2622</v>
      </c>
      <c r="B1875" s="1">
        <v>46074</v>
      </c>
      <c r="C1875" t="s">
        <v>269</v>
      </c>
      <c r="D1875" t="s">
        <v>31</v>
      </c>
      <c r="E1875" t="s">
        <v>27</v>
      </c>
      <c r="F1875">
        <v>5</v>
      </c>
      <c r="G1875">
        <v>799</v>
      </c>
      <c r="H1875">
        <v>0.15</v>
      </c>
      <c r="I1875" t="s">
        <v>44</v>
      </c>
      <c r="J1875" t="s">
        <v>22</v>
      </c>
      <c r="K1875" t="s">
        <v>17</v>
      </c>
      <c r="L1875">
        <f>F1874*G1874*(1-H1874)</f>
        <v>8495.75</v>
      </c>
    </row>
    <row r="1876" spans="1:12">
      <c r="A1876" t="s">
        <v>2623</v>
      </c>
      <c r="B1876" s="1">
        <v>46265</v>
      </c>
      <c r="C1876" t="s">
        <v>1566</v>
      </c>
      <c r="D1876" t="s">
        <v>26</v>
      </c>
      <c r="E1876" t="s">
        <v>35</v>
      </c>
      <c r="F1876">
        <v>1</v>
      </c>
      <c r="G1876">
        <v>4999</v>
      </c>
      <c r="H1876">
        <v>0.1</v>
      </c>
      <c r="I1876" t="s">
        <v>50</v>
      </c>
      <c r="J1876" t="s">
        <v>16</v>
      </c>
      <c r="K1876" t="s">
        <v>17</v>
      </c>
      <c r="L1876">
        <f>F1875*G1875*(1-H1875)</f>
        <v>3395.75</v>
      </c>
    </row>
    <row r="1877" spans="1:12">
      <c r="A1877" t="s">
        <v>2624</v>
      </c>
      <c r="B1877" s="1">
        <v>46115</v>
      </c>
      <c r="C1877" t="s">
        <v>727</v>
      </c>
      <c r="D1877" t="s">
        <v>78</v>
      </c>
      <c r="E1877" t="s">
        <v>14</v>
      </c>
      <c r="F1877">
        <v>5</v>
      </c>
      <c r="G1877">
        <v>7999</v>
      </c>
      <c r="H1877">
        <v>0</v>
      </c>
      <c r="I1877" t="s">
        <v>44</v>
      </c>
      <c r="J1877" t="s">
        <v>28</v>
      </c>
      <c r="K1877" t="s">
        <v>23</v>
      </c>
      <c r="L1877">
        <f>F1876*G1876*(1-H1876)</f>
        <v>4499.1000000000004</v>
      </c>
    </row>
    <row r="1878" spans="1:12">
      <c r="A1878" t="s">
        <v>2625</v>
      </c>
      <c r="B1878" s="1">
        <v>46185</v>
      </c>
      <c r="C1878" t="s">
        <v>2040</v>
      </c>
      <c r="D1878" t="s">
        <v>71</v>
      </c>
      <c r="E1878" t="s">
        <v>40</v>
      </c>
      <c r="F1878">
        <v>5</v>
      </c>
      <c r="G1878">
        <v>1299</v>
      </c>
      <c r="H1878">
        <v>0.05</v>
      </c>
      <c r="I1878" t="s">
        <v>32</v>
      </c>
      <c r="J1878" t="s">
        <v>36</v>
      </c>
      <c r="K1878" t="s">
        <v>17</v>
      </c>
      <c r="L1878">
        <f>F1877*G1877*(1-H1877)</f>
        <v>39995</v>
      </c>
    </row>
    <row r="1879" spans="1:12">
      <c r="A1879" t="s">
        <v>2626</v>
      </c>
      <c r="B1879" s="1">
        <v>46191</v>
      </c>
      <c r="C1879" t="s">
        <v>881</v>
      </c>
      <c r="D1879" t="s">
        <v>78</v>
      </c>
      <c r="E1879" t="s">
        <v>35</v>
      </c>
      <c r="F1879">
        <v>4</v>
      </c>
      <c r="G1879">
        <v>7999</v>
      </c>
      <c r="H1879">
        <v>0</v>
      </c>
      <c r="I1879" t="s">
        <v>47</v>
      </c>
      <c r="J1879" t="s">
        <v>16</v>
      </c>
      <c r="K1879" t="s">
        <v>17</v>
      </c>
      <c r="L1879">
        <f>F1878*G1878*(1-H1878)</f>
        <v>6170.25</v>
      </c>
    </row>
    <row r="1880" spans="1:12">
      <c r="A1880" t="s">
        <v>2627</v>
      </c>
      <c r="B1880" s="1">
        <v>46215</v>
      </c>
      <c r="C1880" t="s">
        <v>168</v>
      </c>
      <c r="D1880" t="s">
        <v>20</v>
      </c>
      <c r="E1880" t="s">
        <v>27</v>
      </c>
      <c r="F1880">
        <v>4</v>
      </c>
      <c r="G1880">
        <v>4999</v>
      </c>
      <c r="H1880">
        <v>0.1</v>
      </c>
      <c r="I1880" t="s">
        <v>44</v>
      </c>
      <c r="J1880" t="s">
        <v>16</v>
      </c>
      <c r="K1880" t="s">
        <v>23</v>
      </c>
      <c r="L1880">
        <f>F1879*G1879*(1-H1879)</f>
        <v>31996</v>
      </c>
    </row>
    <row r="1881" spans="1:12">
      <c r="A1881" t="s">
        <v>2628</v>
      </c>
      <c r="B1881" s="1">
        <v>46188</v>
      </c>
      <c r="C1881" t="s">
        <v>306</v>
      </c>
      <c r="D1881" t="s">
        <v>78</v>
      </c>
      <c r="E1881" t="s">
        <v>14</v>
      </c>
      <c r="F1881">
        <v>5</v>
      </c>
      <c r="G1881">
        <v>799</v>
      </c>
      <c r="H1881">
        <v>0.05</v>
      </c>
      <c r="I1881" t="s">
        <v>15</v>
      </c>
      <c r="J1881" t="s">
        <v>28</v>
      </c>
      <c r="K1881" t="s">
        <v>17</v>
      </c>
      <c r="L1881">
        <f>F1880*G1880*(1-H1880)</f>
        <v>17996.400000000001</v>
      </c>
    </row>
    <row r="1882" spans="1:12">
      <c r="A1882" t="s">
        <v>2629</v>
      </c>
      <c r="B1882" s="1">
        <v>46153</v>
      </c>
      <c r="C1882" t="s">
        <v>2182</v>
      </c>
      <c r="D1882" t="s">
        <v>59</v>
      </c>
      <c r="E1882" t="s">
        <v>27</v>
      </c>
      <c r="F1882">
        <v>4</v>
      </c>
      <c r="G1882">
        <v>1999</v>
      </c>
      <c r="H1882">
        <v>0.05</v>
      </c>
      <c r="I1882" t="s">
        <v>44</v>
      </c>
      <c r="J1882" t="s">
        <v>36</v>
      </c>
      <c r="K1882" t="s">
        <v>17</v>
      </c>
      <c r="L1882">
        <f>F1881*G1881*(1-H1881)</f>
        <v>3795.25</v>
      </c>
    </row>
    <row r="1883" spans="1:12">
      <c r="A1883" t="s">
        <v>2630</v>
      </c>
      <c r="B1883" s="1">
        <v>46106</v>
      </c>
      <c r="C1883" t="s">
        <v>277</v>
      </c>
      <c r="D1883" t="s">
        <v>71</v>
      </c>
      <c r="E1883" t="s">
        <v>21</v>
      </c>
      <c r="F1883">
        <v>3</v>
      </c>
      <c r="G1883">
        <v>1299</v>
      </c>
      <c r="H1883">
        <v>0.1</v>
      </c>
      <c r="I1883" t="s">
        <v>47</v>
      </c>
      <c r="J1883" t="s">
        <v>22</v>
      </c>
      <c r="K1883" t="s">
        <v>17</v>
      </c>
      <c r="L1883">
        <f>F1882*G1882*(1-H1882)</f>
        <v>7596.2</v>
      </c>
    </row>
    <row r="1884" spans="1:12">
      <c r="A1884" t="s">
        <v>2631</v>
      </c>
      <c r="B1884" s="1">
        <v>46271</v>
      </c>
      <c r="C1884" t="s">
        <v>1968</v>
      </c>
      <c r="D1884" t="s">
        <v>59</v>
      </c>
      <c r="E1884" t="s">
        <v>21</v>
      </c>
      <c r="F1884">
        <v>5</v>
      </c>
      <c r="G1884">
        <v>599</v>
      </c>
      <c r="H1884">
        <v>0.1</v>
      </c>
      <c r="I1884" t="s">
        <v>44</v>
      </c>
      <c r="J1884" t="s">
        <v>22</v>
      </c>
      <c r="K1884" t="s">
        <v>17</v>
      </c>
      <c r="L1884">
        <f>F1883*G1883*(1-H1883)</f>
        <v>3507.3</v>
      </c>
    </row>
    <row r="1885" spans="1:12">
      <c r="A1885" t="s">
        <v>2632</v>
      </c>
      <c r="B1885" s="1">
        <v>46287</v>
      </c>
      <c r="C1885" t="s">
        <v>152</v>
      </c>
      <c r="D1885" t="s">
        <v>26</v>
      </c>
      <c r="E1885" t="s">
        <v>27</v>
      </c>
      <c r="F1885">
        <v>2</v>
      </c>
      <c r="G1885">
        <v>799</v>
      </c>
      <c r="H1885">
        <v>0.05</v>
      </c>
      <c r="I1885" t="s">
        <v>15</v>
      </c>
      <c r="J1885" t="s">
        <v>51</v>
      </c>
      <c r="K1885" t="s">
        <v>37</v>
      </c>
      <c r="L1885">
        <f>F1884*G1884*(1-H1884)</f>
        <v>2695.5</v>
      </c>
    </row>
    <row r="1886" spans="1:12">
      <c r="A1886" t="s">
        <v>2633</v>
      </c>
      <c r="B1886" s="1">
        <v>46169</v>
      </c>
      <c r="C1886" t="s">
        <v>2634</v>
      </c>
      <c r="D1886" t="s">
        <v>71</v>
      </c>
      <c r="E1886" t="s">
        <v>35</v>
      </c>
      <c r="F1886">
        <v>2</v>
      </c>
      <c r="G1886">
        <v>2499</v>
      </c>
      <c r="H1886">
        <v>0</v>
      </c>
      <c r="I1886" t="s">
        <v>15</v>
      </c>
      <c r="J1886" t="s">
        <v>51</v>
      </c>
      <c r="K1886" t="s">
        <v>17</v>
      </c>
      <c r="L1886">
        <f>F1885*G1885*(1-H1885)</f>
        <v>1518.1</v>
      </c>
    </row>
    <row r="1887" spans="1:12">
      <c r="A1887" t="s">
        <v>2635</v>
      </c>
      <c r="B1887" s="1">
        <v>46102</v>
      </c>
      <c r="C1887" t="s">
        <v>521</v>
      </c>
      <c r="D1887" t="s">
        <v>43</v>
      </c>
      <c r="E1887" t="s">
        <v>21</v>
      </c>
      <c r="F1887">
        <v>4</v>
      </c>
      <c r="G1887">
        <v>799</v>
      </c>
      <c r="H1887">
        <v>0</v>
      </c>
      <c r="I1887" t="s">
        <v>15</v>
      </c>
      <c r="J1887" t="s">
        <v>51</v>
      </c>
      <c r="K1887" t="s">
        <v>37</v>
      </c>
      <c r="L1887">
        <f>F1886*G1886*(1-H1886)</f>
        <v>4998</v>
      </c>
    </row>
    <row r="1888" spans="1:12">
      <c r="A1888" t="s">
        <v>2636</v>
      </c>
      <c r="B1888" s="1">
        <v>46238</v>
      </c>
      <c r="C1888" t="s">
        <v>727</v>
      </c>
      <c r="D1888" t="s">
        <v>31</v>
      </c>
      <c r="E1888" t="s">
        <v>40</v>
      </c>
      <c r="F1888">
        <v>1</v>
      </c>
      <c r="G1888">
        <v>599</v>
      </c>
      <c r="H1888">
        <v>0.1</v>
      </c>
      <c r="I1888" t="s">
        <v>47</v>
      </c>
      <c r="J1888" t="s">
        <v>36</v>
      </c>
      <c r="K1888" t="s">
        <v>37</v>
      </c>
      <c r="L1888">
        <f>F1887*G1887*(1-H1887)</f>
        <v>3196</v>
      </c>
    </row>
    <row r="1889" spans="1:12">
      <c r="A1889" t="s">
        <v>2637</v>
      </c>
      <c r="B1889" s="1">
        <v>46183</v>
      </c>
      <c r="C1889" t="s">
        <v>1370</v>
      </c>
      <c r="D1889" t="s">
        <v>43</v>
      </c>
      <c r="E1889" t="s">
        <v>40</v>
      </c>
      <c r="F1889">
        <v>4</v>
      </c>
      <c r="G1889">
        <v>7999</v>
      </c>
      <c r="H1889">
        <v>0.1</v>
      </c>
      <c r="I1889" t="s">
        <v>32</v>
      </c>
      <c r="J1889" t="s">
        <v>16</v>
      </c>
      <c r="K1889" t="s">
        <v>17</v>
      </c>
      <c r="L1889">
        <f>F1888*G1888*(1-H1888)</f>
        <v>539.1</v>
      </c>
    </row>
    <row r="1890" spans="1:12">
      <c r="A1890" t="s">
        <v>2638</v>
      </c>
      <c r="B1890" s="1">
        <v>46119</v>
      </c>
      <c r="C1890" t="s">
        <v>226</v>
      </c>
      <c r="D1890" t="s">
        <v>31</v>
      </c>
      <c r="E1890" t="s">
        <v>14</v>
      </c>
      <c r="F1890">
        <v>2</v>
      </c>
      <c r="G1890">
        <v>1299</v>
      </c>
      <c r="H1890">
        <v>0</v>
      </c>
      <c r="I1890" t="s">
        <v>44</v>
      </c>
      <c r="J1890" t="s">
        <v>36</v>
      </c>
      <c r="K1890" t="s">
        <v>23</v>
      </c>
      <c r="L1890">
        <f>F1889*G1889*(1-H1889)</f>
        <v>28796.400000000001</v>
      </c>
    </row>
    <row r="1891" spans="1:12">
      <c r="A1891" t="s">
        <v>2639</v>
      </c>
      <c r="B1891" s="1">
        <v>46092</v>
      </c>
      <c r="C1891" t="s">
        <v>1726</v>
      </c>
      <c r="D1891" t="s">
        <v>59</v>
      </c>
      <c r="E1891" t="s">
        <v>14</v>
      </c>
      <c r="F1891">
        <v>4</v>
      </c>
      <c r="G1891">
        <v>599</v>
      </c>
      <c r="H1891">
        <v>0</v>
      </c>
      <c r="I1891" t="s">
        <v>32</v>
      </c>
      <c r="J1891" t="s">
        <v>16</v>
      </c>
      <c r="K1891" t="s">
        <v>23</v>
      </c>
      <c r="L1891">
        <f>F1890*G1890*(1-H1890)</f>
        <v>2598</v>
      </c>
    </row>
    <row r="1892" spans="1:12">
      <c r="A1892" t="s">
        <v>2640</v>
      </c>
      <c r="B1892" s="1">
        <v>46292</v>
      </c>
      <c r="C1892" t="s">
        <v>2641</v>
      </c>
      <c r="D1892" t="s">
        <v>78</v>
      </c>
      <c r="E1892" t="s">
        <v>14</v>
      </c>
      <c r="F1892">
        <v>2</v>
      </c>
      <c r="G1892">
        <v>4999</v>
      </c>
      <c r="H1892">
        <v>0</v>
      </c>
      <c r="I1892" t="s">
        <v>32</v>
      </c>
      <c r="J1892" t="s">
        <v>36</v>
      </c>
      <c r="K1892" t="s">
        <v>17</v>
      </c>
      <c r="L1892">
        <f>F1891*G1891*(1-H1891)</f>
        <v>2396</v>
      </c>
    </row>
    <row r="1893" spans="1:12">
      <c r="A1893" t="s">
        <v>2642</v>
      </c>
      <c r="B1893" s="1">
        <v>46061</v>
      </c>
      <c r="C1893" t="s">
        <v>989</v>
      </c>
      <c r="D1893" t="s">
        <v>26</v>
      </c>
      <c r="E1893" t="s">
        <v>27</v>
      </c>
      <c r="F1893">
        <v>2</v>
      </c>
      <c r="G1893">
        <v>499</v>
      </c>
      <c r="H1893">
        <v>0.05</v>
      </c>
      <c r="I1893" t="s">
        <v>50</v>
      </c>
      <c r="J1893" t="s">
        <v>22</v>
      </c>
      <c r="K1893" t="s">
        <v>37</v>
      </c>
      <c r="L1893">
        <f>F1892*G1892*(1-H1892)</f>
        <v>9998</v>
      </c>
    </row>
    <row r="1894" spans="1:12">
      <c r="A1894" t="s">
        <v>2643</v>
      </c>
      <c r="B1894" s="1">
        <v>46238</v>
      </c>
      <c r="C1894" t="s">
        <v>2644</v>
      </c>
      <c r="D1894" t="s">
        <v>71</v>
      </c>
      <c r="E1894" t="s">
        <v>35</v>
      </c>
      <c r="F1894">
        <v>4</v>
      </c>
      <c r="G1894">
        <v>2499</v>
      </c>
      <c r="H1894">
        <v>0</v>
      </c>
      <c r="I1894" t="s">
        <v>50</v>
      </c>
      <c r="J1894" t="s">
        <v>28</v>
      </c>
      <c r="K1894" t="s">
        <v>17</v>
      </c>
      <c r="L1894">
        <f>F1893*G1893*(1-H1893)</f>
        <v>948.09999999999991</v>
      </c>
    </row>
    <row r="1895" spans="1:12">
      <c r="A1895" t="s">
        <v>2645</v>
      </c>
      <c r="B1895" s="1">
        <v>46254</v>
      </c>
      <c r="C1895" t="s">
        <v>394</v>
      </c>
      <c r="D1895" t="s">
        <v>59</v>
      </c>
      <c r="E1895" t="s">
        <v>27</v>
      </c>
      <c r="F1895">
        <v>1</v>
      </c>
      <c r="G1895">
        <v>1499</v>
      </c>
      <c r="H1895">
        <v>0.1</v>
      </c>
      <c r="I1895" t="s">
        <v>15</v>
      </c>
      <c r="J1895" t="s">
        <v>51</v>
      </c>
      <c r="K1895" t="s">
        <v>17</v>
      </c>
      <c r="L1895">
        <f>F1894*G1894*(1-H1894)</f>
        <v>9996</v>
      </c>
    </row>
    <row r="1896" spans="1:12">
      <c r="A1896" t="s">
        <v>2646</v>
      </c>
      <c r="B1896" s="1">
        <v>46036</v>
      </c>
      <c r="C1896" t="s">
        <v>1923</v>
      </c>
      <c r="D1896" t="s">
        <v>78</v>
      </c>
      <c r="E1896" t="s">
        <v>21</v>
      </c>
      <c r="F1896">
        <v>2</v>
      </c>
      <c r="G1896">
        <v>1299</v>
      </c>
      <c r="H1896">
        <v>0.05</v>
      </c>
      <c r="I1896" t="s">
        <v>44</v>
      </c>
      <c r="J1896" t="s">
        <v>22</v>
      </c>
      <c r="K1896" t="s">
        <v>17</v>
      </c>
      <c r="L1896">
        <f>F1895*G1895*(1-H1895)</f>
        <v>1349.1000000000001</v>
      </c>
    </row>
    <row r="1897" spans="1:12">
      <c r="A1897" t="s">
        <v>2647</v>
      </c>
      <c r="B1897" s="1">
        <v>46199</v>
      </c>
      <c r="C1897" t="s">
        <v>948</v>
      </c>
      <c r="D1897" t="s">
        <v>59</v>
      </c>
      <c r="E1897" t="s">
        <v>21</v>
      </c>
      <c r="F1897">
        <v>3</v>
      </c>
      <c r="G1897">
        <v>2499</v>
      </c>
      <c r="H1897">
        <v>0</v>
      </c>
      <c r="I1897" t="s">
        <v>44</v>
      </c>
      <c r="J1897" t="s">
        <v>28</v>
      </c>
      <c r="K1897" t="s">
        <v>23</v>
      </c>
      <c r="L1897">
        <f>F1896*G1896*(1-H1896)</f>
        <v>2468.1</v>
      </c>
    </row>
    <row r="1898" spans="1:12">
      <c r="A1898" t="s">
        <v>2648</v>
      </c>
      <c r="B1898" s="1">
        <v>46175</v>
      </c>
      <c r="C1898" t="s">
        <v>2051</v>
      </c>
      <c r="D1898" t="s">
        <v>56</v>
      </c>
      <c r="E1898" t="s">
        <v>27</v>
      </c>
      <c r="F1898">
        <v>5</v>
      </c>
      <c r="G1898">
        <v>7999</v>
      </c>
      <c r="H1898">
        <v>0.1</v>
      </c>
      <c r="I1898" t="s">
        <v>44</v>
      </c>
      <c r="J1898" t="s">
        <v>28</v>
      </c>
      <c r="K1898" t="s">
        <v>17</v>
      </c>
      <c r="L1898">
        <f>F1897*G1897*(1-H1897)</f>
        <v>7497</v>
      </c>
    </row>
    <row r="1899" spans="1:12">
      <c r="A1899" t="s">
        <v>2649</v>
      </c>
      <c r="B1899" s="1">
        <v>46190</v>
      </c>
      <c r="C1899" t="s">
        <v>148</v>
      </c>
      <c r="D1899" t="s">
        <v>59</v>
      </c>
      <c r="E1899" t="s">
        <v>27</v>
      </c>
      <c r="F1899">
        <v>1</v>
      </c>
      <c r="G1899">
        <v>7999</v>
      </c>
      <c r="H1899">
        <v>0.1</v>
      </c>
      <c r="I1899" t="s">
        <v>47</v>
      </c>
      <c r="J1899" t="s">
        <v>16</v>
      </c>
      <c r="K1899" t="s">
        <v>17</v>
      </c>
      <c r="L1899">
        <f>F1898*G1898*(1-H1898)</f>
        <v>35995.5</v>
      </c>
    </row>
    <row r="1900" spans="1:12">
      <c r="A1900" t="s">
        <v>2650</v>
      </c>
      <c r="B1900" s="1">
        <v>46195</v>
      </c>
      <c r="C1900" t="s">
        <v>327</v>
      </c>
      <c r="D1900" t="s">
        <v>59</v>
      </c>
      <c r="E1900" t="s">
        <v>14</v>
      </c>
      <c r="F1900">
        <v>3</v>
      </c>
      <c r="G1900">
        <v>1999</v>
      </c>
      <c r="H1900">
        <v>0</v>
      </c>
      <c r="I1900" t="s">
        <v>44</v>
      </c>
      <c r="J1900" t="s">
        <v>28</v>
      </c>
      <c r="K1900" t="s">
        <v>17</v>
      </c>
      <c r="L1900">
        <f>F1899*G1899*(1-H1899)</f>
        <v>7199.1</v>
      </c>
    </row>
    <row r="1901" spans="1:12">
      <c r="A1901" t="s">
        <v>2651</v>
      </c>
      <c r="B1901" s="1">
        <v>46201</v>
      </c>
      <c r="C1901" t="s">
        <v>452</v>
      </c>
      <c r="D1901" t="s">
        <v>20</v>
      </c>
      <c r="E1901" t="s">
        <v>40</v>
      </c>
      <c r="F1901">
        <v>2</v>
      </c>
      <c r="G1901">
        <v>4999</v>
      </c>
      <c r="H1901">
        <v>0</v>
      </c>
      <c r="I1901" t="s">
        <v>32</v>
      </c>
      <c r="J1901" t="s">
        <v>16</v>
      </c>
      <c r="K1901" t="s">
        <v>17</v>
      </c>
      <c r="L1901">
        <f>F1900*G1900*(1-H1900)</f>
        <v>5997</v>
      </c>
    </row>
    <row r="1902" spans="1:12">
      <c r="A1902" t="s">
        <v>2652</v>
      </c>
      <c r="B1902" s="1">
        <v>46094</v>
      </c>
      <c r="C1902" t="s">
        <v>1916</v>
      </c>
      <c r="D1902" t="s">
        <v>26</v>
      </c>
      <c r="E1902" t="s">
        <v>35</v>
      </c>
      <c r="F1902">
        <v>1</v>
      </c>
      <c r="G1902">
        <v>7999</v>
      </c>
      <c r="H1902">
        <v>0.05</v>
      </c>
      <c r="I1902" t="s">
        <v>32</v>
      </c>
      <c r="J1902" t="s">
        <v>16</v>
      </c>
      <c r="K1902" t="s">
        <v>37</v>
      </c>
      <c r="L1902">
        <f>F1901*G1901*(1-H1901)</f>
        <v>9998</v>
      </c>
    </row>
    <row r="1903" spans="1:12">
      <c r="A1903" t="s">
        <v>2653</v>
      </c>
      <c r="B1903" s="1">
        <v>46215</v>
      </c>
      <c r="C1903" t="s">
        <v>1058</v>
      </c>
      <c r="D1903" t="s">
        <v>71</v>
      </c>
      <c r="E1903" t="s">
        <v>21</v>
      </c>
      <c r="F1903">
        <v>3</v>
      </c>
      <c r="G1903">
        <v>1299</v>
      </c>
      <c r="H1903">
        <v>0.15</v>
      </c>
      <c r="I1903" t="s">
        <v>47</v>
      </c>
      <c r="J1903" t="s">
        <v>28</v>
      </c>
      <c r="K1903" t="s">
        <v>17</v>
      </c>
      <c r="L1903">
        <f>F1902*G1902*(1-H1902)</f>
        <v>7599.0499999999993</v>
      </c>
    </row>
    <row r="1904" spans="1:12">
      <c r="A1904" t="s">
        <v>2654</v>
      </c>
      <c r="B1904" s="1">
        <v>46189</v>
      </c>
      <c r="C1904" t="s">
        <v>73</v>
      </c>
      <c r="D1904" t="s">
        <v>62</v>
      </c>
      <c r="E1904" t="s">
        <v>21</v>
      </c>
      <c r="F1904">
        <v>3</v>
      </c>
      <c r="G1904">
        <v>7999</v>
      </c>
      <c r="H1904">
        <v>0.1</v>
      </c>
      <c r="I1904" t="s">
        <v>50</v>
      </c>
      <c r="J1904" t="s">
        <v>22</v>
      </c>
      <c r="K1904" t="s">
        <v>37</v>
      </c>
      <c r="L1904">
        <f>F1903*G1903*(1-H1903)</f>
        <v>3312.45</v>
      </c>
    </row>
    <row r="1905" spans="1:12">
      <c r="A1905" t="s">
        <v>2655</v>
      </c>
      <c r="B1905" s="1">
        <v>46213</v>
      </c>
      <c r="C1905" t="s">
        <v>215</v>
      </c>
      <c r="D1905" t="s">
        <v>20</v>
      </c>
      <c r="E1905" t="s">
        <v>21</v>
      </c>
      <c r="F1905">
        <v>3</v>
      </c>
      <c r="G1905">
        <v>999</v>
      </c>
      <c r="H1905">
        <v>0.15</v>
      </c>
      <c r="I1905" t="s">
        <v>50</v>
      </c>
      <c r="J1905" t="s">
        <v>51</v>
      </c>
      <c r="K1905" t="s">
        <v>17</v>
      </c>
      <c r="L1905">
        <f>F1904*G1904*(1-H1904)</f>
        <v>21597.3</v>
      </c>
    </row>
    <row r="1906" spans="1:12">
      <c r="A1906" t="s">
        <v>2656</v>
      </c>
      <c r="B1906" s="1">
        <v>46057</v>
      </c>
      <c r="C1906" t="s">
        <v>1700</v>
      </c>
      <c r="D1906" t="s">
        <v>78</v>
      </c>
      <c r="E1906" t="s">
        <v>35</v>
      </c>
      <c r="F1906">
        <v>2</v>
      </c>
      <c r="G1906">
        <v>1999</v>
      </c>
      <c r="H1906">
        <v>0.15</v>
      </c>
      <c r="I1906" t="s">
        <v>47</v>
      </c>
      <c r="J1906" t="s">
        <v>22</v>
      </c>
      <c r="K1906" t="s">
        <v>37</v>
      </c>
      <c r="L1906">
        <f>F1905*G1905*(1-H1905)</f>
        <v>2547.4499999999998</v>
      </c>
    </row>
    <row r="1907" spans="1:12">
      <c r="A1907" t="s">
        <v>2657</v>
      </c>
      <c r="B1907" s="1">
        <v>46107</v>
      </c>
      <c r="C1907" t="s">
        <v>361</v>
      </c>
      <c r="D1907" t="s">
        <v>43</v>
      </c>
      <c r="E1907" t="s">
        <v>14</v>
      </c>
      <c r="F1907">
        <v>1</v>
      </c>
      <c r="G1907">
        <v>599</v>
      </c>
      <c r="H1907">
        <v>0.1</v>
      </c>
      <c r="I1907" t="s">
        <v>50</v>
      </c>
      <c r="J1907" t="s">
        <v>28</v>
      </c>
      <c r="K1907" t="s">
        <v>37</v>
      </c>
      <c r="L1907">
        <f>F1906*G1906*(1-H1906)</f>
        <v>3398.2999999999997</v>
      </c>
    </row>
    <row r="1908" spans="1:12">
      <c r="A1908" t="s">
        <v>2658</v>
      </c>
      <c r="B1908" s="1">
        <v>46204</v>
      </c>
      <c r="C1908" t="s">
        <v>899</v>
      </c>
      <c r="D1908" t="s">
        <v>71</v>
      </c>
      <c r="E1908" t="s">
        <v>35</v>
      </c>
      <c r="F1908">
        <v>3</v>
      </c>
      <c r="G1908">
        <v>999</v>
      </c>
      <c r="H1908">
        <v>0.1</v>
      </c>
      <c r="I1908" t="s">
        <v>44</v>
      </c>
      <c r="J1908" t="s">
        <v>36</v>
      </c>
      <c r="K1908" t="s">
        <v>17</v>
      </c>
      <c r="L1908">
        <f>F1907*G1907*(1-H1907)</f>
        <v>539.1</v>
      </c>
    </row>
    <row r="1909" spans="1:12">
      <c r="A1909" t="s">
        <v>2659</v>
      </c>
      <c r="B1909" s="1">
        <v>46265</v>
      </c>
      <c r="C1909" t="s">
        <v>412</v>
      </c>
      <c r="D1909" t="s">
        <v>56</v>
      </c>
      <c r="E1909" t="s">
        <v>40</v>
      </c>
      <c r="F1909">
        <v>2</v>
      </c>
      <c r="G1909">
        <v>599</v>
      </c>
      <c r="H1909">
        <v>0.15</v>
      </c>
      <c r="I1909" t="s">
        <v>32</v>
      </c>
      <c r="J1909" t="s">
        <v>16</v>
      </c>
      <c r="K1909" t="s">
        <v>23</v>
      </c>
      <c r="L1909">
        <f>F1908*G1908*(1-H1908)</f>
        <v>2697.3</v>
      </c>
    </row>
    <row r="1910" spans="1:12">
      <c r="A1910" t="s">
        <v>2660</v>
      </c>
      <c r="B1910" s="1">
        <v>46286</v>
      </c>
      <c r="C1910" t="s">
        <v>1213</v>
      </c>
      <c r="D1910" t="s">
        <v>13</v>
      </c>
      <c r="E1910" t="s">
        <v>21</v>
      </c>
      <c r="F1910">
        <v>4</v>
      </c>
      <c r="G1910">
        <v>599</v>
      </c>
      <c r="H1910">
        <v>0</v>
      </c>
      <c r="I1910" t="s">
        <v>47</v>
      </c>
      <c r="J1910" t="s">
        <v>16</v>
      </c>
      <c r="K1910" t="s">
        <v>17</v>
      </c>
      <c r="L1910">
        <f>F1909*G1909*(1-H1909)</f>
        <v>1018.3</v>
      </c>
    </row>
    <row r="1911" spans="1:12">
      <c r="A1911" t="s">
        <v>2661</v>
      </c>
      <c r="B1911" s="1">
        <v>46055</v>
      </c>
      <c r="C1911" t="s">
        <v>134</v>
      </c>
      <c r="D1911" t="s">
        <v>13</v>
      </c>
      <c r="E1911" t="s">
        <v>35</v>
      </c>
      <c r="F1911">
        <v>2</v>
      </c>
      <c r="G1911">
        <v>4999</v>
      </c>
      <c r="H1911">
        <v>0.05</v>
      </c>
      <c r="I1911" t="s">
        <v>47</v>
      </c>
      <c r="J1911" t="s">
        <v>36</v>
      </c>
      <c r="K1911" t="s">
        <v>17</v>
      </c>
      <c r="L1911">
        <f>F1910*G1910*(1-H1910)</f>
        <v>2396</v>
      </c>
    </row>
    <row r="1912" spans="1:12">
      <c r="A1912" t="s">
        <v>2662</v>
      </c>
      <c r="B1912" s="1">
        <v>46025</v>
      </c>
      <c r="C1912" t="s">
        <v>1800</v>
      </c>
      <c r="D1912" t="s">
        <v>56</v>
      </c>
      <c r="E1912" t="s">
        <v>21</v>
      </c>
      <c r="F1912">
        <v>5</v>
      </c>
      <c r="G1912">
        <v>1999</v>
      </c>
      <c r="H1912">
        <v>0.1</v>
      </c>
      <c r="I1912" t="s">
        <v>47</v>
      </c>
      <c r="J1912" t="s">
        <v>22</v>
      </c>
      <c r="K1912" t="s">
        <v>23</v>
      </c>
      <c r="L1912">
        <f>F1911*G1911*(1-H1911)</f>
        <v>9498.1</v>
      </c>
    </row>
    <row r="1913" spans="1:12">
      <c r="A1913" t="s">
        <v>2663</v>
      </c>
      <c r="B1913" s="1">
        <v>46096</v>
      </c>
      <c r="C1913" t="s">
        <v>717</v>
      </c>
      <c r="D1913" t="s">
        <v>78</v>
      </c>
      <c r="E1913" t="s">
        <v>21</v>
      </c>
      <c r="F1913">
        <v>3</v>
      </c>
      <c r="G1913">
        <v>599</v>
      </c>
      <c r="H1913">
        <v>0.1</v>
      </c>
      <c r="I1913" t="s">
        <v>44</v>
      </c>
      <c r="J1913" t="s">
        <v>36</v>
      </c>
      <c r="K1913" t="s">
        <v>37</v>
      </c>
      <c r="L1913">
        <f>F1912*G1912*(1-H1912)</f>
        <v>8995.5</v>
      </c>
    </row>
    <row r="1914" spans="1:12">
      <c r="A1914" t="s">
        <v>2664</v>
      </c>
      <c r="B1914" s="1">
        <v>46054</v>
      </c>
      <c r="C1914" t="s">
        <v>736</v>
      </c>
      <c r="D1914" t="s">
        <v>13</v>
      </c>
      <c r="E1914" t="s">
        <v>21</v>
      </c>
      <c r="F1914">
        <v>1</v>
      </c>
      <c r="G1914">
        <v>1499</v>
      </c>
      <c r="H1914">
        <v>0</v>
      </c>
      <c r="I1914" t="s">
        <v>50</v>
      </c>
      <c r="J1914" t="s">
        <v>16</v>
      </c>
      <c r="K1914" t="s">
        <v>23</v>
      </c>
      <c r="L1914">
        <f>F1913*G1913*(1-H1913)</f>
        <v>1617.3</v>
      </c>
    </row>
    <row r="1915" spans="1:12">
      <c r="A1915" t="s">
        <v>2665</v>
      </c>
      <c r="B1915" s="1">
        <v>46088</v>
      </c>
      <c r="C1915" t="s">
        <v>919</v>
      </c>
      <c r="D1915" t="s">
        <v>43</v>
      </c>
      <c r="E1915" t="s">
        <v>40</v>
      </c>
      <c r="F1915">
        <v>2</v>
      </c>
      <c r="G1915">
        <v>2499</v>
      </c>
      <c r="H1915">
        <v>0.1</v>
      </c>
      <c r="I1915" t="s">
        <v>15</v>
      </c>
      <c r="J1915" t="s">
        <v>51</v>
      </c>
      <c r="K1915" t="s">
        <v>17</v>
      </c>
      <c r="L1915">
        <f>F1914*G1914*(1-H1914)</f>
        <v>1499</v>
      </c>
    </row>
    <row r="1916" spans="1:12">
      <c r="A1916" t="s">
        <v>2666</v>
      </c>
      <c r="B1916" s="1">
        <v>46175</v>
      </c>
      <c r="C1916" t="s">
        <v>275</v>
      </c>
      <c r="D1916" t="s">
        <v>31</v>
      </c>
      <c r="E1916" t="s">
        <v>40</v>
      </c>
      <c r="F1916">
        <v>2</v>
      </c>
      <c r="G1916">
        <v>7999</v>
      </c>
      <c r="H1916">
        <v>0.05</v>
      </c>
      <c r="I1916" t="s">
        <v>15</v>
      </c>
      <c r="J1916" t="s">
        <v>36</v>
      </c>
      <c r="K1916" t="s">
        <v>23</v>
      </c>
      <c r="L1916">
        <f>F1915*G1915*(1-H1915)</f>
        <v>4498.2</v>
      </c>
    </row>
    <row r="1917" spans="1:12">
      <c r="A1917" t="s">
        <v>2667</v>
      </c>
      <c r="B1917" s="1">
        <v>46187</v>
      </c>
      <c r="C1917" t="s">
        <v>1233</v>
      </c>
      <c r="D1917" t="s">
        <v>20</v>
      </c>
      <c r="E1917" t="s">
        <v>40</v>
      </c>
      <c r="F1917">
        <v>3</v>
      </c>
      <c r="G1917">
        <v>499</v>
      </c>
      <c r="H1917">
        <v>0</v>
      </c>
      <c r="I1917" t="s">
        <v>44</v>
      </c>
      <c r="J1917" t="s">
        <v>28</v>
      </c>
      <c r="K1917" t="s">
        <v>23</v>
      </c>
      <c r="L1917">
        <f>F1916*G1916*(1-H1916)</f>
        <v>15198.099999999999</v>
      </c>
    </row>
    <row r="1918" spans="1:12">
      <c r="A1918" t="s">
        <v>2668</v>
      </c>
      <c r="B1918" s="1">
        <v>46292</v>
      </c>
      <c r="C1918" t="s">
        <v>1146</v>
      </c>
      <c r="D1918" t="s">
        <v>43</v>
      </c>
      <c r="E1918" t="s">
        <v>27</v>
      </c>
      <c r="F1918">
        <v>4</v>
      </c>
      <c r="G1918">
        <v>1299</v>
      </c>
      <c r="H1918">
        <v>0</v>
      </c>
      <c r="I1918" t="s">
        <v>47</v>
      </c>
      <c r="J1918" t="s">
        <v>16</v>
      </c>
      <c r="K1918" t="s">
        <v>23</v>
      </c>
      <c r="L1918">
        <f>F1917*G1917*(1-H1917)</f>
        <v>1497</v>
      </c>
    </row>
    <row r="1919" spans="1:12">
      <c r="A1919" t="s">
        <v>2669</v>
      </c>
      <c r="B1919" s="1">
        <v>46085</v>
      </c>
      <c r="C1919" t="s">
        <v>969</v>
      </c>
      <c r="D1919" t="s">
        <v>13</v>
      </c>
      <c r="E1919" t="s">
        <v>40</v>
      </c>
      <c r="F1919">
        <v>2</v>
      </c>
      <c r="G1919">
        <v>4999</v>
      </c>
      <c r="H1919">
        <v>0.05</v>
      </c>
      <c r="I1919" t="s">
        <v>15</v>
      </c>
      <c r="J1919" t="s">
        <v>22</v>
      </c>
      <c r="K1919" t="s">
        <v>17</v>
      </c>
      <c r="L1919">
        <f>F1918*G1918*(1-H1918)</f>
        <v>5196</v>
      </c>
    </row>
    <row r="1920" spans="1:12">
      <c r="A1920" t="s">
        <v>2670</v>
      </c>
      <c r="B1920" s="1">
        <v>46171</v>
      </c>
      <c r="C1920" t="s">
        <v>130</v>
      </c>
      <c r="D1920" t="s">
        <v>62</v>
      </c>
      <c r="E1920" t="s">
        <v>40</v>
      </c>
      <c r="F1920">
        <v>1</v>
      </c>
      <c r="G1920">
        <v>499</v>
      </c>
      <c r="H1920">
        <v>0.1</v>
      </c>
      <c r="I1920" t="s">
        <v>44</v>
      </c>
      <c r="J1920" t="s">
        <v>16</v>
      </c>
      <c r="K1920" t="s">
        <v>23</v>
      </c>
      <c r="L1920">
        <f>F1919*G1919*(1-H1919)</f>
        <v>9498.1</v>
      </c>
    </row>
    <row r="1921" spans="1:12">
      <c r="A1921" t="s">
        <v>2671</v>
      </c>
      <c r="B1921" s="1">
        <v>46123</v>
      </c>
      <c r="C1921" t="s">
        <v>2083</v>
      </c>
      <c r="D1921" t="s">
        <v>20</v>
      </c>
      <c r="E1921" t="s">
        <v>14</v>
      </c>
      <c r="F1921">
        <v>1</v>
      </c>
      <c r="G1921">
        <v>4999</v>
      </c>
      <c r="H1921">
        <v>0.05</v>
      </c>
      <c r="I1921" t="s">
        <v>50</v>
      </c>
      <c r="J1921" t="s">
        <v>16</v>
      </c>
      <c r="K1921" t="s">
        <v>17</v>
      </c>
      <c r="L1921">
        <f>F1920*G1920*(1-H1920)</f>
        <v>449.1</v>
      </c>
    </row>
    <row r="1922" spans="1:12">
      <c r="A1922" t="s">
        <v>2672</v>
      </c>
      <c r="B1922" s="1">
        <v>46232</v>
      </c>
      <c r="C1922" t="s">
        <v>318</v>
      </c>
      <c r="D1922" t="s">
        <v>59</v>
      </c>
      <c r="E1922" t="s">
        <v>27</v>
      </c>
      <c r="F1922">
        <v>5</v>
      </c>
      <c r="G1922">
        <v>499</v>
      </c>
      <c r="H1922">
        <v>0.15</v>
      </c>
      <c r="I1922" t="s">
        <v>32</v>
      </c>
      <c r="J1922" t="s">
        <v>51</v>
      </c>
      <c r="K1922" t="s">
        <v>23</v>
      </c>
      <c r="L1922">
        <f>F1921*G1921*(1-H1921)</f>
        <v>4749.05</v>
      </c>
    </row>
    <row r="1923" spans="1:12">
      <c r="A1923" t="s">
        <v>2673</v>
      </c>
      <c r="B1923" s="1">
        <v>46174</v>
      </c>
      <c r="C1923" t="s">
        <v>2584</v>
      </c>
      <c r="D1923" t="s">
        <v>43</v>
      </c>
      <c r="E1923" t="s">
        <v>27</v>
      </c>
      <c r="F1923">
        <v>3</v>
      </c>
      <c r="G1923">
        <v>2499</v>
      </c>
      <c r="H1923">
        <v>0</v>
      </c>
      <c r="I1923" t="s">
        <v>47</v>
      </c>
      <c r="J1923" t="s">
        <v>16</v>
      </c>
      <c r="K1923" t="s">
        <v>17</v>
      </c>
      <c r="L1923">
        <f>F1922*G1922*(1-H1922)</f>
        <v>2120.75</v>
      </c>
    </row>
    <row r="1924" spans="1:12">
      <c r="A1924" t="s">
        <v>2674</v>
      </c>
      <c r="B1924" s="1">
        <v>46224</v>
      </c>
      <c r="C1924" t="s">
        <v>73</v>
      </c>
      <c r="D1924" t="s">
        <v>62</v>
      </c>
      <c r="E1924" t="s">
        <v>35</v>
      </c>
      <c r="F1924">
        <v>4</v>
      </c>
      <c r="G1924">
        <v>799</v>
      </c>
      <c r="H1924">
        <v>0</v>
      </c>
      <c r="I1924" t="s">
        <v>32</v>
      </c>
      <c r="J1924" t="s">
        <v>28</v>
      </c>
      <c r="K1924" t="s">
        <v>37</v>
      </c>
      <c r="L1924">
        <f>F1923*G1923*(1-H1923)</f>
        <v>7497</v>
      </c>
    </row>
    <row r="1925" spans="1:12">
      <c r="A1925" t="s">
        <v>2675</v>
      </c>
      <c r="B1925" s="1">
        <v>46062</v>
      </c>
      <c r="C1925" t="s">
        <v>485</v>
      </c>
      <c r="D1925" t="s">
        <v>13</v>
      </c>
      <c r="E1925" t="s">
        <v>21</v>
      </c>
      <c r="F1925">
        <v>4</v>
      </c>
      <c r="G1925">
        <v>999</v>
      </c>
      <c r="H1925">
        <v>0</v>
      </c>
      <c r="I1925" t="s">
        <v>15</v>
      </c>
      <c r="J1925" t="s">
        <v>36</v>
      </c>
      <c r="K1925" t="s">
        <v>17</v>
      </c>
      <c r="L1925">
        <f>F1924*G1924*(1-H1924)</f>
        <v>3196</v>
      </c>
    </row>
    <row r="1926" spans="1:12">
      <c r="A1926" t="s">
        <v>2676</v>
      </c>
      <c r="B1926" s="1">
        <v>46259</v>
      </c>
      <c r="C1926" t="s">
        <v>1632</v>
      </c>
      <c r="D1926" t="s">
        <v>62</v>
      </c>
      <c r="E1926" t="s">
        <v>35</v>
      </c>
      <c r="F1926">
        <v>2</v>
      </c>
      <c r="G1926">
        <v>2499</v>
      </c>
      <c r="H1926">
        <v>0.05</v>
      </c>
      <c r="I1926" t="s">
        <v>32</v>
      </c>
      <c r="J1926" t="s">
        <v>51</v>
      </c>
      <c r="K1926" t="s">
        <v>37</v>
      </c>
      <c r="L1926">
        <f>F1925*G1925*(1-H1925)</f>
        <v>3996</v>
      </c>
    </row>
    <row r="1927" spans="1:12">
      <c r="A1927" t="s">
        <v>2677</v>
      </c>
      <c r="B1927" s="1">
        <v>46141</v>
      </c>
      <c r="C1927" t="s">
        <v>423</v>
      </c>
      <c r="D1927" t="s">
        <v>20</v>
      </c>
      <c r="E1927" t="s">
        <v>14</v>
      </c>
      <c r="F1927">
        <v>3</v>
      </c>
      <c r="G1927">
        <v>599</v>
      </c>
      <c r="H1927">
        <v>0.15</v>
      </c>
      <c r="I1927" t="s">
        <v>47</v>
      </c>
      <c r="J1927" t="s">
        <v>16</v>
      </c>
      <c r="K1927" t="s">
        <v>23</v>
      </c>
      <c r="L1927">
        <f>F1926*G1926*(1-H1926)</f>
        <v>4748.0999999999995</v>
      </c>
    </row>
    <row r="1928" spans="1:12">
      <c r="A1928" t="s">
        <v>2678</v>
      </c>
      <c r="B1928" s="1">
        <v>46133</v>
      </c>
      <c r="C1928" t="s">
        <v>2679</v>
      </c>
      <c r="D1928" t="s">
        <v>43</v>
      </c>
      <c r="E1928" t="s">
        <v>40</v>
      </c>
      <c r="F1928">
        <v>2</v>
      </c>
      <c r="G1928">
        <v>1999</v>
      </c>
      <c r="H1928">
        <v>0.1</v>
      </c>
      <c r="I1928" t="s">
        <v>32</v>
      </c>
      <c r="J1928" t="s">
        <v>36</v>
      </c>
      <c r="K1928" t="s">
        <v>37</v>
      </c>
      <c r="L1928">
        <f>F1927*G1927*(1-H1927)</f>
        <v>1527.45</v>
      </c>
    </row>
    <row r="1929" spans="1:12">
      <c r="A1929" t="s">
        <v>2680</v>
      </c>
      <c r="B1929" s="1">
        <v>46083</v>
      </c>
      <c r="C1929" t="s">
        <v>2598</v>
      </c>
      <c r="D1929" t="s">
        <v>78</v>
      </c>
      <c r="E1929" t="s">
        <v>35</v>
      </c>
      <c r="F1929">
        <v>4</v>
      </c>
      <c r="G1929">
        <v>7999</v>
      </c>
      <c r="H1929">
        <v>0</v>
      </c>
      <c r="I1929" t="s">
        <v>47</v>
      </c>
      <c r="J1929" t="s">
        <v>36</v>
      </c>
      <c r="K1929" t="s">
        <v>17</v>
      </c>
      <c r="L1929">
        <f>F1928*G1928*(1-H1928)</f>
        <v>3598.2000000000003</v>
      </c>
    </row>
    <row r="1930" spans="1:12">
      <c r="A1930" t="s">
        <v>2681</v>
      </c>
      <c r="B1930" s="1">
        <v>46055</v>
      </c>
      <c r="C1930" t="s">
        <v>140</v>
      </c>
      <c r="D1930" t="s">
        <v>71</v>
      </c>
      <c r="E1930" t="s">
        <v>40</v>
      </c>
      <c r="F1930">
        <v>1</v>
      </c>
      <c r="G1930">
        <v>7999</v>
      </c>
      <c r="H1930">
        <v>0.1</v>
      </c>
      <c r="I1930" t="s">
        <v>15</v>
      </c>
      <c r="J1930" t="s">
        <v>51</v>
      </c>
      <c r="K1930" t="s">
        <v>17</v>
      </c>
      <c r="L1930">
        <f>F1929*G1929*(1-H1929)</f>
        <v>31996</v>
      </c>
    </row>
    <row r="1931" spans="1:12">
      <c r="A1931" t="s">
        <v>2682</v>
      </c>
      <c r="B1931" s="1">
        <v>46246</v>
      </c>
      <c r="C1931" t="s">
        <v>940</v>
      </c>
      <c r="D1931" t="s">
        <v>71</v>
      </c>
      <c r="E1931" t="s">
        <v>14</v>
      </c>
      <c r="F1931">
        <v>4</v>
      </c>
      <c r="G1931">
        <v>999</v>
      </c>
      <c r="H1931">
        <v>0.15</v>
      </c>
      <c r="I1931" t="s">
        <v>50</v>
      </c>
      <c r="J1931" t="s">
        <v>28</v>
      </c>
      <c r="K1931" t="s">
        <v>17</v>
      </c>
      <c r="L1931">
        <f>F1930*G1930*(1-H1930)</f>
        <v>7199.1</v>
      </c>
    </row>
    <row r="1932" spans="1:12">
      <c r="A1932" t="s">
        <v>2683</v>
      </c>
      <c r="B1932" s="1">
        <v>46221</v>
      </c>
      <c r="C1932" t="s">
        <v>2036</v>
      </c>
      <c r="D1932" t="s">
        <v>20</v>
      </c>
      <c r="E1932" t="s">
        <v>40</v>
      </c>
      <c r="F1932">
        <v>2</v>
      </c>
      <c r="G1932">
        <v>2499</v>
      </c>
      <c r="H1932">
        <v>0.15</v>
      </c>
      <c r="I1932" t="s">
        <v>50</v>
      </c>
      <c r="J1932" t="s">
        <v>16</v>
      </c>
      <c r="K1932" t="s">
        <v>17</v>
      </c>
      <c r="L1932">
        <f>F1931*G1931*(1-H1931)</f>
        <v>3396.6</v>
      </c>
    </row>
    <row r="1933" spans="1:12">
      <c r="A1933" t="s">
        <v>2684</v>
      </c>
      <c r="B1933" s="1">
        <v>46106</v>
      </c>
      <c r="C1933" t="s">
        <v>2113</v>
      </c>
      <c r="D1933" t="s">
        <v>26</v>
      </c>
      <c r="E1933" t="s">
        <v>35</v>
      </c>
      <c r="F1933">
        <v>5</v>
      </c>
      <c r="G1933">
        <v>499</v>
      </c>
      <c r="H1933">
        <v>0</v>
      </c>
      <c r="I1933" t="s">
        <v>15</v>
      </c>
      <c r="J1933" t="s">
        <v>28</v>
      </c>
      <c r="K1933" t="s">
        <v>37</v>
      </c>
      <c r="L1933">
        <f>F1932*G1932*(1-H1932)</f>
        <v>4248.3</v>
      </c>
    </row>
    <row r="1934" spans="1:12">
      <c r="A1934" t="s">
        <v>2685</v>
      </c>
      <c r="B1934" s="1">
        <v>46208</v>
      </c>
      <c r="C1934" t="s">
        <v>1954</v>
      </c>
      <c r="D1934" t="s">
        <v>62</v>
      </c>
      <c r="E1934" t="s">
        <v>27</v>
      </c>
      <c r="F1934">
        <v>5</v>
      </c>
      <c r="G1934">
        <v>1499</v>
      </c>
      <c r="H1934">
        <v>0.1</v>
      </c>
      <c r="I1934" t="s">
        <v>47</v>
      </c>
      <c r="J1934" t="s">
        <v>51</v>
      </c>
      <c r="K1934" t="s">
        <v>37</v>
      </c>
      <c r="L1934">
        <f>F1933*G1933*(1-H1933)</f>
        <v>2495</v>
      </c>
    </row>
    <row r="1935" spans="1:12">
      <c r="A1935" t="s">
        <v>2686</v>
      </c>
      <c r="B1935" s="1">
        <v>46036</v>
      </c>
      <c r="C1935" t="s">
        <v>1523</v>
      </c>
      <c r="D1935" t="s">
        <v>56</v>
      </c>
      <c r="E1935" t="s">
        <v>21</v>
      </c>
      <c r="F1935">
        <v>2</v>
      </c>
      <c r="G1935">
        <v>999</v>
      </c>
      <c r="H1935">
        <v>0.1</v>
      </c>
      <c r="I1935" t="s">
        <v>47</v>
      </c>
      <c r="J1935" t="s">
        <v>22</v>
      </c>
      <c r="K1935" t="s">
        <v>17</v>
      </c>
      <c r="L1935">
        <f>F1934*G1934*(1-H1934)</f>
        <v>6745.5</v>
      </c>
    </row>
    <row r="1936" spans="1:12">
      <c r="A1936" t="s">
        <v>2687</v>
      </c>
      <c r="B1936" s="1">
        <v>46051</v>
      </c>
      <c r="C1936" t="s">
        <v>1235</v>
      </c>
      <c r="D1936" t="s">
        <v>62</v>
      </c>
      <c r="E1936" t="s">
        <v>14</v>
      </c>
      <c r="F1936">
        <v>5</v>
      </c>
      <c r="G1936">
        <v>2499</v>
      </c>
      <c r="H1936">
        <v>0.05</v>
      </c>
      <c r="I1936" t="s">
        <v>44</v>
      </c>
      <c r="J1936" t="s">
        <v>22</v>
      </c>
      <c r="K1936" t="s">
        <v>17</v>
      </c>
      <c r="L1936">
        <f>F1935*G1935*(1-H1935)</f>
        <v>1798.2</v>
      </c>
    </row>
    <row r="1937" spans="1:12">
      <c r="A1937" t="s">
        <v>2688</v>
      </c>
      <c r="B1937" s="1">
        <v>46132</v>
      </c>
      <c r="C1937" t="s">
        <v>2689</v>
      </c>
      <c r="D1937" t="s">
        <v>43</v>
      </c>
      <c r="E1937" t="s">
        <v>40</v>
      </c>
      <c r="F1937">
        <v>3</v>
      </c>
      <c r="G1937">
        <v>4999</v>
      </c>
      <c r="H1937">
        <v>0</v>
      </c>
      <c r="I1937" t="s">
        <v>47</v>
      </c>
      <c r="J1937" t="s">
        <v>22</v>
      </c>
      <c r="K1937" t="s">
        <v>23</v>
      </c>
      <c r="L1937">
        <f>F1936*G1936*(1-H1936)</f>
        <v>11870.25</v>
      </c>
    </row>
    <row r="1938" spans="1:12">
      <c r="A1938" t="s">
        <v>2690</v>
      </c>
      <c r="B1938" s="1">
        <v>46213</v>
      </c>
      <c r="C1938" t="s">
        <v>1911</v>
      </c>
      <c r="D1938" t="s">
        <v>43</v>
      </c>
      <c r="E1938" t="s">
        <v>21</v>
      </c>
      <c r="F1938">
        <v>4</v>
      </c>
      <c r="G1938">
        <v>1999</v>
      </c>
      <c r="H1938">
        <v>0.15</v>
      </c>
      <c r="I1938" t="s">
        <v>47</v>
      </c>
      <c r="J1938" t="s">
        <v>22</v>
      </c>
      <c r="K1938" t="s">
        <v>17</v>
      </c>
      <c r="L1938">
        <f>F1937*G1937*(1-H1937)</f>
        <v>14997</v>
      </c>
    </row>
    <row r="1939" spans="1:12">
      <c r="A1939" t="s">
        <v>2691</v>
      </c>
      <c r="B1939" s="1">
        <v>46197</v>
      </c>
      <c r="C1939" t="s">
        <v>2036</v>
      </c>
      <c r="D1939" t="s">
        <v>59</v>
      </c>
      <c r="E1939" t="s">
        <v>35</v>
      </c>
      <c r="F1939">
        <v>5</v>
      </c>
      <c r="G1939">
        <v>999</v>
      </c>
      <c r="H1939">
        <v>0.1</v>
      </c>
      <c r="I1939" t="s">
        <v>15</v>
      </c>
      <c r="J1939" t="s">
        <v>36</v>
      </c>
      <c r="K1939" t="s">
        <v>17</v>
      </c>
      <c r="L1939">
        <f>F1938*G1938*(1-H1938)</f>
        <v>6796.5999999999995</v>
      </c>
    </row>
    <row r="1940" spans="1:12">
      <c r="A1940" t="s">
        <v>2692</v>
      </c>
      <c r="B1940" s="1">
        <v>46058</v>
      </c>
      <c r="C1940" t="s">
        <v>519</v>
      </c>
      <c r="D1940" t="s">
        <v>31</v>
      </c>
      <c r="E1940" t="s">
        <v>27</v>
      </c>
      <c r="F1940">
        <v>2</v>
      </c>
      <c r="G1940">
        <v>1499</v>
      </c>
      <c r="H1940">
        <v>0.15</v>
      </c>
      <c r="I1940" t="s">
        <v>15</v>
      </c>
      <c r="J1940" t="s">
        <v>16</v>
      </c>
      <c r="K1940" t="s">
        <v>23</v>
      </c>
      <c r="L1940">
        <f>F1939*G1939*(1-H1939)</f>
        <v>4495.5</v>
      </c>
    </row>
    <row r="1941" spans="1:12">
      <c r="A1941" t="s">
        <v>2693</v>
      </c>
      <c r="B1941" s="1">
        <v>46126</v>
      </c>
      <c r="C1941" t="s">
        <v>545</v>
      </c>
      <c r="D1941" t="s">
        <v>43</v>
      </c>
      <c r="E1941" t="s">
        <v>21</v>
      </c>
      <c r="F1941">
        <v>5</v>
      </c>
      <c r="G1941">
        <v>499</v>
      </c>
      <c r="H1941">
        <v>0.1</v>
      </c>
      <c r="I1941" t="s">
        <v>47</v>
      </c>
      <c r="J1941" t="s">
        <v>22</v>
      </c>
      <c r="K1941" t="s">
        <v>17</v>
      </c>
      <c r="L1941">
        <f>F1940*G1940*(1-H1940)</f>
        <v>2548.2999999999997</v>
      </c>
    </row>
    <row r="1942" spans="1:12">
      <c r="A1942" t="s">
        <v>2694</v>
      </c>
      <c r="B1942" s="1">
        <v>46171</v>
      </c>
      <c r="C1942" t="s">
        <v>600</v>
      </c>
      <c r="D1942" t="s">
        <v>78</v>
      </c>
      <c r="E1942" t="s">
        <v>40</v>
      </c>
      <c r="F1942">
        <v>1</v>
      </c>
      <c r="G1942">
        <v>799</v>
      </c>
      <c r="H1942">
        <v>0</v>
      </c>
      <c r="I1942" t="s">
        <v>32</v>
      </c>
      <c r="J1942" t="s">
        <v>28</v>
      </c>
      <c r="K1942" t="s">
        <v>23</v>
      </c>
      <c r="L1942">
        <f>F1941*G1941*(1-H1941)</f>
        <v>2245.5</v>
      </c>
    </row>
    <row r="1943" spans="1:12">
      <c r="A1943" t="s">
        <v>2695</v>
      </c>
      <c r="B1943" s="1">
        <v>46047</v>
      </c>
      <c r="C1943" t="s">
        <v>991</v>
      </c>
      <c r="D1943" t="s">
        <v>78</v>
      </c>
      <c r="E1943" t="s">
        <v>21</v>
      </c>
      <c r="F1943">
        <v>5</v>
      </c>
      <c r="G1943">
        <v>499</v>
      </c>
      <c r="H1943">
        <v>0</v>
      </c>
      <c r="I1943" t="s">
        <v>32</v>
      </c>
      <c r="J1943" t="s">
        <v>16</v>
      </c>
      <c r="K1943" t="s">
        <v>17</v>
      </c>
      <c r="L1943">
        <f>F1942*G1942*(1-H1942)</f>
        <v>799</v>
      </c>
    </row>
    <row r="1944" spans="1:12">
      <c r="A1944" t="s">
        <v>2696</v>
      </c>
      <c r="B1944" s="1">
        <v>46240</v>
      </c>
      <c r="C1944" t="s">
        <v>2697</v>
      </c>
      <c r="D1944" t="s">
        <v>59</v>
      </c>
      <c r="E1944" t="s">
        <v>21</v>
      </c>
      <c r="F1944">
        <v>4</v>
      </c>
      <c r="G1944">
        <v>2499</v>
      </c>
      <c r="H1944">
        <v>0.1</v>
      </c>
      <c r="I1944" t="s">
        <v>50</v>
      </c>
      <c r="J1944" t="s">
        <v>36</v>
      </c>
      <c r="K1944" t="s">
        <v>37</v>
      </c>
      <c r="L1944">
        <f>F1943*G1943*(1-H1943)</f>
        <v>2495</v>
      </c>
    </row>
    <row r="1945" spans="1:12">
      <c r="A1945" t="s">
        <v>2698</v>
      </c>
      <c r="B1945" s="1">
        <v>46234</v>
      </c>
      <c r="C1945" t="s">
        <v>862</v>
      </c>
      <c r="D1945" t="s">
        <v>62</v>
      </c>
      <c r="E1945" t="s">
        <v>40</v>
      </c>
      <c r="F1945">
        <v>4</v>
      </c>
      <c r="G1945">
        <v>799</v>
      </c>
      <c r="H1945">
        <v>0</v>
      </c>
      <c r="I1945" t="s">
        <v>32</v>
      </c>
      <c r="J1945" t="s">
        <v>28</v>
      </c>
      <c r="K1945" t="s">
        <v>37</v>
      </c>
      <c r="L1945">
        <f>F1944*G1944*(1-H1944)</f>
        <v>8996.4</v>
      </c>
    </row>
    <row r="1946" spans="1:12">
      <c r="A1946" t="s">
        <v>2699</v>
      </c>
      <c r="B1946" s="1">
        <v>46079</v>
      </c>
      <c r="C1946" t="s">
        <v>952</v>
      </c>
      <c r="D1946" t="s">
        <v>56</v>
      </c>
      <c r="E1946" t="s">
        <v>40</v>
      </c>
      <c r="F1946">
        <v>1</v>
      </c>
      <c r="G1946">
        <v>999</v>
      </c>
      <c r="H1946">
        <v>0.1</v>
      </c>
      <c r="I1946" t="s">
        <v>15</v>
      </c>
      <c r="J1946" t="s">
        <v>36</v>
      </c>
      <c r="K1946" t="s">
        <v>17</v>
      </c>
      <c r="L1946">
        <f>F1945*G1945*(1-H1945)</f>
        <v>3196</v>
      </c>
    </row>
    <row r="1947" spans="1:12">
      <c r="A1947" t="s">
        <v>2700</v>
      </c>
      <c r="B1947" s="1">
        <v>46099</v>
      </c>
      <c r="C1947" t="s">
        <v>2701</v>
      </c>
      <c r="D1947" t="s">
        <v>59</v>
      </c>
      <c r="E1947" t="s">
        <v>35</v>
      </c>
      <c r="F1947">
        <v>2</v>
      </c>
      <c r="G1947">
        <v>999</v>
      </c>
      <c r="H1947">
        <v>0.05</v>
      </c>
      <c r="I1947" t="s">
        <v>50</v>
      </c>
      <c r="J1947" t="s">
        <v>36</v>
      </c>
      <c r="K1947" t="s">
        <v>23</v>
      </c>
      <c r="L1947">
        <f>F1946*G1946*(1-H1946)</f>
        <v>899.1</v>
      </c>
    </row>
    <row r="1948" spans="1:12">
      <c r="A1948" t="s">
        <v>2702</v>
      </c>
      <c r="B1948" s="1">
        <v>46061</v>
      </c>
      <c r="C1948" t="s">
        <v>1261</v>
      </c>
      <c r="D1948" t="s">
        <v>20</v>
      </c>
      <c r="E1948" t="s">
        <v>14</v>
      </c>
      <c r="F1948">
        <v>5</v>
      </c>
      <c r="G1948">
        <v>799</v>
      </c>
      <c r="H1948">
        <v>0.1</v>
      </c>
      <c r="I1948" t="s">
        <v>32</v>
      </c>
      <c r="J1948" t="s">
        <v>16</v>
      </c>
      <c r="K1948" t="s">
        <v>37</v>
      </c>
      <c r="L1948">
        <f>F1947*G1947*(1-H1947)</f>
        <v>1898.1</v>
      </c>
    </row>
    <row r="1949" spans="1:12">
      <c r="A1949" t="s">
        <v>2703</v>
      </c>
      <c r="B1949" s="1">
        <v>46214</v>
      </c>
      <c r="C1949" t="s">
        <v>2293</v>
      </c>
      <c r="D1949" t="s">
        <v>62</v>
      </c>
      <c r="E1949" t="s">
        <v>27</v>
      </c>
      <c r="F1949">
        <v>5</v>
      </c>
      <c r="G1949">
        <v>7999</v>
      </c>
      <c r="H1949">
        <v>0</v>
      </c>
      <c r="I1949" t="s">
        <v>50</v>
      </c>
      <c r="J1949" t="s">
        <v>16</v>
      </c>
      <c r="K1949" t="s">
        <v>17</v>
      </c>
      <c r="L1949">
        <f>F1948*G1948*(1-H1948)</f>
        <v>3595.5</v>
      </c>
    </row>
    <row r="1950" spans="1:12">
      <c r="A1950" t="s">
        <v>2704</v>
      </c>
      <c r="B1950" s="1">
        <v>46206</v>
      </c>
      <c r="C1950" t="s">
        <v>267</v>
      </c>
      <c r="D1950" t="s">
        <v>26</v>
      </c>
      <c r="E1950" t="s">
        <v>21</v>
      </c>
      <c r="F1950">
        <v>3</v>
      </c>
      <c r="G1950">
        <v>999</v>
      </c>
      <c r="H1950">
        <v>0</v>
      </c>
      <c r="I1950" t="s">
        <v>15</v>
      </c>
      <c r="J1950" t="s">
        <v>16</v>
      </c>
      <c r="K1950" t="s">
        <v>23</v>
      </c>
      <c r="L1950">
        <f>F1949*G1949*(1-H1949)</f>
        <v>39995</v>
      </c>
    </row>
    <row r="1951" spans="1:12">
      <c r="A1951" t="s">
        <v>2705</v>
      </c>
      <c r="B1951" s="1">
        <v>46277</v>
      </c>
      <c r="C1951" t="s">
        <v>685</v>
      </c>
      <c r="D1951" t="s">
        <v>59</v>
      </c>
      <c r="E1951" t="s">
        <v>21</v>
      </c>
      <c r="F1951">
        <v>2</v>
      </c>
      <c r="G1951">
        <v>799</v>
      </c>
      <c r="H1951">
        <v>0.15</v>
      </c>
      <c r="I1951" t="s">
        <v>44</v>
      </c>
      <c r="J1951" t="s">
        <v>51</v>
      </c>
      <c r="K1951" t="s">
        <v>23</v>
      </c>
      <c r="L1951">
        <f>F1950*G1950*(1-H1950)</f>
        <v>2997</v>
      </c>
    </row>
    <row r="1952" spans="1:12">
      <c r="A1952" t="s">
        <v>2706</v>
      </c>
      <c r="B1952" s="1">
        <v>46242</v>
      </c>
      <c r="C1952" t="s">
        <v>1094</v>
      </c>
      <c r="D1952" t="s">
        <v>31</v>
      </c>
      <c r="E1952" t="s">
        <v>27</v>
      </c>
      <c r="F1952">
        <v>4</v>
      </c>
      <c r="G1952">
        <v>4999</v>
      </c>
      <c r="H1952">
        <v>0.15</v>
      </c>
      <c r="I1952" t="s">
        <v>47</v>
      </c>
      <c r="J1952" t="s">
        <v>51</v>
      </c>
      <c r="K1952" t="s">
        <v>23</v>
      </c>
      <c r="L1952">
        <f>F1951*G1951*(1-H1951)</f>
        <v>1358.3</v>
      </c>
    </row>
    <row r="1953" spans="1:12">
      <c r="A1953" t="s">
        <v>2707</v>
      </c>
      <c r="B1953" s="1">
        <v>46161</v>
      </c>
      <c r="C1953" t="s">
        <v>2115</v>
      </c>
      <c r="D1953" t="s">
        <v>31</v>
      </c>
      <c r="E1953" t="s">
        <v>21</v>
      </c>
      <c r="F1953">
        <v>5</v>
      </c>
      <c r="G1953">
        <v>1499</v>
      </c>
      <c r="H1953">
        <v>0</v>
      </c>
      <c r="I1953" t="s">
        <v>47</v>
      </c>
      <c r="J1953" t="s">
        <v>28</v>
      </c>
      <c r="K1953" t="s">
        <v>37</v>
      </c>
      <c r="L1953">
        <f>F1952*G1952*(1-H1952)</f>
        <v>16996.599999999999</v>
      </c>
    </row>
    <row r="1954" spans="1:12">
      <c r="A1954" t="s">
        <v>2708</v>
      </c>
      <c r="B1954" s="1">
        <v>46170</v>
      </c>
      <c r="C1954" t="s">
        <v>353</v>
      </c>
      <c r="D1954" t="s">
        <v>26</v>
      </c>
      <c r="E1954" t="s">
        <v>27</v>
      </c>
      <c r="F1954">
        <v>3</v>
      </c>
      <c r="G1954">
        <v>1299</v>
      </c>
      <c r="H1954">
        <v>0</v>
      </c>
      <c r="I1954" t="s">
        <v>15</v>
      </c>
      <c r="J1954" t="s">
        <v>16</v>
      </c>
      <c r="K1954" t="s">
        <v>17</v>
      </c>
      <c r="L1954">
        <f>F1953*G1953*(1-H1953)</f>
        <v>7495</v>
      </c>
    </row>
    <row r="1955" spans="1:12">
      <c r="A1955" t="s">
        <v>2709</v>
      </c>
      <c r="B1955" s="1">
        <v>46261</v>
      </c>
      <c r="C1955" t="s">
        <v>610</v>
      </c>
      <c r="D1955" t="s">
        <v>71</v>
      </c>
      <c r="E1955" t="s">
        <v>27</v>
      </c>
      <c r="F1955">
        <v>4</v>
      </c>
      <c r="G1955">
        <v>4999</v>
      </c>
      <c r="H1955">
        <v>0.1</v>
      </c>
      <c r="I1955" t="s">
        <v>47</v>
      </c>
      <c r="J1955" t="s">
        <v>28</v>
      </c>
      <c r="K1955" t="s">
        <v>17</v>
      </c>
      <c r="L1955">
        <f>F1954*G1954*(1-H1954)</f>
        <v>3897</v>
      </c>
    </row>
    <row r="1956" spans="1:12">
      <c r="A1956" t="s">
        <v>2710</v>
      </c>
      <c r="B1956" s="1">
        <v>46176</v>
      </c>
      <c r="C1956" t="s">
        <v>154</v>
      </c>
      <c r="D1956" t="s">
        <v>31</v>
      </c>
      <c r="E1956" t="s">
        <v>21</v>
      </c>
      <c r="F1956">
        <v>1</v>
      </c>
      <c r="G1956">
        <v>1299</v>
      </c>
      <c r="H1956">
        <v>0</v>
      </c>
      <c r="I1956" t="s">
        <v>15</v>
      </c>
      <c r="J1956" t="s">
        <v>28</v>
      </c>
      <c r="K1956" t="s">
        <v>17</v>
      </c>
      <c r="L1956">
        <f>F1955*G1955*(1-H1955)</f>
        <v>17996.400000000001</v>
      </c>
    </row>
    <row r="1957" spans="1:12">
      <c r="A1957" t="s">
        <v>2711</v>
      </c>
      <c r="B1957" s="1">
        <v>46060</v>
      </c>
      <c r="C1957" t="s">
        <v>736</v>
      </c>
      <c r="D1957" t="s">
        <v>13</v>
      </c>
      <c r="E1957" t="s">
        <v>21</v>
      </c>
      <c r="F1957">
        <v>5</v>
      </c>
      <c r="G1957">
        <v>1499</v>
      </c>
      <c r="H1957">
        <v>0.15</v>
      </c>
      <c r="I1957" t="s">
        <v>47</v>
      </c>
      <c r="J1957" t="s">
        <v>28</v>
      </c>
      <c r="K1957" t="s">
        <v>37</v>
      </c>
      <c r="L1957">
        <f>F1956*G1956*(1-H1956)</f>
        <v>1299</v>
      </c>
    </row>
    <row r="1958" spans="1:12">
      <c r="A1958" t="s">
        <v>2712</v>
      </c>
      <c r="B1958" s="1">
        <v>46105</v>
      </c>
      <c r="C1958" t="s">
        <v>2713</v>
      </c>
      <c r="D1958" t="s">
        <v>71</v>
      </c>
      <c r="E1958" t="s">
        <v>14</v>
      </c>
      <c r="F1958">
        <v>3</v>
      </c>
      <c r="G1958">
        <v>599</v>
      </c>
      <c r="H1958">
        <v>0</v>
      </c>
      <c r="I1958" t="s">
        <v>32</v>
      </c>
      <c r="J1958" t="s">
        <v>16</v>
      </c>
      <c r="K1958" t="s">
        <v>37</v>
      </c>
      <c r="L1958">
        <f>F1957*G1957*(1-H1957)</f>
        <v>6370.75</v>
      </c>
    </row>
    <row r="1959" spans="1:12">
      <c r="A1959" t="s">
        <v>2714</v>
      </c>
      <c r="B1959" s="1">
        <v>46274</v>
      </c>
      <c r="C1959" t="s">
        <v>396</v>
      </c>
      <c r="D1959" t="s">
        <v>62</v>
      </c>
      <c r="E1959" t="s">
        <v>27</v>
      </c>
      <c r="F1959">
        <v>1</v>
      </c>
      <c r="G1959">
        <v>1299</v>
      </c>
      <c r="H1959">
        <v>0</v>
      </c>
      <c r="I1959" t="s">
        <v>47</v>
      </c>
      <c r="J1959" t="s">
        <v>28</v>
      </c>
      <c r="K1959" t="s">
        <v>17</v>
      </c>
      <c r="L1959">
        <f>F1958*G1958*(1-H1958)</f>
        <v>1797</v>
      </c>
    </row>
    <row r="1960" spans="1:12">
      <c r="A1960" t="s">
        <v>2715</v>
      </c>
      <c r="B1960" s="1">
        <v>46165</v>
      </c>
      <c r="C1960" t="s">
        <v>189</v>
      </c>
      <c r="D1960" t="s">
        <v>43</v>
      </c>
      <c r="E1960" t="s">
        <v>27</v>
      </c>
      <c r="F1960">
        <v>4</v>
      </c>
      <c r="G1960">
        <v>1499</v>
      </c>
      <c r="H1960">
        <v>0</v>
      </c>
      <c r="I1960" t="s">
        <v>32</v>
      </c>
      <c r="J1960" t="s">
        <v>36</v>
      </c>
      <c r="K1960" t="s">
        <v>23</v>
      </c>
      <c r="L1960">
        <f>F1959*G1959*(1-H1959)</f>
        <v>1299</v>
      </c>
    </row>
    <row r="1961" spans="1:12">
      <c r="A1961" t="s">
        <v>2716</v>
      </c>
      <c r="B1961" s="1">
        <v>46283</v>
      </c>
      <c r="C1961" t="s">
        <v>639</v>
      </c>
      <c r="D1961" t="s">
        <v>71</v>
      </c>
      <c r="E1961" t="s">
        <v>40</v>
      </c>
      <c r="F1961">
        <v>1</v>
      </c>
      <c r="G1961">
        <v>599</v>
      </c>
      <c r="H1961">
        <v>0.05</v>
      </c>
      <c r="I1961" t="s">
        <v>50</v>
      </c>
      <c r="J1961" t="s">
        <v>51</v>
      </c>
      <c r="K1961" t="s">
        <v>37</v>
      </c>
      <c r="L1961">
        <f>F1960*G1960*(1-H1960)</f>
        <v>5996</v>
      </c>
    </row>
    <row r="1962" spans="1:12">
      <c r="A1962" t="s">
        <v>2717</v>
      </c>
      <c r="B1962" s="1">
        <v>46081</v>
      </c>
      <c r="C1962" t="s">
        <v>1465</v>
      </c>
      <c r="D1962" t="s">
        <v>62</v>
      </c>
      <c r="E1962" t="s">
        <v>35</v>
      </c>
      <c r="F1962">
        <v>5</v>
      </c>
      <c r="G1962">
        <v>4999</v>
      </c>
      <c r="H1962">
        <v>0.05</v>
      </c>
      <c r="I1962" t="s">
        <v>50</v>
      </c>
      <c r="J1962" t="s">
        <v>36</v>
      </c>
      <c r="K1962" t="s">
        <v>23</v>
      </c>
      <c r="L1962">
        <f>F1961*G1961*(1-H1961)</f>
        <v>569.04999999999995</v>
      </c>
    </row>
    <row r="1963" spans="1:12">
      <c r="A1963" t="s">
        <v>2718</v>
      </c>
      <c r="B1963" s="1">
        <v>46245</v>
      </c>
      <c r="C1963" t="s">
        <v>263</v>
      </c>
      <c r="D1963" t="s">
        <v>31</v>
      </c>
      <c r="E1963" t="s">
        <v>21</v>
      </c>
      <c r="F1963">
        <v>4</v>
      </c>
      <c r="G1963">
        <v>799</v>
      </c>
      <c r="H1963">
        <v>0.05</v>
      </c>
      <c r="I1963" t="s">
        <v>32</v>
      </c>
      <c r="J1963" t="s">
        <v>28</v>
      </c>
      <c r="K1963" t="s">
        <v>23</v>
      </c>
      <c r="L1963">
        <f>F1962*G1962*(1-H1962)</f>
        <v>23745.25</v>
      </c>
    </row>
    <row r="1964" spans="1:12">
      <c r="A1964" t="s">
        <v>2719</v>
      </c>
      <c r="B1964" s="1">
        <v>46156</v>
      </c>
      <c r="C1964" t="s">
        <v>2256</v>
      </c>
      <c r="D1964" t="s">
        <v>71</v>
      </c>
      <c r="E1964" t="s">
        <v>27</v>
      </c>
      <c r="F1964">
        <v>5</v>
      </c>
      <c r="G1964">
        <v>2499</v>
      </c>
      <c r="H1964">
        <v>0.05</v>
      </c>
      <c r="I1964" t="s">
        <v>15</v>
      </c>
      <c r="J1964" t="s">
        <v>16</v>
      </c>
      <c r="K1964" t="s">
        <v>23</v>
      </c>
      <c r="L1964">
        <f>F1963*G1963*(1-H1963)</f>
        <v>3036.2</v>
      </c>
    </row>
    <row r="1965" spans="1:12">
      <c r="A1965" t="s">
        <v>2720</v>
      </c>
      <c r="B1965" s="1">
        <v>46226</v>
      </c>
      <c r="C1965" t="s">
        <v>1017</v>
      </c>
      <c r="D1965" t="s">
        <v>71</v>
      </c>
      <c r="E1965" t="s">
        <v>14</v>
      </c>
      <c r="F1965">
        <v>5</v>
      </c>
      <c r="G1965">
        <v>999</v>
      </c>
      <c r="H1965">
        <v>0</v>
      </c>
      <c r="I1965" t="s">
        <v>15</v>
      </c>
      <c r="J1965" t="s">
        <v>28</v>
      </c>
      <c r="K1965" t="s">
        <v>17</v>
      </c>
      <c r="L1965">
        <f>F1964*G1964*(1-H1964)</f>
        <v>11870.25</v>
      </c>
    </row>
    <row r="1966" spans="1:12">
      <c r="A1966" t="s">
        <v>2721</v>
      </c>
      <c r="B1966" s="1">
        <v>46068</v>
      </c>
      <c r="C1966" t="s">
        <v>1297</v>
      </c>
      <c r="D1966" t="s">
        <v>31</v>
      </c>
      <c r="E1966" t="s">
        <v>14</v>
      </c>
      <c r="F1966">
        <v>1</v>
      </c>
      <c r="G1966">
        <v>1999</v>
      </c>
      <c r="H1966">
        <v>0</v>
      </c>
      <c r="I1966" t="s">
        <v>32</v>
      </c>
      <c r="J1966" t="s">
        <v>22</v>
      </c>
      <c r="K1966" t="s">
        <v>17</v>
      </c>
      <c r="L1966">
        <f>F1965*G1965*(1-H1965)</f>
        <v>4995</v>
      </c>
    </row>
    <row r="1967" spans="1:12">
      <c r="A1967" t="s">
        <v>2722</v>
      </c>
      <c r="B1967" s="1">
        <v>46145</v>
      </c>
      <c r="C1967" t="s">
        <v>217</v>
      </c>
      <c r="D1967" t="s">
        <v>71</v>
      </c>
      <c r="E1967" t="s">
        <v>27</v>
      </c>
      <c r="F1967">
        <v>4</v>
      </c>
      <c r="G1967">
        <v>599</v>
      </c>
      <c r="H1967">
        <v>0</v>
      </c>
      <c r="I1967" t="s">
        <v>50</v>
      </c>
      <c r="J1967" t="s">
        <v>16</v>
      </c>
      <c r="K1967" t="s">
        <v>37</v>
      </c>
      <c r="L1967">
        <f>F1966*G1966*(1-H1966)</f>
        <v>1999</v>
      </c>
    </row>
    <row r="1968" spans="1:12">
      <c r="A1968" t="s">
        <v>2723</v>
      </c>
      <c r="B1968" s="1">
        <v>46291</v>
      </c>
      <c r="C1968" t="s">
        <v>2724</v>
      </c>
      <c r="D1968" t="s">
        <v>20</v>
      </c>
      <c r="E1968" t="s">
        <v>14</v>
      </c>
      <c r="F1968">
        <v>4</v>
      </c>
      <c r="G1968">
        <v>1999</v>
      </c>
      <c r="H1968">
        <v>0</v>
      </c>
      <c r="I1968" t="s">
        <v>32</v>
      </c>
      <c r="J1968" t="s">
        <v>28</v>
      </c>
      <c r="K1968" t="s">
        <v>17</v>
      </c>
      <c r="L1968">
        <f>F1967*G1967*(1-H1967)</f>
        <v>2396</v>
      </c>
    </row>
    <row r="1969" spans="1:12">
      <c r="A1969" t="s">
        <v>2725</v>
      </c>
      <c r="B1969" s="1">
        <v>46043</v>
      </c>
      <c r="C1969" t="s">
        <v>2726</v>
      </c>
      <c r="D1969" t="s">
        <v>43</v>
      </c>
      <c r="E1969" t="s">
        <v>14</v>
      </c>
      <c r="F1969">
        <v>3</v>
      </c>
      <c r="G1969">
        <v>599</v>
      </c>
      <c r="H1969">
        <v>0</v>
      </c>
      <c r="I1969" t="s">
        <v>47</v>
      </c>
      <c r="J1969" t="s">
        <v>22</v>
      </c>
      <c r="K1969" t="s">
        <v>17</v>
      </c>
      <c r="L1969">
        <f>F1968*G1968*(1-H1968)</f>
        <v>7996</v>
      </c>
    </row>
    <row r="1970" spans="1:12">
      <c r="A1970" t="s">
        <v>2727</v>
      </c>
      <c r="B1970" s="1">
        <v>46168</v>
      </c>
      <c r="C1970" t="s">
        <v>539</v>
      </c>
      <c r="D1970" t="s">
        <v>31</v>
      </c>
      <c r="E1970" t="s">
        <v>35</v>
      </c>
      <c r="F1970">
        <v>5</v>
      </c>
      <c r="G1970">
        <v>1999</v>
      </c>
      <c r="H1970">
        <v>0</v>
      </c>
      <c r="I1970" t="s">
        <v>15</v>
      </c>
      <c r="J1970" t="s">
        <v>51</v>
      </c>
      <c r="K1970" t="s">
        <v>17</v>
      </c>
      <c r="L1970">
        <f>F1969*G1969*(1-H1969)</f>
        <v>1797</v>
      </c>
    </row>
    <row r="1971" spans="1:12">
      <c r="A1971" t="s">
        <v>2728</v>
      </c>
      <c r="B1971" s="1">
        <v>46099</v>
      </c>
      <c r="C1971" t="s">
        <v>1469</v>
      </c>
      <c r="D1971" t="s">
        <v>62</v>
      </c>
      <c r="E1971" t="s">
        <v>21</v>
      </c>
      <c r="F1971">
        <v>3</v>
      </c>
      <c r="G1971">
        <v>1299</v>
      </c>
      <c r="H1971">
        <v>0.1</v>
      </c>
      <c r="I1971" t="s">
        <v>47</v>
      </c>
      <c r="J1971" t="s">
        <v>36</v>
      </c>
      <c r="K1971" t="s">
        <v>17</v>
      </c>
      <c r="L1971">
        <f>F1970*G1970*(1-H1970)</f>
        <v>9995</v>
      </c>
    </row>
    <row r="1972" spans="1:12">
      <c r="A1972" t="s">
        <v>2729</v>
      </c>
      <c r="B1972" s="1">
        <v>46202</v>
      </c>
      <c r="C1972" t="s">
        <v>1125</v>
      </c>
      <c r="D1972" t="s">
        <v>71</v>
      </c>
      <c r="E1972" t="s">
        <v>27</v>
      </c>
      <c r="F1972">
        <v>5</v>
      </c>
      <c r="G1972">
        <v>1999</v>
      </c>
      <c r="H1972">
        <v>0</v>
      </c>
      <c r="I1972" t="s">
        <v>32</v>
      </c>
      <c r="J1972" t="s">
        <v>36</v>
      </c>
      <c r="K1972" t="s">
        <v>37</v>
      </c>
      <c r="L1972">
        <f>F1971*G1971*(1-H1971)</f>
        <v>3507.3</v>
      </c>
    </row>
    <row r="1973" spans="1:12">
      <c r="A1973" t="s">
        <v>2730</v>
      </c>
      <c r="B1973" s="1">
        <v>46036</v>
      </c>
      <c r="C1973" t="s">
        <v>891</v>
      </c>
      <c r="D1973" t="s">
        <v>26</v>
      </c>
      <c r="E1973" t="s">
        <v>21</v>
      </c>
      <c r="F1973">
        <v>4</v>
      </c>
      <c r="G1973">
        <v>1299</v>
      </c>
      <c r="H1973">
        <v>0.15</v>
      </c>
      <c r="I1973" t="s">
        <v>50</v>
      </c>
      <c r="J1973" t="s">
        <v>51</v>
      </c>
      <c r="K1973" t="s">
        <v>17</v>
      </c>
      <c r="L1973">
        <f>F1972*G1972*(1-H1972)</f>
        <v>9995</v>
      </c>
    </row>
    <row r="1974" spans="1:12">
      <c r="A1974" t="s">
        <v>2731</v>
      </c>
      <c r="B1974" s="1">
        <v>46023</v>
      </c>
      <c r="C1974" t="s">
        <v>219</v>
      </c>
      <c r="D1974" t="s">
        <v>31</v>
      </c>
      <c r="E1974" t="s">
        <v>14</v>
      </c>
      <c r="F1974">
        <v>4</v>
      </c>
      <c r="G1974">
        <v>499</v>
      </c>
      <c r="H1974">
        <v>0</v>
      </c>
      <c r="I1974" t="s">
        <v>32</v>
      </c>
      <c r="J1974" t="s">
        <v>16</v>
      </c>
      <c r="K1974" t="s">
        <v>37</v>
      </c>
      <c r="L1974">
        <f>F1973*G1973*(1-H1973)</f>
        <v>4416.5999999999995</v>
      </c>
    </row>
    <row r="1975" spans="1:12">
      <c r="A1975" t="s">
        <v>2732</v>
      </c>
      <c r="B1975" s="1">
        <v>46081</v>
      </c>
      <c r="C1975" t="s">
        <v>2724</v>
      </c>
      <c r="D1975" t="s">
        <v>59</v>
      </c>
      <c r="E1975" t="s">
        <v>21</v>
      </c>
      <c r="F1975">
        <v>5</v>
      </c>
      <c r="G1975">
        <v>499</v>
      </c>
      <c r="H1975">
        <v>0.1</v>
      </c>
      <c r="I1975" t="s">
        <v>50</v>
      </c>
      <c r="J1975" t="s">
        <v>28</v>
      </c>
      <c r="K1975" t="s">
        <v>37</v>
      </c>
      <c r="L1975">
        <f>F1974*G1974*(1-H1974)</f>
        <v>1996</v>
      </c>
    </row>
    <row r="1976" spans="1:12">
      <c r="A1976" t="s">
        <v>2733</v>
      </c>
      <c r="B1976" s="1">
        <v>46204</v>
      </c>
      <c r="C1976" t="s">
        <v>899</v>
      </c>
      <c r="D1976" t="s">
        <v>71</v>
      </c>
      <c r="E1976" t="s">
        <v>40</v>
      </c>
      <c r="F1976">
        <v>5</v>
      </c>
      <c r="G1976">
        <v>1999</v>
      </c>
      <c r="H1976">
        <v>0</v>
      </c>
      <c r="I1976" t="s">
        <v>47</v>
      </c>
      <c r="J1976" t="s">
        <v>16</v>
      </c>
      <c r="K1976" t="s">
        <v>37</v>
      </c>
      <c r="L1976">
        <f>F1975*G1975*(1-H1975)</f>
        <v>2245.5</v>
      </c>
    </row>
    <row r="1977" spans="1:12">
      <c r="A1977" t="s">
        <v>2734</v>
      </c>
      <c r="B1977" s="1">
        <v>46064</v>
      </c>
      <c r="C1977" t="s">
        <v>2735</v>
      </c>
      <c r="D1977" t="s">
        <v>26</v>
      </c>
      <c r="E1977" t="s">
        <v>27</v>
      </c>
      <c r="F1977">
        <v>5</v>
      </c>
      <c r="G1977">
        <v>1299</v>
      </c>
      <c r="H1977">
        <v>0.05</v>
      </c>
      <c r="I1977" t="s">
        <v>50</v>
      </c>
      <c r="J1977" t="s">
        <v>51</v>
      </c>
      <c r="K1977" t="s">
        <v>17</v>
      </c>
      <c r="L1977">
        <f>F1976*G1976*(1-H1976)</f>
        <v>9995</v>
      </c>
    </row>
    <row r="1978" spans="1:12">
      <c r="A1978" t="s">
        <v>2736</v>
      </c>
      <c r="B1978" s="1">
        <v>46135</v>
      </c>
      <c r="C1978" t="s">
        <v>1306</v>
      </c>
      <c r="D1978" t="s">
        <v>13</v>
      </c>
      <c r="E1978" t="s">
        <v>27</v>
      </c>
      <c r="F1978">
        <v>1</v>
      </c>
      <c r="G1978">
        <v>999</v>
      </c>
      <c r="H1978">
        <v>0.1</v>
      </c>
      <c r="I1978" t="s">
        <v>47</v>
      </c>
      <c r="J1978" t="s">
        <v>51</v>
      </c>
      <c r="K1978" t="s">
        <v>17</v>
      </c>
      <c r="L1978">
        <f>F1977*G1977*(1-H1977)</f>
        <v>6170.25</v>
      </c>
    </row>
    <row r="1979" spans="1:12">
      <c r="A1979" t="s">
        <v>2737</v>
      </c>
      <c r="B1979" s="1">
        <v>46090</v>
      </c>
      <c r="C1979" t="s">
        <v>2083</v>
      </c>
      <c r="D1979" t="s">
        <v>13</v>
      </c>
      <c r="E1979" t="s">
        <v>40</v>
      </c>
      <c r="F1979">
        <v>3</v>
      </c>
      <c r="G1979">
        <v>4999</v>
      </c>
      <c r="H1979">
        <v>0</v>
      </c>
      <c r="I1979" t="s">
        <v>47</v>
      </c>
      <c r="J1979" t="s">
        <v>28</v>
      </c>
      <c r="K1979" t="s">
        <v>37</v>
      </c>
      <c r="L1979">
        <f>F1978*G1978*(1-H1978)</f>
        <v>899.1</v>
      </c>
    </row>
    <row r="1980" spans="1:12">
      <c r="A1980" t="s">
        <v>2738</v>
      </c>
      <c r="B1980" s="1">
        <v>46255</v>
      </c>
      <c r="C1980" t="s">
        <v>690</v>
      </c>
      <c r="D1980" t="s">
        <v>59</v>
      </c>
      <c r="E1980" t="s">
        <v>35</v>
      </c>
      <c r="F1980">
        <v>1</v>
      </c>
      <c r="G1980">
        <v>799</v>
      </c>
      <c r="H1980">
        <v>0</v>
      </c>
      <c r="I1980" t="s">
        <v>44</v>
      </c>
      <c r="J1980" t="s">
        <v>16</v>
      </c>
      <c r="K1980" t="s">
        <v>23</v>
      </c>
      <c r="L1980">
        <f>F1979*G1979*(1-H1979)</f>
        <v>14997</v>
      </c>
    </row>
    <row r="1981" spans="1:12">
      <c r="A1981" t="s">
        <v>2739</v>
      </c>
      <c r="B1981" s="1">
        <v>46045</v>
      </c>
      <c r="C1981" t="s">
        <v>1393</v>
      </c>
      <c r="D1981" t="s">
        <v>31</v>
      </c>
      <c r="E1981" t="s">
        <v>14</v>
      </c>
      <c r="F1981">
        <v>5</v>
      </c>
      <c r="G1981">
        <v>1499</v>
      </c>
      <c r="H1981">
        <v>0.1</v>
      </c>
      <c r="I1981" t="s">
        <v>44</v>
      </c>
      <c r="J1981" t="s">
        <v>36</v>
      </c>
      <c r="K1981" t="s">
        <v>37</v>
      </c>
      <c r="L1981">
        <f>F1980*G1980*(1-H1980)</f>
        <v>799</v>
      </c>
    </row>
    <row r="1982" spans="1:12">
      <c r="A1982" t="s">
        <v>2740</v>
      </c>
      <c r="B1982" s="1">
        <v>46133</v>
      </c>
      <c r="C1982" t="s">
        <v>2241</v>
      </c>
      <c r="D1982" t="s">
        <v>26</v>
      </c>
      <c r="E1982" t="s">
        <v>35</v>
      </c>
      <c r="F1982">
        <v>3</v>
      </c>
      <c r="G1982">
        <v>4999</v>
      </c>
      <c r="H1982">
        <v>0</v>
      </c>
      <c r="I1982" t="s">
        <v>32</v>
      </c>
      <c r="J1982" t="s">
        <v>16</v>
      </c>
      <c r="K1982" t="s">
        <v>17</v>
      </c>
      <c r="L1982">
        <f>F1981*G1981*(1-H1981)</f>
        <v>6745.5</v>
      </c>
    </row>
    <row r="1983" spans="1:12">
      <c r="A1983" t="s">
        <v>2741</v>
      </c>
      <c r="B1983" s="1">
        <v>46182</v>
      </c>
      <c r="C1983" t="s">
        <v>660</v>
      </c>
      <c r="D1983" t="s">
        <v>59</v>
      </c>
      <c r="E1983" t="s">
        <v>27</v>
      </c>
      <c r="F1983">
        <v>3</v>
      </c>
      <c r="G1983">
        <v>1999</v>
      </c>
      <c r="H1983">
        <v>0</v>
      </c>
      <c r="I1983" t="s">
        <v>44</v>
      </c>
      <c r="J1983" t="s">
        <v>36</v>
      </c>
      <c r="K1983" t="s">
        <v>17</v>
      </c>
      <c r="L1983">
        <f>F1982*G1982*(1-H1982)</f>
        <v>14997</v>
      </c>
    </row>
    <row r="1984" spans="1:12">
      <c r="A1984" t="s">
        <v>2742</v>
      </c>
      <c r="B1984" s="1">
        <v>46223</v>
      </c>
      <c r="C1984" t="s">
        <v>117</v>
      </c>
      <c r="D1984" t="s">
        <v>20</v>
      </c>
      <c r="E1984" t="s">
        <v>21</v>
      </c>
      <c r="F1984">
        <v>1</v>
      </c>
      <c r="G1984">
        <v>999</v>
      </c>
      <c r="H1984">
        <v>0</v>
      </c>
      <c r="I1984" t="s">
        <v>32</v>
      </c>
      <c r="J1984" t="s">
        <v>51</v>
      </c>
      <c r="K1984" t="s">
        <v>17</v>
      </c>
      <c r="L1984">
        <f>F1983*G1983*(1-H1983)</f>
        <v>5997</v>
      </c>
    </row>
    <row r="1985" spans="1:12">
      <c r="A1985" t="s">
        <v>2743</v>
      </c>
      <c r="B1985" s="1">
        <v>46284</v>
      </c>
      <c r="C1985" t="s">
        <v>594</v>
      </c>
      <c r="D1985" t="s">
        <v>56</v>
      </c>
      <c r="E1985" t="s">
        <v>40</v>
      </c>
      <c r="F1985">
        <v>1</v>
      </c>
      <c r="G1985">
        <v>1999</v>
      </c>
      <c r="H1985">
        <v>0.15</v>
      </c>
      <c r="I1985" t="s">
        <v>44</v>
      </c>
      <c r="J1985" t="s">
        <v>36</v>
      </c>
      <c r="K1985" t="s">
        <v>37</v>
      </c>
      <c r="L1985">
        <f>F1984*G1984*(1-H1984)</f>
        <v>999</v>
      </c>
    </row>
    <row r="1986" spans="1:12">
      <c r="A1986" t="s">
        <v>2744</v>
      </c>
      <c r="B1986" s="1">
        <v>46119</v>
      </c>
      <c r="C1986" t="s">
        <v>663</v>
      </c>
      <c r="D1986" t="s">
        <v>20</v>
      </c>
      <c r="E1986" t="s">
        <v>40</v>
      </c>
      <c r="F1986">
        <v>5</v>
      </c>
      <c r="G1986">
        <v>499</v>
      </c>
      <c r="H1986">
        <v>0.15</v>
      </c>
      <c r="I1986" t="s">
        <v>47</v>
      </c>
      <c r="J1986" t="s">
        <v>36</v>
      </c>
      <c r="K1986" t="s">
        <v>17</v>
      </c>
      <c r="L1986">
        <f>F1985*G1985*(1-H1985)</f>
        <v>1699.1499999999999</v>
      </c>
    </row>
    <row r="1987" spans="1:12">
      <c r="A1987" t="s">
        <v>2745</v>
      </c>
      <c r="B1987" s="1">
        <v>46205</v>
      </c>
      <c r="C1987" t="s">
        <v>1118</v>
      </c>
      <c r="D1987" t="s">
        <v>62</v>
      </c>
      <c r="E1987" t="s">
        <v>27</v>
      </c>
      <c r="F1987">
        <v>2</v>
      </c>
      <c r="G1987">
        <v>999</v>
      </c>
      <c r="H1987">
        <v>0.1</v>
      </c>
      <c r="I1987" t="s">
        <v>32</v>
      </c>
      <c r="J1987" t="s">
        <v>16</v>
      </c>
      <c r="K1987" t="s">
        <v>23</v>
      </c>
      <c r="L1987">
        <f>F1986*G1986*(1-H1986)</f>
        <v>2120.75</v>
      </c>
    </row>
    <row r="1988" spans="1:12">
      <c r="A1988" t="s">
        <v>2746</v>
      </c>
      <c r="B1988" s="1">
        <v>46095</v>
      </c>
      <c r="C1988" t="s">
        <v>663</v>
      </c>
      <c r="D1988" t="s">
        <v>26</v>
      </c>
      <c r="E1988" t="s">
        <v>35</v>
      </c>
      <c r="F1988">
        <v>4</v>
      </c>
      <c r="G1988">
        <v>799</v>
      </c>
      <c r="H1988">
        <v>0.15</v>
      </c>
      <c r="I1988" t="s">
        <v>50</v>
      </c>
      <c r="J1988" t="s">
        <v>28</v>
      </c>
      <c r="K1988" t="s">
        <v>17</v>
      </c>
      <c r="L1988">
        <f>F1987*G1987*(1-H1987)</f>
        <v>1798.2</v>
      </c>
    </row>
    <row r="1989" spans="1:12">
      <c r="A1989" t="s">
        <v>2747</v>
      </c>
      <c r="B1989" s="1">
        <v>46026</v>
      </c>
      <c r="C1989" t="s">
        <v>2413</v>
      </c>
      <c r="D1989" t="s">
        <v>71</v>
      </c>
      <c r="E1989" t="s">
        <v>35</v>
      </c>
      <c r="F1989">
        <v>3</v>
      </c>
      <c r="G1989">
        <v>999</v>
      </c>
      <c r="H1989">
        <v>0.05</v>
      </c>
      <c r="I1989" t="s">
        <v>32</v>
      </c>
      <c r="J1989" t="s">
        <v>22</v>
      </c>
      <c r="K1989" t="s">
        <v>17</v>
      </c>
      <c r="L1989">
        <f>F1988*G1988*(1-H1988)</f>
        <v>2716.6</v>
      </c>
    </row>
    <row r="1990" spans="1:12">
      <c r="A1990" t="s">
        <v>2748</v>
      </c>
      <c r="B1990" s="1">
        <v>46091</v>
      </c>
      <c r="C1990" t="s">
        <v>2463</v>
      </c>
      <c r="D1990" t="s">
        <v>31</v>
      </c>
      <c r="E1990" t="s">
        <v>14</v>
      </c>
      <c r="F1990">
        <v>3</v>
      </c>
      <c r="G1990">
        <v>4999</v>
      </c>
      <c r="H1990">
        <v>0.15</v>
      </c>
      <c r="I1990" t="s">
        <v>50</v>
      </c>
      <c r="J1990" t="s">
        <v>28</v>
      </c>
      <c r="K1990" t="s">
        <v>37</v>
      </c>
      <c r="L1990">
        <f>F1989*G1989*(1-H1989)</f>
        <v>2847.15</v>
      </c>
    </row>
    <row r="1991" spans="1:12">
      <c r="A1991" t="s">
        <v>2749</v>
      </c>
      <c r="B1991" s="1">
        <v>46085</v>
      </c>
      <c r="C1991" t="s">
        <v>848</v>
      </c>
      <c r="D1991" t="s">
        <v>78</v>
      </c>
      <c r="E1991" t="s">
        <v>14</v>
      </c>
      <c r="F1991">
        <v>5</v>
      </c>
      <c r="G1991">
        <v>4999</v>
      </c>
      <c r="H1991">
        <v>0.05</v>
      </c>
      <c r="I1991" t="s">
        <v>47</v>
      </c>
      <c r="J1991" t="s">
        <v>51</v>
      </c>
      <c r="K1991" t="s">
        <v>17</v>
      </c>
      <c r="L1991">
        <f>F1990*G1990*(1-H1990)</f>
        <v>12747.449999999999</v>
      </c>
    </row>
    <row r="1992" spans="1:12">
      <c r="A1992" t="s">
        <v>2750</v>
      </c>
      <c r="B1992" s="1">
        <v>46114</v>
      </c>
      <c r="C1992" t="s">
        <v>2751</v>
      </c>
      <c r="D1992" t="s">
        <v>26</v>
      </c>
      <c r="E1992" t="s">
        <v>40</v>
      </c>
      <c r="F1992">
        <v>1</v>
      </c>
      <c r="G1992">
        <v>799</v>
      </c>
      <c r="H1992">
        <v>0.05</v>
      </c>
      <c r="I1992" t="s">
        <v>47</v>
      </c>
      <c r="J1992" t="s">
        <v>22</v>
      </c>
      <c r="K1992" t="s">
        <v>17</v>
      </c>
      <c r="L1992">
        <f>F1991*G1991*(1-H1991)</f>
        <v>23745.25</v>
      </c>
    </row>
    <row r="1993" spans="1:12">
      <c r="A1993" t="s">
        <v>2752</v>
      </c>
      <c r="B1993" s="1">
        <v>46197</v>
      </c>
      <c r="C1993" t="s">
        <v>492</v>
      </c>
      <c r="D1993" t="s">
        <v>62</v>
      </c>
      <c r="E1993" t="s">
        <v>21</v>
      </c>
      <c r="F1993">
        <v>5</v>
      </c>
      <c r="G1993">
        <v>599</v>
      </c>
      <c r="H1993">
        <v>0</v>
      </c>
      <c r="I1993" t="s">
        <v>44</v>
      </c>
      <c r="J1993" t="s">
        <v>36</v>
      </c>
      <c r="K1993" t="s">
        <v>17</v>
      </c>
      <c r="L1993">
        <f>F1992*G1992*(1-H1992)</f>
        <v>759.05</v>
      </c>
    </row>
    <row r="1994" spans="1:12">
      <c r="A1994" t="s">
        <v>2753</v>
      </c>
      <c r="B1994" s="1">
        <v>46223</v>
      </c>
      <c r="C1994" t="s">
        <v>1297</v>
      </c>
      <c r="D1994" t="s">
        <v>56</v>
      </c>
      <c r="E1994" t="s">
        <v>14</v>
      </c>
      <c r="F1994">
        <v>4</v>
      </c>
      <c r="G1994">
        <v>1299</v>
      </c>
      <c r="H1994">
        <v>0.05</v>
      </c>
      <c r="I1994" t="s">
        <v>50</v>
      </c>
      <c r="J1994" t="s">
        <v>36</v>
      </c>
      <c r="K1994" t="s">
        <v>23</v>
      </c>
      <c r="L1994">
        <f>F1993*G1993*(1-H1993)</f>
        <v>2995</v>
      </c>
    </row>
    <row r="1995" spans="1:12">
      <c r="A1995" t="s">
        <v>2754</v>
      </c>
      <c r="B1995" s="1">
        <v>46209</v>
      </c>
      <c r="C1995" t="s">
        <v>2755</v>
      </c>
      <c r="D1995" t="s">
        <v>13</v>
      </c>
      <c r="E1995" t="s">
        <v>35</v>
      </c>
      <c r="F1995">
        <v>3</v>
      </c>
      <c r="G1995">
        <v>1999</v>
      </c>
      <c r="H1995">
        <v>0.1</v>
      </c>
      <c r="I1995" t="s">
        <v>32</v>
      </c>
      <c r="J1995" t="s">
        <v>22</v>
      </c>
      <c r="K1995" t="s">
        <v>17</v>
      </c>
      <c r="L1995">
        <f>F1994*G1994*(1-H1994)</f>
        <v>4936.2</v>
      </c>
    </row>
    <row r="1996" spans="1:12">
      <c r="A1996" t="s">
        <v>2756</v>
      </c>
      <c r="B1996" s="1">
        <v>46277</v>
      </c>
      <c r="C1996" t="s">
        <v>394</v>
      </c>
      <c r="D1996" t="s">
        <v>31</v>
      </c>
      <c r="E1996" t="s">
        <v>21</v>
      </c>
      <c r="F1996">
        <v>4</v>
      </c>
      <c r="G1996">
        <v>1999</v>
      </c>
      <c r="H1996">
        <v>0.15</v>
      </c>
      <c r="I1996" t="s">
        <v>32</v>
      </c>
      <c r="J1996" t="s">
        <v>22</v>
      </c>
      <c r="K1996" t="s">
        <v>17</v>
      </c>
      <c r="L1996">
        <f>F1995*G1995*(1-H1995)</f>
        <v>5397.3</v>
      </c>
    </row>
    <row r="1997" spans="1:12">
      <c r="A1997" t="s">
        <v>2757</v>
      </c>
      <c r="B1997" s="1">
        <v>46094</v>
      </c>
      <c r="C1997" t="s">
        <v>1250</v>
      </c>
      <c r="D1997" t="s">
        <v>26</v>
      </c>
      <c r="E1997" t="s">
        <v>27</v>
      </c>
      <c r="F1997">
        <v>5</v>
      </c>
      <c r="G1997">
        <v>4999</v>
      </c>
      <c r="H1997">
        <v>0.1</v>
      </c>
      <c r="I1997" t="s">
        <v>15</v>
      </c>
      <c r="J1997" t="s">
        <v>22</v>
      </c>
      <c r="K1997" t="s">
        <v>17</v>
      </c>
      <c r="L1997">
        <f>F1996*G1996*(1-H1996)</f>
        <v>6796.5999999999995</v>
      </c>
    </row>
    <row r="1998" spans="1:12">
      <c r="A1998" t="s">
        <v>2758</v>
      </c>
      <c r="B1998" s="1">
        <v>46055</v>
      </c>
      <c r="C1998" t="s">
        <v>2576</v>
      </c>
      <c r="D1998" t="s">
        <v>13</v>
      </c>
      <c r="E1998" t="s">
        <v>35</v>
      </c>
      <c r="F1998">
        <v>4</v>
      </c>
      <c r="G1998">
        <v>499</v>
      </c>
      <c r="H1998">
        <v>0.1</v>
      </c>
      <c r="I1998" t="s">
        <v>50</v>
      </c>
      <c r="J1998" t="s">
        <v>16</v>
      </c>
      <c r="K1998" t="s">
        <v>23</v>
      </c>
      <c r="L1998">
        <f>F1997*G1997*(1-H1997)</f>
        <v>22495.5</v>
      </c>
    </row>
    <row r="1999" spans="1:12">
      <c r="A1999" t="s">
        <v>2759</v>
      </c>
      <c r="B1999" s="1">
        <v>46127</v>
      </c>
      <c r="C1999" t="s">
        <v>1657</v>
      </c>
      <c r="D1999" t="s">
        <v>20</v>
      </c>
      <c r="E1999" t="s">
        <v>14</v>
      </c>
      <c r="F1999">
        <v>5</v>
      </c>
      <c r="G1999">
        <v>599</v>
      </c>
      <c r="H1999">
        <v>0</v>
      </c>
      <c r="I1999" t="s">
        <v>47</v>
      </c>
      <c r="J1999" t="s">
        <v>22</v>
      </c>
      <c r="K1999" t="s">
        <v>17</v>
      </c>
      <c r="L1999">
        <f>F1998*G1998*(1-H1998)</f>
        <v>1796.4</v>
      </c>
    </row>
    <row r="2000" spans="1:12">
      <c r="A2000" t="s">
        <v>2760</v>
      </c>
      <c r="B2000" s="1">
        <v>46262</v>
      </c>
      <c r="C2000" t="s">
        <v>1101</v>
      </c>
      <c r="D2000" t="s">
        <v>43</v>
      </c>
      <c r="E2000" t="s">
        <v>21</v>
      </c>
      <c r="F2000">
        <v>5</v>
      </c>
      <c r="G2000">
        <v>499</v>
      </c>
      <c r="H2000">
        <v>0.15</v>
      </c>
      <c r="I2000" t="s">
        <v>47</v>
      </c>
      <c r="J2000" t="s">
        <v>22</v>
      </c>
      <c r="K2000" t="s">
        <v>23</v>
      </c>
      <c r="L2000">
        <f>F1999*G1999*(1-H1999)</f>
        <v>2995</v>
      </c>
    </row>
    <row r="2001" spans="1:12">
      <c r="A2001" t="s">
        <v>2761</v>
      </c>
      <c r="B2001" s="1">
        <v>46066</v>
      </c>
      <c r="C2001" t="s">
        <v>2083</v>
      </c>
      <c r="D2001" t="s">
        <v>71</v>
      </c>
      <c r="E2001" t="s">
        <v>21</v>
      </c>
      <c r="F2001">
        <v>4</v>
      </c>
      <c r="G2001">
        <v>499</v>
      </c>
      <c r="H2001">
        <v>0.15</v>
      </c>
      <c r="I2001" t="s">
        <v>32</v>
      </c>
      <c r="J2001" t="s">
        <v>51</v>
      </c>
      <c r="K2001" t="s">
        <v>17</v>
      </c>
      <c r="L2001">
        <f>F2000*G2000*(1-H2000)</f>
        <v>2120.75</v>
      </c>
    </row>
    <row r="2002" spans="1:12">
      <c r="A2002" t="s">
        <v>2762</v>
      </c>
      <c r="B2002" s="1">
        <v>46233</v>
      </c>
      <c r="C2002" t="s">
        <v>2763</v>
      </c>
      <c r="D2002" t="s">
        <v>31</v>
      </c>
      <c r="E2002" t="s">
        <v>21</v>
      </c>
      <c r="F2002">
        <v>2</v>
      </c>
      <c r="G2002">
        <v>599</v>
      </c>
      <c r="H2002">
        <v>0</v>
      </c>
      <c r="I2002" t="s">
        <v>50</v>
      </c>
      <c r="J2002" t="s">
        <v>16</v>
      </c>
      <c r="K2002" t="s">
        <v>17</v>
      </c>
      <c r="L2002">
        <f>F2001*G2001*(1-H2001)</f>
        <v>1696.6</v>
      </c>
    </row>
    <row r="2003" spans="1:12">
      <c r="A2003" t="s">
        <v>2764</v>
      </c>
      <c r="B2003" s="1">
        <v>46142</v>
      </c>
      <c r="C2003" t="s">
        <v>458</v>
      </c>
      <c r="D2003" t="s">
        <v>78</v>
      </c>
      <c r="E2003" t="s">
        <v>14</v>
      </c>
      <c r="F2003">
        <v>1</v>
      </c>
      <c r="G2003">
        <v>1499</v>
      </c>
      <c r="H2003">
        <v>0</v>
      </c>
      <c r="I2003" t="s">
        <v>44</v>
      </c>
      <c r="J2003" t="s">
        <v>36</v>
      </c>
      <c r="K2003" t="s">
        <v>37</v>
      </c>
      <c r="L2003">
        <f>F2002*G2002*(1-H2002)</f>
        <v>1198</v>
      </c>
    </row>
    <row r="2004" spans="1:12">
      <c r="A2004" t="s">
        <v>2765</v>
      </c>
      <c r="B2004" s="1">
        <v>46079</v>
      </c>
      <c r="C2004" t="s">
        <v>893</v>
      </c>
      <c r="D2004" t="s">
        <v>13</v>
      </c>
      <c r="E2004" t="s">
        <v>35</v>
      </c>
      <c r="F2004">
        <v>5</v>
      </c>
      <c r="G2004">
        <v>599</v>
      </c>
      <c r="H2004">
        <v>0.15</v>
      </c>
      <c r="I2004" t="s">
        <v>32</v>
      </c>
      <c r="J2004" t="s">
        <v>51</v>
      </c>
      <c r="K2004" t="s">
        <v>17</v>
      </c>
      <c r="L2004">
        <f>F2003*G2003*(1-H2003)</f>
        <v>1499</v>
      </c>
    </row>
    <row r="2005" spans="1:12">
      <c r="A2005" t="s">
        <v>2766</v>
      </c>
      <c r="B2005" s="1">
        <v>46171</v>
      </c>
      <c r="C2005" t="s">
        <v>560</v>
      </c>
      <c r="D2005" t="s">
        <v>56</v>
      </c>
      <c r="E2005" t="s">
        <v>14</v>
      </c>
      <c r="F2005">
        <v>4</v>
      </c>
      <c r="G2005">
        <v>4999</v>
      </c>
      <c r="H2005">
        <v>0.05</v>
      </c>
      <c r="I2005" t="s">
        <v>15</v>
      </c>
      <c r="J2005" t="s">
        <v>16</v>
      </c>
      <c r="K2005" t="s">
        <v>23</v>
      </c>
      <c r="L2005">
        <f>F2004*G2004*(1-H2004)</f>
        <v>2545.75</v>
      </c>
    </row>
    <row r="2006" spans="1:12">
      <c r="A2006" t="s">
        <v>2767</v>
      </c>
      <c r="B2006" s="1">
        <v>46227</v>
      </c>
      <c r="C2006" t="s">
        <v>1094</v>
      </c>
      <c r="D2006" t="s">
        <v>26</v>
      </c>
      <c r="E2006" t="s">
        <v>27</v>
      </c>
      <c r="F2006">
        <v>5</v>
      </c>
      <c r="G2006">
        <v>2499</v>
      </c>
      <c r="H2006">
        <v>0</v>
      </c>
      <c r="I2006" t="s">
        <v>44</v>
      </c>
      <c r="J2006" t="s">
        <v>22</v>
      </c>
      <c r="K2006" t="s">
        <v>17</v>
      </c>
      <c r="L2006">
        <f>F2005*G2005*(1-H2005)</f>
        <v>18996.2</v>
      </c>
    </row>
    <row r="2007" spans="1:12">
      <c r="A2007" t="s">
        <v>2768</v>
      </c>
      <c r="B2007" s="1">
        <v>46081</v>
      </c>
      <c r="C2007" t="s">
        <v>1128</v>
      </c>
      <c r="D2007" t="s">
        <v>26</v>
      </c>
      <c r="E2007" t="s">
        <v>35</v>
      </c>
      <c r="F2007">
        <v>3</v>
      </c>
      <c r="G2007">
        <v>1499</v>
      </c>
      <c r="H2007">
        <v>0.15</v>
      </c>
      <c r="I2007" t="s">
        <v>32</v>
      </c>
      <c r="J2007" t="s">
        <v>28</v>
      </c>
      <c r="K2007" t="s">
        <v>17</v>
      </c>
      <c r="L2007">
        <f>F2006*G2006*(1-H2006)</f>
        <v>12495</v>
      </c>
    </row>
    <row r="2008" spans="1:12">
      <c r="A2008" t="s">
        <v>2769</v>
      </c>
      <c r="B2008" s="1">
        <v>46241</v>
      </c>
      <c r="C2008" t="s">
        <v>665</v>
      </c>
      <c r="D2008" t="s">
        <v>59</v>
      </c>
      <c r="E2008" t="s">
        <v>27</v>
      </c>
      <c r="F2008">
        <v>5</v>
      </c>
      <c r="G2008">
        <v>599</v>
      </c>
      <c r="H2008">
        <v>0</v>
      </c>
      <c r="I2008" t="s">
        <v>44</v>
      </c>
      <c r="J2008" t="s">
        <v>16</v>
      </c>
      <c r="K2008" t="s">
        <v>17</v>
      </c>
      <c r="L2008">
        <f>F2007*G2007*(1-H2007)</f>
        <v>3822.45</v>
      </c>
    </row>
    <row r="2009" spans="1:12">
      <c r="A2009" t="s">
        <v>2770</v>
      </c>
      <c r="B2009" s="1">
        <v>46172</v>
      </c>
      <c r="C2009" t="s">
        <v>178</v>
      </c>
      <c r="D2009" t="s">
        <v>71</v>
      </c>
      <c r="E2009" t="s">
        <v>35</v>
      </c>
      <c r="F2009">
        <v>3</v>
      </c>
      <c r="G2009">
        <v>799</v>
      </c>
      <c r="H2009">
        <v>0</v>
      </c>
      <c r="I2009" t="s">
        <v>44</v>
      </c>
      <c r="J2009" t="s">
        <v>22</v>
      </c>
      <c r="K2009" t="s">
        <v>37</v>
      </c>
      <c r="L2009">
        <f>F2008*G2008*(1-H2008)</f>
        <v>2995</v>
      </c>
    </row>
    <row r="2010" spans="1:12">
      <c r="A2010" t="s">
        <v>2771</v>
      </c>
      <c r="B2010" s="1">
        <v>46252</v>
      </c>
      <c r="C2010" t="s">
        <v>2111</v>
      </c>
      <c r="D2010" t="s">
        <v>56</v>
      </c>
      <c r="E2010" t="s">
        <v>27</v>
      </c>
      <c r="F2010">
        <v>4</v>
      </c>
      <c r="G2010">
        <v>1499</v>
      </c>
      <c r="H2010">
        <v>0.15</v>
      </c>
      <c r="I2010" t="s">
        <v>50</v>
      </c>
      <c r="J2010" t="s">
        <v>28</v>
      </c>
      <c r="K2010" t="s">
        <v>17</v>
      </c>
      <c r="L2010">
        <f>F2009*G2009*(1-H2009)</f>
        <v>2397</v>
      </c>
    </row>
    <row r="2011" spans="1:12">
      <c r="A2011" t="s">
        <v>2772</v>
      </c>
      <c r="B2011" s="1">
        <v>46201</v>
      </c>
      <c r="C2011" t="s">
        <v>140</v>
      </c>
      <c r="D2011" t="s">
        <v>43</v>
      </c>
      <c r="E2011" t="s">
        <v>40</v>
      </c>
      <c r="F2011">
        <v>5</v>
      </c>
      <c r="G2011">
        <v>499</v>
      </c>
      <c r="H2011">
        <v>0</v>
      </c>
      <c r="I2011" t="s">
        <v>50</v>
      </c>
      <c r="J2011" t="s">
        <v>28</v>
      </c>
      <c r="K2011" t="s">
        <v>37</v>
      </c>
      <c r="L2011">
        <f>F2010*G2010*(1-H2010)</f>
        <v>5096.5999999999995</v>
      </c>
    </row>
    <row r="2012" spans="1:12">
      <c r="A2012" t="s">
        <v>2773</v>
      </c>
      <c r="B2012" s="1">
        <v>46129</v>
      </c>
      <c r="C2012" t="s">
        <v>477</v>
      </c>
      <c r="D2012" t="s">
        <v>71</v>
      </c>
      <c r="E2012" t="s">
        <v>40</v>
      </c>
      <c r="F2012">
        <v>5</v>
      </c>
      <c r="G2012">
        <v>1499</v>
      </c>
      <c r="H2012">
        <v>0</v>
      </c>
      <c r="I2012" t="s">
        <v>15</v>
      </c>
      <c r="J2012" t="s">
        <v>22</v>
      </c>
      <c r="K2012" t="s">
        <v>23</v>
      </c>
      <c r="L2012">
        <f>F2011*G2011*(1-H2011)</f>
        <v>2495</v>
      </c>
    </row>
    <row r="2013" spans="1:12">
      <c r="A2013" t="s">
        <v>2774</v>
      </c>
      <c r="B2013" s="1">
        <v>46076</v>
      </c>
      <c r="C2013" t="s">
        <v>1467</v>
      </c>
      <c r="D2013" t="s">
        <v>20</v>
      </c>
      <c r="E2013" t="s">
        <v>14</v>
      </c>
      <c r="F2013">
        <v>5</v>
      </c>
      <c r="G2013">
        <v>499</v>
      </c>
      <c r="H2013">
        <v>0.15</v>
      </c>
      <c r="I2013" t="s">
        <v>50</v>
      </c>
      <c r="J2013" t="s">
        <v>36</v>
      </c>
      <c r="K2013" t="s">
        <v>23</v>
      </c>
      <c r="L2013">
        <f>F2012*G2012*(1-H2012)</f>
        <v>7495</v>
      </c>
    </row>
    <row r="2014" spans="1:12">
      <c r="A2014" t="s">
        <v>2775</v>
      </c>
      <c r="B2014" s="1">
        <v>46288</v>
      </c>
      <c r="C2014" t="s">
        <v>1475</v>
      </c>
      <c r="D2014" t="s">
        <v>31</v>
      </c>
      <c r="E2014" t="s">
        <v>21</v>
      </c>
      <c r="F2014">
        <v>4</v>
      </c>
      <c r="G2014">
        <v>1499</v>
      </c>
      <c r="H2014">
        <v>0</v>
      </c>
      <c r="I2014" t="s">
        <v>15</v>
      </c>
      <c r="J2014" t="s">
        <v>28</v>
      </c>
      <c r="K2014" t="s">
        <v>17</v>
      </c>
      <c r="L2014">
        <f>F2013*G2013*(1-H2013)</f>
        <v>2120.75</v>
      </c>
    </row>
    <row r="2015" spans="1:12">
      <c r="A2015" t="s">
        <v>2776</v>
      </c>
      <c r="B2015" s="1">
        <v>46047</v>
      </c>
      <c r="C2015" t="s">
        <v>2777</v>
      </c>
      <c r="D2015" t="s">
        <v>31</v>
      </c>
      <c r="E2015" t="s">
        <v>21</v>
      </c>
      <c r="F2015">
        <v>5</v>
      </c>
      <c r="G2015">
        <v>7999</v>
      </c>
      <c r="H2015">
        <v>0.05</v>
      </c>
      <c r="I2015" t="s">
        <v>47</v>
      </c>
      <c r="J2015" t="s">
        <v>22</v>
      </c>
      <c r="K2015" t="s">
        <v>37</v>
      </c>
      <c r="L2015">
        <f>F2014*G2014*(1-H2014)</f>
        <v>5996</v>
      </c>
    </row>
    <row r="2016" spans="1:12">
      <c r="A2016" t="s">
        <v>2778</v>
      </c>
      <c r="B2016" s="1">
        <v>46023</v>
      </c>
      <c r="C2016" t="s">
        <v>1094</v>
      </c>
      <c r="D2016" t="s">
        <v>71</v>
      </c>
      <c r="E2016" t="s">
        <v>27</v>
      </c>
      <c r="F2016">
        <v>3</v>
      </c>
      <c r="G2016">
        <v>1999</v>
      </c>
      <c r="H2016">
        <v>0.1</v>
      </c>
      <c r="I2016" t="s">
        <v>47</v>
      </c>
      <c r="J2016" t="s">
        <v>51</v>
      </c>
      <c r="K2016" t="s">
        <v>17</v>
      </c>
      <c r="L2016">
        <f>F2015*G2015*(1-H2015)</f>
        <v>37995.25</v>
      </c>
    </row>
    <row r="2017" spans="1:12">
      <c r="A2017" t="s">
        <v>2779</v>
      </c>
      <c r="B2017" s="1">
        <v>46025</v>
      </c>
      <c r="C2017" t="s">
        <v>150</v>
      </c>
      <c r="D2017" t="s">
        <v>20</v>
      </c>
      <c r="E2017" t="s">
        <v>40</v>
      </c>
      <c r="F2017">
        <v>2</v>
      </c>
      <c r="G2017">
        <v>2499</v>
      </c>
      <c r="H2017">
        <v>0.05</v>
      </c>
      <c r="I2017" t="s">
        <v>50</v>
      </c>
      <c r="J2017" t="s">
        <v>22</v>
      </c>
      <c r="K2017" t="s">
        <v>17</v>
      </c>
      <c r="L2017">
        <f>F2016*G2016*(1-H2016)</f>
        <v>5397.3</v>
      </c>
    </row>
    <row r="2018" spans="1:12">
      <c r="A2018" t="s">
        <v>2780</v>
      </c>
      <c r="B2018" s="1">
        <v>46126</v>
      </c>
      <c r="C2018" t="s">
        <v>974</v>
      </c>
      <c r="D2018" t="s">
        <v>31</v>
      </c>
      <c r="E2018" t="s">
        <v>35</v>
      </c>
      <c r="F2018">
        <v>4</v>
      </c>
      <c r="G2018">
        <v>1299</v>
      </c>
      <c r="H2018">
        <v>0.15</v>
      </c>
      <c r="I2018" t="s">
        <v>50</v>
      </c>
      <c r="J2018" t="s">
        <v>28</v>
      </c>
      <c r="K2018" t="s">
        <v>17</v>
      </c>
      <c r="L2018">
        <f>F2017*G2017*(1-H2017)</f>
        <v>4748.0999999999995</v>
      </c>
    </row>
    <row r="2019" spans="1:12">
      <c r="A2019" t="s">
        <v>2781</v>
      </c>
      <c r="B2019" s="1">
        <v>46233</v>
      </c>
      <c r="C2019" t="s">
        <v>475</v>
      </c>
      <c r="D2019" t="s">
        <v>59</v>
      </c>
      <c r="E2019" t="s">
        <v>40</v>
      </c>
      <c r="F2019">
        <v>1</v>
      </c>
      <c r="G2019">
        <v>799</v>
      </c>
      <c r="H2019">
        <v>0.15</v>
      </c>
      <c r="I2019" t="s">
        <v>15</v>
      </c>
      <c r="J2019" t="s">
        <v>22</v>
      </c>
      <c r="K2019" t="s">
        <v>23</v>
      </c>
      <c r="L2019">
        <f>F2018*G2018*(1-H2018)</f>
        <v>4416.5999999999995</v>
      </c>
    </row>
    <row r="2020" spans="1:12">
      <c r="A2020" t="s">
        <v>2782</v>
      </c>
      <c r="B2020" s="1">
        <v>46060</v>
      </c>
      <c r="C2020" t="s">
        <v>620</v>
      </c>
      <c r="D2020" t="s">
        <v>13</v>
      </c>
      <c r="E2020" t="s">
        <v>27</v>
      </c>
      <c r="F2020">
        <v>3</v>
      </c>
      <c r="G2020">
        <v>7999</v>
      </c>
      <c r="H2020">
        <v>0.15</v>
      </c>
      <c r="I2020" t="s">
        <v>44</v>
      </c>
      <c r="J2020" t="s">
        <v>28</v>
      </c>
      <c r="K2020" t="s">
        <v>17</v>
      </c>
      <c r="L2020">
        <f>F2019*G2019*(1-H2019)</f>
        <v>679.15</v>
      </c>
    </row>
    <row r="2021" spans="1:12">
      <c r="A2021" t="s">
        <v>2783</v>
      </c>
      <c r="B2021" s="1">
        <v>46130</v>
      </c>
      <c r="C2021" t="s">
        <v>1951</v>
      </c>
      <c r="D2021" t="s">
        <v>71</v>
      </c>
      <c r="E2021" t="s">
        <v>40</v>
      </c>
      <c r="F2021">
        <v>1</v>
      </c>
      <c r="G2021">
        <v>1299</v>
      </c>
      <c r="H2021">
        <v>0.05</v>
      </c>
      <c r="I2021" t="s">
        <v>44</v>
      </c>
      <c r="J2021" t="s">
        <v>36</v>
      </c>
      <c r="K2021" t="s">
        <v>17</v>
      </c>
      <c r="L2021">
        <f>F2020*G2020*(1-H2020)</f>
        <v>20397.45</v>
      </c>
    </row>
    <row r="2022" spans="1:12">
      <c r="A2022" t="s">
        <v>2784</v>
      </c>
      <c r="B2022" s="1">
        <v>46213</v>
      </c>
      <c r="C2022" t="s">
        <v>1889</v>
      </c>
      <c r="D2022" t="s">
        <v>31</v>
      </c>
      <c r="E2022" t="s">
        <v>40</v>
      </c>
      <c r="F2022">
        <v>3</v>
      </c>
      <c r="G2022">
        <v>2499</v>
      </c>
      <c r="H2022">
        <v>0</v>
      </c>
      <c r="I2022" t="s">
        <v>15</v>
      </c>
      <c r="J2022" t="s">
        <v>22</v>
      </c>
      <c r="K2022" t="s">
        <v>17</v>
      </c>
      <c r="L2022">
        <f>F2021*G2021*(1-H2021)</f>
        <v>1234.05</v>
      </c>
    </row>
    <row r="2023" spans="1:12">
      <c r="A2023" t="s">
        <v>2785</v>
      </c>
      <c r="B2023" s="1">
        <v>46070</v>
      </c>
      <c r="C2023" t="s">
        <v>1052</v>
      </c>
      <c r="D2023" t="s">
        <v>62</v>
      </c>
      <c r="E2023" t="s">
        <v>21</v>
      </c>
      <c r="F2023">
        <v>2</v>
      </c>
      <c r="G2023">
        <v>499</v>
      </c>
      <c r="H2023">
        <v>0</v>
      </c>
      <c r="I2023" t="s">
        <v>32</v>
      </c>
      <c r="J2023" t="s">
        <v>16</v>
      </c>
      <c r="K2023" t="s">
        <v>17</v>
      </c>
      <c r="L2023">
        <f>F2022*G2022*(1-H2022)</f>
        <v>7497</v>
      </c>
    </row>
    <row r="2024" spans="1:12">
      <c r="A2024" t="s">
        <v>2786</v>
      </c>
      <c r="B2024" s="1">
        <v>46035</v>
      </c>
      <c r="C2024" t="s">
        <v>783</v>
      </c>
      <c r="D2024" t="s">
        <v>20</v>
      </c>
      <c r="E2024" t="s">
        <v>35</v>
      </c>
      <c r="F2024">
        <v>1</v>
      </c>
      <c r="G2024">
        <v>599</v>
      </c>
      <c r="H2024">
        <v>0.15</v>
      </c>
      <c r="I2024" t="s">
        <v>32</v>
      </c>
      <c r="J2024" t="s">
        <v>16</v>
      </c>
      <c r="K2024" t="s">
        <v>37</v>
      </c>
      <c r="L2024">
        <f>F2023*G2023*(1-H2023)</f>
        <v>998</v>
      </c>
    </row>
    <row r="2025" spans="1:12">
      <c r="A2025" t="s">
        <v>2787</v>
      </c>
      <c r="B2025" s="1">
        <v>46154</v>
      </c>
      <c r="C2025" t="s">
        <v>1121</v>
      </c>
      <c r="D2025" t="s">
        <v>62</v>
      </c>
      <c r="E2025" t="s">
        <v>40</v>
      </c>
      <c r="F2025">
        <v>2</v>
      </c>
      <c r="G2025">
        <v>1299</v>
      </c>
      <c r="H2025">
        <v>0.1</v>
      </c>
      <c r="I2025" t="s">
        <v>44</v>
      </c>
      <c r="J2025" t="s">
        <v>16</v>
      </c>
      <c r="K2025" t="s">
        <v>23</v>
      </c>
      <c r="L2025">
        <f>F2024*G2024*(1-H2024)</f>
        <v>509.15</v>
      </c>
    </row>
    <row r="2026" spans="1:12">
      <c r="A2026" t="s">
        <v>2788</v>
      </c>
      <c r="B2026" s="1">
        <v>46154</v>
      </c>
      <c r="C2026" t="s">
        <v>130</v>
      </c>
      <c r="D2026" t="s">
        <v>26</v>
      </c>
      <c r="E2026" t="s">
        <v>40</v>
      </c>
      <c r="F2026">
        <v>2</v>
      </c>
      <c r="G2026">
        <v>1299</v>
      </c>
      <c r="H2026">
        <v>0.1</v>
      </c>
      <c r="I2026" t="s">
        <v>47</v>
      </c>
      <c r="J2026" t="s">
        <v>22</v>
      </c>
      <c r="K2026" t="s">
        <v>37</v>
      </c>
      <c r="L2026">
        <f>F2025*G2025*(1-H2025)</f>
        <v>2338.2000000000003</v>
      </c>
    </row>
    <row r="2027" spans="1:12">
      <c r="A2027" t="s">
        <v>2789</v>
      </c>
      <c r="B2027" s="1">
        <v>46235</v>
      </c>
      <c r="C2027" t="s">
        <v>460</v>
      </c>
      <c r="D2027" t="s">
        <v>62</v>
      </c>
      <c r="E2027" t="s">
        <v>40</v>
      </c>
      <c r="F2027">
        <v>2</v>
      </c>
      <c r="G2027">
        <v>599</v>
      </c>
      <c r="H2027">
        <v>0</v>
      </c>
      <c r="I2027" t="s">
        <v>44</v>
      </c>
      <c r="J2027" t="s">
        <v>36</v>
      </c>
      <c r="K2027" t="s">
        <v>17</v>
      </c>
      <c r="L2027">
        <f>F2026*G2026*(1-H2026)</f>
        <v>2338.2000000000003</v>
      </c>
    </row>
    <row r="2028" spans="1:12">
      <c r="A2028" t="s">
        <v>2790</v>
      </c>
      <c r="B2028" s="1">
        <v>46251</v>
      </c>
      <c r="C2028" t="s">
        <v>2751</v>
      </c>
      <c r="D2028" t="s">
        <v>59</v>
      </c>
      <c r="E2028" t="s">
        <v>21</v>
      </c>
      <c r="F2028">
        <v>1</v>
      </c>
      <c r="G2028">
        <v>999</v>
      </c>
      <c r="H2028">
        <v>0.1</v>
      </c>
      <c r="I2028" t="s">
        <v>50</v>
      </c>
      <c r="J2028" t="s">
        <v>51</v>
      </c>
      <c r="K2028" t="s">
        <v>17</v>
      </c>
      <c r="L2028">
        <f>F2027*G2027*(1-H2027)</f>
        <v>1198</v>
      </c>
    </row>
    <row r="2029" spans="1:12">
      <c r="A2029" t="s">
        <v>2791</v>
      </c>
      <c r="B2029" s="1">
        <v>46100</v>
      </c>
      <c r="C2029" t="s">
        <v>68</v>
      </c>
      <c r="D2029" t="s">
        <v>71</v>
      </c>
      <c r="E2029" t="s">
        <v>21</v>
      </c>
      <c r="F2029">
        <v>1</v>
      </c>
      <c r="G2029">
        <v>799</v>
      </c>
      <c r="H2029">
        <v>0</v>
      </c>
      <c r="I2029" t="s">
        <v>32</v>
      </c>
      <c r="J2029" t="s">
        <v>28</v>
      </c>
      <c r="K2029" t="s">
        <v>37</v>
      </c>
      <c r="L2029">
        <f>F2028*G2028*(1-H2028)</f>
        <v>899.1</v>
      </c>
    </row>
    <row r="2030" spans="1:12">
      <c r="A2030" t="s">
        <v>2792</v>
      </c>
      <c r="B2030" s="1">
        <v>46025</v>
      </c>
      <c r="C2030" t="s">
        <v>2724</v>
      </c>
      <c r="D2030" t="s">
        <v>56</v>
      </c>
      <c r="E2030" t="s">
        <v>21</v>
      </c>
      <c r="F2030">
        <v>4</v>
      </c>
      <c r="G2030">
        <v>1999</v>
      </c>
      <c r="H2030">
        <v>0.05</v>
      </c>
      <c r="I2030" t="s">
        <v>47</v>
      </c>
      <c r="J2030" t="s">
        <v>16</v>
      </c>
      <c r="K2030" t="s">
        <v>17</v>
      </c>
      <c r="L2030">
        <f>F2029*G2029*(1-H2029)</f>
        <v>799</v>
      </c>
    </row>
    <row r="2031" spans="1:12">
      <c r="A2031" t="s">
        <v>2793</v>
      </c>
      <c r="B2031" s="1">
        <v>46101</v>
      </c>
      <c r="C2031" t="s">
        <v>717</v>
      </c>
      <c r="D2031" t="s">
        <v>43</v>
      </c>
      <c r="E2031" t="s">
        <v>27</v>
      </c>
      <c r="F2031">
        <v>3</v>
      </c>
      <c r="G2031">
        <v>799</v>
      </c>
      <c r="H2031">
        <v>0.15</v>
      </c>
      <c r="I2031" t="s">
        <v>47</v>
      </c>
      <c r="J2031" t="s">
        <v>28</v>
      </c>
      <c r="K2031" t="s">
        <v>17</v>
      </c>
      <c r="L2031">
        <f>F2030*G2030*(1-H2030)</f>
        <v>7596.2</v>
      </c>
    </row>
    <row r="2032" spans="1:12">
      <c r="A2032" t="s">
        <v>2794</v>
      </c>
      <c r="B2032" s="1">
        <v>46266</v>
      </c>
      <c r="C2032" t="s">
        <v>273</v>
      </c>
      <c r="D2032" t="s">
        <v>78</v>
      </c>
      <c r="E2032" t="s">
        <v>27</v>
      </c>
      <c r="F2032">
        <v>2</v>
      </c>
      <c r="G2032">
        <v>1299</v>
      </c>
      <c r="H2032">
        <v>0.1</v>
      </c>
      <c r="I2032" t="s">
        <v>44</v>
      </c>
      <c r="J2032" t="s">
        <v>51</v>
      </c>
      <c r="K2032" t="s">
        <v>17</v>
      </c>
      <c r="L2032">
        <f>F2031*G2031*(1-H2031)</f>
        <v>2037.45</v>
      </c>
    </row>
    <row r="2033" spans="1:12">
      <c r="A2033" t="s">
        <v>2795</v>
      </c>
      <c r="B2033" s="1">
        <v>46222</v>
      </c>
      <c r="C2033" t="s">
        <v>2277</v>
      </c>
      <c r="D2033" t="s">
        <v>13</v>
      </c>
      <c r="E2033" t="s">
        <v>14</v>
      </c>
      <c r="F2033">
        <v>1</v>
      </c>
      <c r="G2033">
        <v>1299</v>
      </c>
      <c r="H2033">
        <v>0.1</v>
      </c>
      <c r="I2033" t="s">
        <v>32</v>
      </c>
      <c r="J2033" t="s">
        <v>16</v>
      </c>
      <c r="K2033" t="s">
        <v>17</v>
      </c>
      <c r="L2033">
        <f>F2032*G2032*(1-H2032)</f>
        <v>2338.2000000000003</v>
      </c>
    </row>
    <row r="2034" spans="1:12">
      <c r="A2034" t="s">
        <v>2796</v>
      </c>
      <c r="B2034" s="1">
        <v>46025</v>
      </c>
      <c r="C2034" t="s">
        <v>1036</v>
      </c>
      <c r="D2034" t="s">
        <v>78</v>
      </c>
      <c r="E2034" t="s">
        <v>14</v>
      </c>
      <c r="F2034">
        <v>2</v>
      </c>
      <c r="G2034">
        <v>1499</v>
      </c>
      <c r="H2034">
        <v>0</v>
      </c>
      <c r="I2034" t="s">
        <v>32</v>
      </c>
      <c r="J2034" t="s">
        <v>36</v>
      </c>
      <c r="K2034" t="s">
        <v>37</v>
      </c>
      <c r="L2034">
        <f>F2033*G2033*(1-H2033)</f>
        <v>1169.1000000000001</v>
      </c>
    </row>
    <row r="2035" spans="1:12">
      <c r="A2035" t="s">
        <v>2797</v>
      </c>
      <c r="B2035" s="1">
        <v>46264</v>
      </c>
      <c r="C2035" t="s">
        <v>1370</v>
      </c>
      <c r="D2035" t="s">
        <v>78</v>
      </c>
      <c r="E2035" t="s">
        <v>27</v>
      </c>
      <c r="F2035">
        <v>4</v>
      </c>
      <c r="G2035">
        <v>1499</v>
      </c>
      <c r="H2035">
        <v>0.05</v>
      </c>
      <c r="I2035" t="s">
        <v>32</v>
      </c>
      <c r="J2035" t="s">
        <v>36</v>
      </c>
      <c r="K2035" t="s">
        <v>17</v>
      </c>
      <c r="L2035">
        <f>F2034*G2034*(1-H2034)</f>
        <v>2998</v>
      </c>
    </row>
    <row r="2036" spans="1:12">
      <c r="A2036" t="s">
        <v>2798</v>
      </c>
      <c r="B2036" s="1">
        <v>46114</v>
      </c>
      <c r="C2036" t="s">
        <v>2799</v>
      </c>
      <c r="D2036" t="s">
        <v>43</v>
      </c>
      <c r="E2036" t="s">
        <v>35</v>
      </c>
      <c r="F2036">
        <v>2</v>
      </c>
      <c r="G2036">
        <v>999</v>
      </c>
      <c r="H2036">
        <v>0.05</v>
      </c>
      <c r="I2036" t="s">
        <v>32</v>
      </c>
      <c r="J2036" t="s">
        <v>51</v>
      </c>
      <c r="K2036" t="s">
        <v>23</v>
      </c>
      <c r="L2036">
        <f>F2035*G2035*(1-H2035)</f>
        <v>5696.2</v>
      </c>
    </row>
    <row r="2037" spans="1:12">
      <c r="A2037" t="s">
        <v>2800</v>
      </c>
      <c r="B2037" s="1">
        <v>46228</v>
      </c>
      <c r="C2037" t="s">
        <v>550</v>
      </c>
      <c r="D2037" t="s">
        <v>31</v>
      </c>
      <c r="E2037" t="s">
        <v>35</v>
      </c>
      <c r="F2037">
        <v>1</v>
      </c>
      <c r="G2037">
        <v>1299</v>
      </c>
      <c r="H2037">
        <v>0</v>
      </c>
      <c r="I2037" t="s">
        <v>47</v>
      </c>
      <c r="J2037" t="s">
        <v>36</v>
      </c>
      <c r="K2037" t="s">
        <v>23</v>
      </c>
      <c r="L2037">
        <f>F2036*G2036*(1-H2036)</f>
        <v>1898.1</v>
      </c>
    </row>
    <row r="2038" spans="1:12">
      <c r="A2038" t="s">
        <v>2801</v>
      </c>
      <c r="B2038" s="1">
        <v>46120</v>
      </c>
      <c r="C2038" t="s">
        <v>2241</v>
      </c>
      <c r="D2038" t="s">
        <v>78</v>
      </c>
      <c r="E2038" t="s">
        <v>14</v>
      </c>
      <c r="F2038">
        <v>3</v>
      </c>
      <c r="G2038">
        <v>799</v>
      </c>
      <c r="H2038">
        <v>0.1</v>
      </c>
      <c r="I2038" t="s">
        <v>15</v>
      </c>
      <c r="J2038" t="s">
        <v>28</v>
      </c>
      <c r="K2038" t="s">
        <v>37</v>
      </c>
      <c r="L2038">
        <f>F2037*G2037*(1-H2037)</f>
        <v>1299</v>
      </c>
    </row>
    <row r="2039" spans="1:12">
      <c r="A2039" t="s">
        <v>2802</v>
      </c>
      <c r="B2039" s="1">
        <v>46132</v>
      </c>
      <c r="C2039" t="s">
        <v>521</v>
      </c>
      <c r="D2039" t="s">
        <v>13</v>
      </c>
      <c r="E2039" t="s">
        <v>14</v>
      </c>
      <c r="F2039">
        <v>2</v>
      </c>
      <c r="G2039">
        <v>799</v>
      </c>
      <c r="H2039">
        <v>0.15</v>
      </c>
      <c r="I2039" t="s">
        <v>32</v>
      </c>
      <c r="J2039" t="s">
        <v>16</v>
      </c>
      <c r="K2039" t="s">
        <v>17</v>
      </c>
      <c r="L2039">
        <f>F2038*G2038*(1-H2038)</f>
        <v>2157.3000000000002</v>
      </c>
    </row>
    <row r="2040" spans="1:12">
      <c r="A2040" t="s">
        <v>2803</v>
      </c>
      <c r="B2040" s="1">
        <v>46117</v>
      </c>
      <c r="C2040" t="s">
        <v>1990</v>
      </c>
      <c r="D2040" t="s">
        <v>56</v>
      </c>
      <c r="E2040" t="s">
        <v>40</v>
      </c>
      <c r="F2040">
        <v>3</v>
      </c>
      <c r="G2040">
        <v>799</v>
      </c>
      <c r="H2040">
        <v>0.15</v>
      </c>
      <c r="I2040" t="s">
        <v>32</v>
      </c>
      <c r="J2040" t="s">
        <v>22</v>
      </c>
      <c r="K2040" t="s">
        <v>37</v>
      </c>
      <c r="L2040">
        <f>F2039*G2039*(1-H2039)</f>
        <v>1358.3</v>
      </c>
    </row>
    <row r="2041" spans="1:12">
      <c r="A2041" t="s">
        <v>2804</v>
      </c>
      <c r="B2041" s="1">
        <v>46060</v>
      </c>
      <c r="C2041" t="s">
        <v>1340</v>
      </c>
      <c r="D2041" t="s">
        <v>43</v>
      </c>
      <c r="E2041" t="s">
        <v>27</v>
      </c>
      <c r="F2041">
        <v>4</v>
      </c>
      <c r="G2041">
        <v>999</v>
      </c>
      <c r="H2041">
        <v>0.15</v>
      </c>
      <c r="I2041" t="s">
        <v>47</v>
      </c>
      <c r="J2041" t="s">
        <v>16</v>
      </c>
      <c r="K2041" t="s">
        <v>17</v>
      </c>
      <c r="L2041">
        <f>F2040*G2040*(1-H2040)</f>
        <v>2037.45</v>
      </c>
    </row>
    <row r="2042" spans="1:12">
      <c r="A2042" t="s">
        <v>2805</v>
      </c>
      <c r="B2042" s="1">
        <v>46167</v>
      </c>
      <c r="C2042" t="s">
        <v>119</v>
      </c>
      <c r="D2042" t="s">
        <v>20</v>
      </c>
      <c r="E2042" t="s">
        <v>40</v>
      </c>
      <c r="F2042">
        <v>1</v>
      </c>
      <c r="G2042">
        <v>7999</v>
      </c>
      <c r="H2042">
        <v>0.15</v>
      </c>
      <c r="I2042" t="s">
        <v>32</v>
      </c>
      <c r="J2042" t="s">
        <v>22</v>
      </c>
      <c r="K2042" t="s">
        <v>37</v>
      </c>
      <c r="L2042">
        <f>F2041*G2041*(1-H2041)</f>
        <v>3396.6</v>
      </c>
    </row>
    <row r="2043" spans="1:12">
      <c r="A2043" t="s">
        <v>2806</v>
      </c>
      <c r="B2043" s="1">
        <v>46041</v>
      </c>
      <c r="C2043" t="s">
        <v>2807</v>
      </c>
      <c r="D2043" t="s">
        <v>78</v>
      </c>
      <c r="E2043" t="s">
        <v>40</v>
      </c>
      <c r="F2043">
        <v>3</v>
      </c>
      <c r="G2043">
        <v>2499</v>
      </c>
      <c r="H2043">
        <v>0</v>
      </c>
      <c r="I2043" t="s">
        <v>50</v>
      </c>
      <c r="J2043" t="s">
        <v>16</v>
      </c>
      <c r="K2043" t="s">
        <v>17</v>
      </c>
      <c r="L2043">
        <f>F2042*G2042*(1-H2042)</f>
        <v>6799.15</v>
      </c>
    </row>
    <row r="2044" spans="1:12">
      <c r="A2044" t="s">
        <v>2808</v>
      </c>
      <c r="B2044" s="1">
        <v>46243</v>
      </c>
      <c r="C2044" t="s">
        <v>401</v>
      </c>
      <c r="D2044" t="s">
        <v>43</v>
      </c>
      <c r="E2044" t="s">
        <v>40</v>
      </c>
      <c r="F2044">
        <v>1</v>
      </c>
      <c r="G2044">
        <v>1499</v>
      </c>
      <c r="H2044">
        <v>0.15</v>
      </c>
      <c r="I2044" t="s">
        <v>15</v>
      </c>
      <c r="J2044" t="s">
        <v>36</v>
      </c>
      <c r="K2044" t="s">
        <v>23</v>
      </c>
      <c r="L2044">
        <f>F2043*G2043*(1-H2043)</f>
        <v>7497</v>
      </c>
    </row>
    <row r="2045" spans="1:12">
      <c r="A2045" t="s">
        <v>2809</v>
      </c>
      <c r="B2045" s="1">
        <v>46176</v>
      </c>
      <c r="C2045" t="s">
        <v>2755</v>
      </c>
      <c r="D2045" t="s">
        <v>62</v>
      </c>
      <c r="E2045" t="s">
        <v>21</v>
      </c>
      <c r="F2045">
        <v>5</v>
      </c>
      <c r="G2045">
        <v>1999</v>
      </c>
      <c r="H2045">
        <v>0</v>
      </c>
      <c r="I2045" t="s">
        <v>44</v>
      </c>
      <c r="J2045" t="s">
        <v>51</v>
      </c>
      <c r="K2045" t="s">
        <v>17</v>
      </c>
      <c r="L2045">
        <f>F2044*G2044*(1-H2044)</f>
        <v>1274.1499999999999</v>
      </c>
    </row>
    <row r="2046" spans="1:12">
      <c r="A2046" t="s">
        <v>2810</v>
      </c>
      <c r="B2046" s="1">
        <v>46246</v>
      </c>
      <c r="C2046" t="s">
        <v>1034</v>
      </c>
      <c r="D2046" t="s">
        <v>26</v>
      </c>
      <c r="E2046" t="s">
        <v>35</v>
      </c>
      <c r="F2046">
        <v>3</v>
      </c>
      <c r="G2046">
        <v>1499</v>
      </c>
      <c r="H2046">
        <v>0</v>
      </c>
      <c r="I2046" t="s">
        <v>50</v>
      </c>
      <c r="J2046" t="s">
        <v>22</v>
      </c>
      <c r="K2046" t="s">
        <v>17</v>
      </c>
      <c r="L2046">
        <f>F2045*G2045*(1-H2045)</f>
        <v>9995</v>
      </c>
    </row>
    <row r="2047" spans="1:12">
      <c r="A2047" t="s">
        <v>2811</v>
      </c>
      <c r="B2047" s="1">
        <v>46085</v>
      </c>
      <c r="C2047" t="s">
        <v>90</v>
      </c>
      <c r="D2047" t="s">
        <v>43</v>
      </c>
      <c r="E2047" t="s">
        <v>14</v>
      </c>
      <c r="F2047">
        <v>3</v>
      </c>
      <c r="G2047">
        <v>599</v>
      </c>
      <c r="H2047">
        <v>0</v>
      </c>
      <c r="I2047" t="s">
        <v>15</v>
      </c>
      <c r="J2047" t="s">
        <v>36</v>
      </c>
      <c r="K2047" t="s">
        <v>37</v>
      </c>
      <c r="L2047">
        <f>F2046*G2046*(1-H2046)</f>
        <v>4497</v>
      </c>
    </row>
    <row r="2048" spans="1:12">
      <c r="A2048" t="s">
        <v>2812</v>
      </c>
      <c r="B2048" s="1">
        <v>46069</v>
      </c>
      <c r="C2048" t="s">
        <v>259</v>
      </c>
      <c r="D2048" t="s">
        <v>43</v>
      </c>
      <c r="E2048" t="s">
        <v>21</v>
      </c>
      <c r="F2048">
        <v>1</v>
      </c>
      <c r="G2048">
        <v>1499</v>
      </c>
      <c r="H2048">
        <v>0</v>
      </c>
      <c r="I2048" t="s">
        <v>44</v>
      </c>
      <c r="J2048" t="s">
        <v>28</v>
      </c>
      <c r="K2048" t="s">
        <v>23</v>
      </c>
      <c r="L2048">
        <f>F2047*G2047*(1-H2047)</f>
        <v>1797</v>
      </c>
    </row>
    <row r="2049" spans="1:12">
      <c r="A2049" t="s">
        <v>2813</v>
      </c>
      <c r="B2049" s="1">
        <v>46292</v>
      </c>
      <c r="C2049" t="s">
        <v>2293</v>
      </c>
      <c r="D2049" t="s">
        <v>20</v>
      </c>
      <c r="E2049" t="s">
        <v>21</v>
      </c>
      <c r="F2049">
        <v>4</v>
      </c>
      <c r="G2049">
        <v>2499</v>
      </c>
      <c r="H2049">
        <v>0</v>
      </c>
      <c r="I2049" t="s">
        <v>15</v>
      </c>
      <c r="J2049" t="s">
        <v>22</v>
      </c>
      <c r="K2049" t="s">
        <v>17</v>
      </c>
      <c r="L2049">
        <f>F2048*G2048*(1-H2048)</f>
        <v>1499</v>
      </c>
    </row>
    <row r="2050" spans="1:12">
      <c r="A2050" t="s">
        <v>2814</v>
      </c>
      <c r="B2050" s="1">
        <v>46227</v>
      </c>
      <c r="C2050" t="s">
        <v>294</v>
      </c>
      <c r="D2050" t="s">
        <v>59</v>
      </c>
      <c r="E2050" t="s">
        <v>35</v>
      </c>
      <c r="F2050">
        <v>1</v>
      </c>
      <c r="G2050">
        <v>999</v>
      </c>
      <c r="H2050">
        <v>0.1</v>
      </c>
      <c r="I2050" t="s">
        <v>47</v>
      </c>
      <c r="J2050" t="s">
        <v>36</v>
      </c>
      <c r="K2050" t="s">
        <v>23</v>
      </c>
      <c r="L2050">
        <f>F2049*G2049*(1-H2049)</f>
        <v>9996</v>
      </c>
    </row>
    <row r="2051" spans="1:12">
      <c r="A2051" t="s">
        <v>2815</v>
      </c>
      <c r="B2051" s="1">
        <v>46277</v>
      </c>
      <c r="C2051" t="s">
        <v>773</v>
      </c>
      <c r="D2051" t="s">
        <v>59</v>
      </c>
      <c r="E2051" t="s">
        <v>14</v>
      </c>
      <c r="F2051">
        <v>1</v>
      </c>
      <c r="G2051">
        <v>1999</v>
      </c>
      <c r="H2051">
        <v>0</v>
      </c>
      <c r="I2051" t="s">
        <v>50</v>
      </c>
      <c r="J2051" t="s">
        <v>36</v>
      </c>
      <c r="K2051" t="s">
        <v>17</v>
      </c>
      <c r="L2051">
        <f>F2050*G2050*(1-H2050)</f>
        <v>899.1</v>
      </c>
    </row>
    <row r="2052" spans="1:12">
      <c r="A2052" t="s">
        <v>2816</v>
      </c>
      <c r="B2052" s="1">
        <v>46206</v>
      </c>
      <c r="C2052" t="s">
        <v>209</v>
      </c>
      <c r="D2052" t="s">
        <v>13</v>
      </c>
      <c r="E2052" t="s">
        <v>35</v>
      </c>
      <c r="F2052">
        <v>4</v>
      </c>
      <c r="G2052">
        <v>599</v>
      </c>
      <c r="H2052">
        <v>0.15</v>
      </c>
      <c r="I2052" t="s">
        <v>32</v>
      </c>
      <c r="J2052" t="s">
        <v>28</v>
      </c>
      <c r="K2052" t="s">
        <v>37</v>
      </c>
      <c r="L2052">
        <f>F2051*G2051*(1-H2051)</f>
        <v>1999</v>
      </c>
    </row>
    <row r="2053" spans="1:12">
      <c r="A2053" t="s">
        <v>2817</v>
      </c>
      <c r="B2053" s="1">
        <v>46143</v>
      </c>
      <c r="C2053" t="s">
        <v>690</v>
      </c>
      <c r="D2053" t="s">
        <v>43</v>
      </c>
      <c r="E2053" t="s">
        <v>27</v>
      </c>
      <c r="F2053">
        <v>2</v>
      </c>
      <c r="G2053">
        <v>1499</v>
      </c>
      <c r="H2053">
        <v>0.1</v>
      </c>
      <c r="I2053" t="s">
        <v>15</v>
      </c>
      <c r="J2053" t="s">
        <v>16</v>
      </c>
      <c r="K2053" t="s">
        <v>17</v>
      </c>
      <c r="L2053">
        <f>F2052*G2052*(1-H2052)</f>
        <v>2036.6</v>
      </c>
    </row>
    <row r="2054" spans="1:12">
      <c r="A2054" t="s">
        <v>2818</v>
      </c>
      <c r="B2054" s="1">
        <v>46266</v>
      </c>
      <c r="C2054" t="s">
        <v>1068</v>
      </c>
      <c r="D2054" t="s">
        <v>20</v>
      </c>
      <c r="E2054" t="s">
        <v>21</v>
      </c>
      <c r="F2054">
        <v>3</v>
      </c>
      <c r="G2054">
        <v>799</v>
      </c>
      <c r="H2054">
        <v>0.15</v>
      </c>
      <c r="I2054" t="s">
        <v>15</v>
      </c>
      <c r="J2054" t="s">
        <v>22</v>
      </c>
      <c r="K2054" t="s">
        <v>17</v>
      </c>
      <c r="L2054">
        <f>F2053*G2053*(1-H2053)</f>
        <v>2698.2000000000003</v>
      </c>
    </row>
    <row r="2055" spans="1:12">
      <c r="A2055" t="s">
        <v>2819</v>
      </c>
      <c r="B2055" s="1">
        <v>46257</v>
      </c>
      <c r="C2055" t="s">
        <v>243</v>
      </c>
      <c r="D2055" t="s">
        <v>62</v>
      </c>
      <c r="E2055" t="s">
        <v>35</v>
      </c>
      <c r="F2055">
        <v>3</v>
      </c>
      <c r="G2055">
        <v>599</v>
      </c>
      <c r="H2055">
        <v>0</v>
      </c>
      <c r="I2055" t="s">
        <v>44</v>
      </c>
      <c r="J2055" t="s">
        <v>16</v>
      </c>
      <c r="K2055" t="s">
        <v>17</v>
      </c>
      <c r="L2055">
        <f>F2054*G2054*(1-H2054)</f>
        <v>2037.45</v>
      </c>
    </row>
    <row r="2056" spans="1:12">
      <c r="A2056" t="s">
        <v>2820</v>
      </c>
      <c r="B2056" s="1">
        <v>46082</v>
      </c>
      <c r="C2056" t="s">
        <v>803</v>
      </c>
      <c r="D2056" t="s">
        <v>26</v>
      </c>
      <c r="E2056" t="s">
        <v>14</v>
      </c>
      <c r="F2056">
        <v>4</v>
      </c>
      <c r="G2056">
        <v>599</v>
      </c>
      <c r="H2056">
        <v>0.15</v>
      </c>
      <c r="I2056" t="s">
        <v>44</v>
      </c>
      <c r="J2056" t="s">
        <v>51</v>
      </c>
      <c r="K2056" t="s">
        <v>17</v>
      </c>
      <c r="L2056">
        <f>F2055*G2055*(1-H2055)</f>
        <v>1797</v>
      </c>
    </row>
    <row r="2057" spans="1:12">
      <c r="A2057" t="s">
        <v>2821</v>
      </c>
      <c r="B2057" s="1">
        <v>46211</v>
      </c>
      <c r="C2057" t="s">
        <v>247</v>
      </c>
      <c r="D2057" t="s">
        <v>56</v>
      </c>
      <c r="E2057" t="s">
        <v>40</v>
      </c>
      <c r="F2057">
        <v>4</v>
      </c>
      <c r="G2057">
        <v>599</v>
      </c>
      <c r="H2057">
        <v>0</v>
      </c>
      <c r="I2057" t="s">
        <v>15</v>
      </c>
      <c r="J2057" t="s">
        <v>51</v>
      </c>
      <c r="K2057" t="s">
        <v>37</v>
      </c>
      <c r="L2057">
        <f>F2056*G2056*(1-H2056)</f>
        <v>2036.6</v>
      </c>
    </row>
    <row r="2058" spans="1:12">
      <c r="A2058" t="s">
        <v>2822</v>
      </c>
      <c r="B2058" s="1">
        <v>46234</v>
      </c>
      <c r="C2058" t="s">
        <v>586</v>
      </c>
      <c r="D2058" t="s">
        <v>62</v>
      </c>
      <c r="E2058" t="s">
        <v>14</v>
      </c>
      <c r="F2058">
        <v>1</v>
      </c>
      <c r="G2058">
        <v>999</v>
      </c>
      <c r="H2058">
        <v>0</v>
      </c>
      <c r="I2058" t="s">
        <v>50</v>
      </c>
      <c r="J2058" t="s">
        <v>36</v>
      </c>
      <c r="K2058" t="s">
        <v>17</v>
      </c>
      <c r="L2058">
        <f>F2057*G2057*(1-H2057)</f>
        <v>2396</v>
      </c>
    </row>
    <row r="2059" spans="1:12">
      <c r="A2059" t="s">
        <v>2823</v>
      </c>
      <c r="B2059" s="1">
        <v>46086</v>
      </c>
      <c r="C2059" t="s">
        <v>2726</v>
      </c>
      <c r="D2059" t="s">
        <v>62</v>
      </c>
      <c r="E2059" t="s">
        <v>21</v>
      </c>
      <c r="F2059">
        <v>1</v>
      </c>
      <c r="G2059">
        <v>1999</v>
      </c>
      <c r="H2059">
        <v>0</v>
      </c>
      <c r="I2059" t="s">
        <v>15</v>
      </c>
      <c r="J2059" t="s">
        <v>36</v>
      </c>
      <c r="K2059" t="s">
        <v>17</v>
      </c>
      <c r="L2059">
        <f>F2058*G2058*(1-H2058)</f>
        <v>999</v>
      </c>
    </row>
    <row r="2060" spans="1:12">
      <c r="A2060" t="s">
        <v>2824</v>
      </c>
      <c r="B2060" s="1">
        <v>46165</v>
      </c>
      <c r="C2060" t="s">
        <v>2825</v>
      </c>
      <c r="D2060" t="s">
        <v>56</v>
      </c>
      <c r="E2060" t="s">
        <v>40</v>
      </c>
      <c r="F2060">
        <v>4</v>
      </c>
      <c r="G2060">
        <v>499</v>
      </c>
      <c r="H2060">
        <v>0</v>
      </c>
      <c r="I2060" t="s">
        <v>47</v>
      </c>
      <c r="J2060" t="s">
        <v>28</v>
      </c>
      <c r="K2060" t="s">
        <v>17</v>
      </c>
      <c r="L2060">
        <f>F2059*G2059*(1-H2059)</f>
        <v>1999</v>
      </c>
    </row>
    <row r="2061" spans="1:12">
      <c r="A2061" t="s">
        <v>2826</v>
      </c>
      <c r="B2061" s="1">
        <v>46072</v>
      </c>
      <c r="C2061" t="s">
        <v>690</v>
      </c>
      <c r="D2061" t="s">
        <v>62</v>
      </c>
      <c r="E2061" t="s">
        <v>35</v>
      </c>
      <c r="F2061">
        <v>1</v>
      </c>
      <c r="G2061">
        <v>599</v>
      </c>
      <c r="H2061">
        <v>0</v>
      </c>
      <c r="I2061" t="s">
        <v>15</v>
      </c>
      <c r="J2061" t="s">
        <v>22</v>
      </c>
      <c r="K2061" t="s">
        <v>23</v>
      </c>
      <c r="L2061">
        <f>F2060*G2060*(1-H2060)</f>
        <v>1996</v>
      </c>
    </row>
    <row r="2062" spans="1:12">
      <c r="A2062" t="s">
        <v>2827</v>
      </c>
      <c r="B2062" s="1">
        <v>46057</v>
      </c>
      <c r="C2062" t="s">
        <v>444</v>
      </c>
      <c r="D2062" t="s">
        <v>26</v>
      </c>
      <c r="E2062" t="s">
        <v>40</v>
      </c>
      <c r="F2062">
        <v>1</v>
      </c>
      <c r="G2062">
        <v>1299</v>
      </c>
      <c r="H2062">
        <v>0</v>
      </c>
      <c r="I2062" t="s">
        <v>44</v>
      </c>
      <c r="J2062" t="s">
        <v>36</v>
      </c>
      <c r="K2062" t="s">
        <v>17</v>
      </c>
      <c r="L2062">
        <f>F2061*G2061*(1-H2061)</f>
        <v>599</v>
      </c>
    </row>
    <row r="2063" spans="1:12">
      <c r="A2063" t="s">
        <v>2828</v>
      </c>
      <c r="B2063" s="1">
        <v>46126</v>
      </c>
      <c r="C2063" t="s">
        <v>680</v>
      </c>
      <c r="D2063" t="s">
        <v>26</v>
      </c>
      <c r="E2063" t="s">
        <v>27</v>
      </c>
      <c r="F2063">
        <v>3</v>
      </c>
      <c r="G2063">
        <v>2499</v>
      </c>
      <c r="H2063">
        <v>0</v>
      </c>
      <c r="I2063" t="s">
        <v>15</v>
      </c>
      <c r="J2063" t="s">
        <v>28</v>
      </c>
      <c r="K2063" t="s">
        <v>23</v>
      </c>
      <c r="L2063">
        <f>F2062*G2062*(1-H2062)</f>
        <v>1299</v>
      </c>
    </row>
    <row r="2064" spans="1:12">
      <c r="A2064" t="s">
        <v>2829</v>
      </c>
      <c r="B2064" s="1">
        <v>46088</v>
      </c>
      <c r="C2064" t="s">
        <v>1981</v>
      </c>
      <c r="D2064" t="s">
        <v>62</v>
      </c>
      <c r="E2064" t="s">
        <v>21</v>
      </c>
      <c r="F2064">
        <v>1</v>
      </c>
      <c r="G2064">
        <v>999</v>
      </c>
      <c r="H2064">
        <v>0.1</v>
      </c>
      <c r="I2064" t="s">
        <v>50</v>
      </c>
      <c r="J2064" t="s">
        <v>22</v>
      </c>
      <c r="K2064" t="s">
        <v>17</v>
      </c>
      <c r="L2064">
        <f>F2063*G2063*(1-H2063)</f>
        <v>7497</v>
      </c>
    </row>
    <row r="2065" spans="1:12">
      <c r="A2065" t="s">
        <v>2830</v>
      </c>
      <c r="B2065" s="1">
        <v>46130</v>
      </c>
      <c r="C2065" t="s">
        <v>548</v>
      </c>
      <c r="D2065" t="s">
        <v>56</v>
      </c>
      <c r="E2065" t="s">
        <v>14</v>
      </c>
      <c r="F2065">
        <v>1</v>
      </c>
      <c r="G2065">
        <v>999</v>
      </c>
      <c r="H2065">
        <v>0.05</v>
      </c>
      <c r="I2065" t="s">
        <v>50</v>
      </c>
      <c r="J2065" t="s">
        <v>28</v>
      </c>
      <c r="K2065" t="s">
        <v>17</v>
      </c>
      <c r="L2065">
        <f>F2064*G2064*(1-H2064)</f>
        <v>899.1</v>
      </c>
    </row>
    <row r="2066" spans="1:12">
      <c r="A2066" t="s">
        <v>2831</v>
      </c>
      <c r="B2066" s="1">
        <v>46208</v>
      </c>
      <c r="C2066" t="s">
        <v>2832</v>
      </c>
      <c r="D2066" t="s">
        <v>78</v>
      </c>
      <c r="E2066" t="s">
        <v>21</v>
      </c>
      <c r="F2066">
        <v>1</v>
      </c>
      <c r="G2066">
        <v>499</v>
      </c>
      <c r="H2066">
        <v>0</v>
      </c>
      <c r="I2066" t="s">
        <v>44</v>
      </c>
      <c r="J2066" t="s">
        <v>22</v>
      </c>
      <c r="K2066" t="s">
        <v>17</v>
      </c>
      <c r="L2066">
        <f>F2065*G2065*(1-H2065)</f>
        <v>949.05</v>
      </c>
    </row>
    <row r="2067" spans="1:12">
      <c r="A2067" t="s">
        <v>2833</v>
      </c>
      <c r="B2067" s="1">
        <v>46031</v>
      </c>
      <c r="C2067" t="s">
        <v>2036</v>
      </c>
      <c r="D2067" t="s">
        <v>26</v>
      </c>
      <c r="E2067" t="s">
        <v>21</v>
      </c>
      <c r="F2067">
        <v>3</v>
      </c>
      <c r="G2067">
        <v>1999</v>
      </c>
      <c r="H2067">
        <v>0</v>
      </c>
      <c r="I2067" t="s">
        <v>15</v>
      </c>
      <c r="J2067" t="s">
        <v>16</v>
      </c>
      <c r="K2067" t="s">
        <v>17</v>
      </c>
      <c r="L2067">
        <f>F2066*G2066*(1-H2066)</f>
        <v>499</v>
      </c>
    </row>
    <row r="2068" spans="1:12">
      <c r="A2068" t="s">
        <v>2834</v>
      </c>
      <c r="B2068" s="1">
        <v>46202</v>
      </c>
      <c r="C2068" t="s">
        <v>1340</v>
      </c>
      <c r="D2068" t="s">
        <v>26</v>
      </c>
      <c r="E2068" t="s">
        <v>40</v>
      </c>
      <c r="F2068">
        <v>1</v>
      </c>
      <c r="G2068">
        <v>1499</v>
      </c>
      <c r="H2068">
        <v>0</v>
      </c>
      <c r="I2068" t="s">
        <v>15</v>
      </c>
      <c r="J2068" t="s">
        <v>22</v>
      </c>
      <c r="K2068" t="s">
        <v>17</v>
      </c>
      <c r="L2068">
        <f>F2067*G2067*(1-H2067)</f>
        <v>5997</v>
      </c>
    </row>
    <row r="2069" spans="1:12">
      <c r="A2069" t="s">
        <v>2835</v>
      </c>
      <c r="B2069" s="1">
        <v>46237</v>
      </c>
      <c r="C2069" t="s">
        <v>545</v>
      </c>
      <c r="D2069" t="s">
        <v>31</v>
      </c>
      <c r="E2069" t="s">
        <v>14</v>
      </c>
      <c r="F2069">
        <v>4</v>
      </c>
      <c r="G2069">
        <v>499</v>
      </c>
      <c r="H2069">
        <v>0.15</v>
      </c>
      <c r="I2069" t="s">
        <v>50</v>
      </c>
      <c r="J2069" t="s">
        <v>28</v>
      </c>
      <c r="K2069" t="s">
        <v>23</v>
      </c>
      <c r="L2069">
        <f>F2068*G2068*(1-H2068)</f>
        <v>1499</v>
      </c>
    </row>
    <row r="2070" spans="1:12">
      <c r="A2070" t="s">
        <v>2836</v>
      </c>
      <c r="B2070" s="1">
        <v>46257</v>
      </c>
      <c r="C2070" t="s">
        <v>2191</v>
      </c>
      <c r="D2070" t="s">
        <v>26</v>
      </c>
      <c r="E2070" t="s">
        <v>27</v>
      </c>
      <c r="F2070">
        <v>1</v>
      </c>
      <c r="G2070">
        <v>1999</v>
      </c>
      <c r="H2070">
        <v>0.1</v>
      </c>
      <c r="I2070" t="s">
        <v>44</v>
      </c>
      <c r="J2070" t="s">
        <v>22</v>
      </c>
      <c r="K2070" t="s">
        <v>17</v>
      </c>
      <c r="L2070">
        <f>F2069*G2069*(1-H2069)</f>
        <v>1696.6</v>
      </c>
    </row>
    <row r="2071" spans="1:12">
      <c r="A2071" t="s">
        <v>2837</v>
      </c>
      <c r="B2071" s="1">
        <v>46080</v>
      </c>
      <c r="C2071" t="s">
        <v>1118</v>
      </c>
      <c r="D2071" t="s">
        <v>78</v>
      </c>
      <c r="E2071" t="s">
        <v>21</v>
      </c>
      <c r="F2071">
        <v>2</v>
      </c>
      <c r="G2071">
        <v>1499</v>
      </c>
      <c r="H2071">
        <v>0.05</v>
      </c>
      <c r="I2071" t="s">
        <v>15</v>
      </c>
      <c r="J2071" t="s">
        <v>22</v>
      </c>
      <c r="K2071" t="s">
        <v>23</v>
      </c>
      <c r="L2071">
        <f>F2070*G2070*(1-H2070)</f>
        <v>1799.1000000000001</v>
      </c>
    </row>
    <row r="2072" spans="1:12">
      <c r="A2072" t="s">
        <v>2838</v>
      </c>
      <c r="B2072" s="1">
        <v>46201</v>
      </c>
      <c r="C2072" t="s">
        <v>2256</v>
      </c>
      <c r="D2072" t="s">
        <v>71</v>
      </c>
      <c r="E2072" t="s">
        <v>35</v>
      </c>
      <c r="F2072">
        <v>2</v>
      </c>
      <c r="G2072">
        <v>999</v>
      </c>
      <c r="H2072">
        <v>0</v>
      </c>
      <c r="I2072" t="s">
        <v>47</v>
      </c>
      <c r="J2072" t="s">
        <v>16</v>
      </c>
      <c r="K2072" t="s">
        <v>17</v>
      </c>
      <c r="L2072">
        <f>F2071*G2071*(1-H2071)</f>
        <v>2848.1</v>
      </c>
    </row>
    <row r="2073" spans="1:12">
      <c r="A2073" t="s">
        <v>2839</v>
      </c>
      <c r="B2073" s="1">
        <v>46218</v>
      </c>
      <c r="C2073" t="s">
        <v>1359</v>
      </c>
      <c r="D2073" t="s">
        <v>59</v>
      </c>
      <c r="E2073" t="s">
        <v>27</v>
      </c>
      <c r="F2073">
        <v>4</v>
      </c>
      <c r="G2073">
        <v>4999</v>
      </c>
      <c r="H2073">
        <v>0.1</v>
      </c>
      <c r="I2073" t="s">
        <v>47</v>
      </c>
      <c r="J2073" t="s">
        <v>22</v>
      </c>
      <c r="K2073" t="s">
        <v>17</v>
      </c>
      <c r="L2073">
        <f>F2072*G2072*(1-H2072)</f>
        <v>1998</v>
      </c>
    </row>
    <row r="2074" spans="1:12">
      <c r="A2074" t="s">
        <v>2840</v>
      </c>
      <c r="B2074" s="1">
        <v>46094</v>
      </c>
      <c r="C2074" t="s">
        <v>211</v>
      </c>
      <c r="D2074" t="s">
        <v>26</v>
      </c>
      <c r="E2074" t="s">
        <v>40</v>
      </c>
      <c r="F2074">
        <v>4</v>
      </c>
      <c r="G2074">
        <v>1999</v>
      </c>
      <c r="H2074">
        <v>0.1</v>
      </c>
      <c r="I2074" t="s">
        <v>50</v>
      </c>
      <c r="J2074" t="s">
        <v>22</v>
      </c>
      <c r="K2074" t="s">
        <v>17</v>
      </c>
      <c r="L2074">
        <f>F2073*G2073*(1-H2073)</f>
        <v>17996.400000000001</v>
      </c>
    </row>
    <row r="2075" spans="1:12">
      <c r="A2075" t="s">
        <v>2841</v>
      </c>
      <c r="B2075" s="1">
        <v>46057</v>
      </c>
      <c r="C2075" t="s">
        <v>221</v>
      </c>
      <c r="D2075" t="s">
        <v>59</v>
      </c>
      <c r="E2075" t="s">
        <v>35</v>
      </c>
      <c r="F2075">
        <v>1</v>
      </c>
      <c r="G2075">
        <v>599</v>
      </c>
      <c r="H2075">
        <v>0.15</v>
      </c>
      <c r="I2075" t="s">
        <v>44</v>
      </c>
      <c r="J2075" t="s">
        <v>28</v>
      </c>
      <c r="K2075" t="s">
        <v>17</v>
      </c>
      <c r="L2075">
        <f>F2074*G2074*(1-H2074)</f>
        <v>7196.4000000000005</v>
      </c>
    </row>
    <row r="2076" spans="1:12">
      <c r="A2076" t="s">
        <v>2842</v>
      </c>
      <c r="B2076" s="1">
        <v>46046</v>
      </c>
      <c r="C2076" t="s">
        <v>675</v>
      </c>
      <c r="D2076" t="s">
        <v>43</v>
      </c>
      <c r="E2076" t="s">
        <v>14</v>
      </c>
      <c r="F2076">
        <v>4</v>
      </c>
      <c r="G2076">
        <v>4999</v>
      </c>
      <c r="H2076">
        <v>0</v>
      </c>
      <c r="I2076" t="s">
        <v>47</v>
      </c>
      <c r="J2076" t="s">
        <v>28</v>
      </c>
      <c r="K2076" t="s">
        <v>37</v>
      </c>
      <c r="L2076">
        <f>F2075*G2075*(1-H2075)</f>
        <v>509.15</v>
      </c>
    </row>
    <row r="2077" spans="1:12">
      <c r="A2077" t="s">
        <v>2843</v>
      </c>
      <c r="B2077" s="1">
        <v>46073</v>
      </c>
      <c r="C2077" t="s">
        <v>1467</v>
      </c>
      <c r="D2077" t="s">
        <v>71</v>
      </c>
      <c r="E2077" t="s">
        <v>27</v>
      </c>
      <c r="F2077">
        <v>4</v>
      </c>
      <c r="G2077">
        <v>799</v>
      </c>
      <c r="H2077">
        <v>0.1</v>
      </c>
      <c r="I2077" t="s">
        <v>32</v>
      </c>
      <c r="J2077" t="s">
        <v>28</v>
      </c>
      <c r="K2077" t="s">
        <v>17</v>
      </c>
      <c r="L2077">
        <f>F2076*G2076*(1-H2076)</f>
        <v>19996</v>
      </c>
    </row>
    <row r="2078" spans="1:12">
      <c r="A2078" t="s">
        <v>2844</v>
      </c>
      <c r="B2078" s="1">
        <v>46243</v>
      </c>
      <c r="C2078" t="s">
        <v>1821</v>
      </c>
      <c r="D2078" t="s">
        <v>26</v>
      </c>
      <c r="E2078" t="s">
        <v>27</v>
      </c>
      <c r="F2078">
        <v>3</v>
      </c>
      <c r="G2078">
        <v>1299</v>
      </c>
      <c r="H2078">
        <v>0.05</v>
      </c>
      <c r="I2078" t="s">
        <v>44</v>
      </c>
      <c r="J2078" t="s">
        <v>28</v>
      </c>
      <c r="K2078" t="s">
        <v>23</v>
      </c>
      <c r="L2078">
        <f>F2077*G2077*(1-H2077)</f>
        <v>2876.4</v>
      </c>
    </row>
    <row r="2079" spans="1:12">
      <c r="A2079" t="s">
        <v>2845</v>
      </c>
      <c r="B2079" s="1">
        <v>46140</v>
      </c>
      <c r="C2079" t="s">
        <v>1146</v>
      </c>
      <c r="D2079" t="s">
        <v>26</v>
      </c>
      <c r="E2079" t="s">
        <v>27</v>
      </c>
      <c r="F2079">
        <v>3</v>
      </c>
      <c r="G2079">
        <v>1299</v>
      </c>
      <c r="H2079">
        <v>0.05</v>
      </c>
      <c r="I2079" t="s">
        <v>15</v>
      </c>
      <c r="J2079" t="s">
        <v>28</v>
      </c>
      <c r="K2079" t="s">
        <v>17</v>
      </c>
      <c r="L2079">
        <f>F2078*G2078*(1-H2078)</f>
        <v>3702.1499999999996</v>
      </c>
    </row>
    <row r="2080" spans="1:12">
      <c r="A2080" t="s">
        <v>2846</v>
      </c>
      <c r="B2080" s="1">
        <v>46169</v>
      </c>
      <c r="C2080" t="s">
        <v>2083</v>
      </c>
      <c r="D2080" t="s">
        <v>59</v>
      </c>
      <c r="E2080" t="s">
        <v>14</v>
      </c>
      <c r="F2080">
        <v>1</v>
      </c>
      <c r="G2080">
        <v>7999</v>
      </c>
      <c r="H2080">
        <v>0</v>
      </c>
      <c r="I2080" t="s">
        <v>15</v>
      </c>
      <c r="J2080" t="s">
        <v>36</v>
      </c>
      <c r="K2080" t="s">
        <v>37</v>
      </c>
      <c r="L2080">
        <f>F2079*G2079*(1-H2079)</f>
        <v>3702.1499999999996</v>
      </c>
    </row>
    <row r="2081" spans="1:12">
      <c r="A2081" t="s">
        <v>2847</v>
      </c>
      <c r="B2081" s="1">
        <v>46178</v>
      </c>
      <c r="C2081" t="s">
        <v>1006</v>
      </c>
      <c r="D2081" t="s">
        <v>71</v>
      </c>
      <c r="E2081" t="s">
        <v>40</v>
      </c>
      <c r="F2081">
        <v>1</v>
      </c>
      <c r="G2081">
        <v>1499</v>
      </c>
      <c r="H2081">
        <v>0.1</v>
      </c>
      <c r="I2081" t="s">
        <v>15</v>
      </c>
      <c r="J2081" t="s">
        <v>28</v>
      </c>
      <c r="K2081" t="s">
        <v>23</v>
      </c>
      <c r="L2081">
        <f>F2080*G2080*(1-H2080)</f>
        <v>7999</v>
      </c>
    </row>
    <row r="2082" spans="1:12">
      <c r="A2082" t="s">
        <v>2848</v>
      </c>
      <c r="B2082" s="1">
        <v>46027</v>
      </c>
      <c r="C2082" t="s">
        <v>711</v>
      </c>
      <c r="D2082" t="s">
        <v>71</v>
      </c>
      <c r="E2082" t="s">
        <v>40</v>
      </c>
      <c r="F2082">
        <v>1</v>
      </c>
      <c r="G2082">
        <v>499</v>
      </c>
      <c r="H2082">
        <v>0.05</v>
      </c>
      <c r="I2082" t="s">
        <v>15</v>
      </c>
      <c r="J2082" t="s">
        <v>51</v>
      </c>
      <c r="K2082" t="s">
        <v>37</v>
      </c>
      <c r="L2082">
        <f>F2081*G2081*(1-H2081)</f>
        <v>1349.1000000000001</v>
      </c>
    </row>
    <row r="2083" spans="1:12">
      <c r="A2083" t="s">
        <v>2849</v>
      </c>
      <c r="B2083" s="1">
        <v>46248</v>
      </c>
      <c r="C2083" t="s">
        <v>515</v>
      </c>
      <c r="D2083" t="s">
        <v>78</v>
      </c>
      <c r="E2083" t="s">
        <v>40</v>
      </c>
      <c r="F2083">
        <v>1</v>
      </c>
      <c r="G2083">
        <v>2499</v>
      </c>
      <c r="H2083">
        <v>0</v>
      </c>
      <c r="I2083" t="s">
        <v>15</v>
      </c>
      <c r="J2083" t="s">
        <v>16</v>
      </c>
      <c r="K2083" t="s">
        <v>23</v>
      </c>
      <c r="L2083">
        <f>F2082*G2082*(1-H2082)</f>
        <v>474.04999999999995</v>
      </c>
    </row>
    <row r="2084" spans="1:12">
      <c r="A2084" t="s">
        <v>2850</v>
      </c>
      <c r="B2084" s="1">
        <v>46069</v>
      </c>
      <c r="C2084" t="s">
        <v>506</v>
      </c>
      <c r="D2084" t="s">
        <v>59</v>
      </c>
      <c r="E2084" t="s">
        <v>27</v>
      </c>
      <c r="F2084">
        <v>5</v>
      </c>
      <c r="G2084">
        <v>499</v>
      </c>
      <c r="H2084">
        <v>0.1</v>
      </c>
      <c r="I2084" t="s">
        <v>15</v>
      </c>
      <c r="J2084" t="s">
        <v>36</v>
      </c>
      <c r="K2084" t="s">
        <v>23</v>
      </c>
      <c r="L2084">
        <f>F2083*G2083*(1-H2083)</f>
        <v>2499</v>
      </c>
    </row>
    <row r="2085" spans="1:12">
      <c r="A2085" t="s">
        <v>2851</v>
      </c>
      <c r="B2085" s="1">
        <v>46082</v>
      </c>
      <c r="C2085" t="s">
        <v>154</v>
      </c>
      <c r="D2085" t="s">
        <v>13</v>
      </c>
      <c r="E2085" t="s">
        <v>40</v>
      </c>
      <c r="F2085">
        <v>1</v>
      </c>
      <c r="G2085">
        <v>7999</v>
      </c>
      <c r="H2085">
        <v>0.1</v>
      </c>
      <c r="I2085" t="s">
        <v>15</v>
      </c>
      <c r="J2085" t="s">
        <v>51</v>
      </c>
      <c r="K2085" t="s">
        <v>37</v>
      </c>
      <c r="L2085">
        <f>F2084*G2084*(1-H2084)</f>
        <v>2245.5</v>
      </c>
    </row>
    <row r="2086" spans="1:12">
      <c r="A2086" t="s">
        <v>2852</v>
      </c>
      <c r="B2086" s="1">
        <v>46173</v>
      </c>
      <c r="C2086" t="s">
        <v>1125</v>
      </c>
      <c r="D2086" t="s">
        <v>13</v>
      </c>
      <c r="E2086" t="s">
        <v>35</v>
      </c>
      <c r="F2086">
        <v>3</v>
      </c>
      <c r="G2086">
        <v>999</v>
      </c>
      <c r="H2086">
        <v>0.1</v>
      </c>
      <c r="I2086" t="s">
        <v>32</v>
      </c>
      <c r="J2086" t="s">
        <v>51</v>
      </c>
      <c r="K2086" t="s">
        <v>23</v>
      </c>
      <c r="L2086">
        <f>F2085*G2085*(1-H2085)</f>
        <v>7199.1</v>
      </c>
    </row>
    <row r="2087" spans="1:12">
      <c r="A2087" t="s">
        <v>2853</v>
      </c>
      <c r="B2087" s="1">
        <v>46121</v>
      </c>
      <c r="C2087" t="s">
        <v>1250</v>
      </c>
      <c r="D2087" t="s">
        <v>71</v>
      </c>
      <c r="E2087" t="s">
        <v>14</v>
      </c>
      <c r="F2087">
        <v>3</v>
      </c>
      <c r="G2087">
        <v>1499</v>
      </c>
      <c r="H2087">
        <v>0</v>
      </c>
      <c r="I2087" t="s">
        <v>47</v>
      </c>
      <c r="J2087" t="s">
        <v>28</v>
      </c>
      <c r="K2087" t="s">
        <v>17</v>
      </c>
      <c r="L2087">
        <f>F2086*G2086*(1-H2086)</f>
        <v>2697.3</v>
      </c>
    </row>
    <row r="2088" spans="1:12">
      <c r="A2088" t="s">
        <v>2854</v>
      </c>
      <c r="B2088" s="1">
        <v>46064</v>
      </c>
      <c r="C2088" t="s">
        <v>780</v>
      </c>
      <c r="D2088" t="s">
        <v>31</v>
      </c>
      <c r="E2088" t="s">
        <v>14</v>
      </c>
      <c r="F2088">
        <v>2</v>
      </c>
      <c r="G2088">
        <v>1999</v>
      </c>
      <c r="H2088">
        <v>0</v>
      </c>
      <c r="I2088" t="s">
        <v>15</v>
      </c>
      <c r="J2088" t="s">
        <v>22</v>
      </c>
      <c r="K2088" t="s">
        <v>23</v>
      </c>
      <c r="L2088">
        <f>F2087*G2087*(1-H2087)</f>
        <v>4497</v>
      </c>
    </row>
    <row r="2089" spans="1:12">
      <c r="A2089" t="s">
        <v>2855</v>
      </c>
      <c r="B2089" s="1">
        <v>46234</v>
      </c>
      <c r="C2089" t="s">
        <v>2856</v>
      </c>
      <c r="D2089" t="s">
        <v>31</v>
      </c>
      <c r="E2089" t="s">
        <v>27</v>
      </c>
      <c r="F2089">
        <v>1</v>
      </c>
      <c r="G2089">
        <v>1499</v>
      </c>
      <c r="H2089">
        <v>0.15</v>
      </c>
      <c r="I2089" t="s">
        <v>44</v>
      </c>
      <c r="J2089" t="s">
        <v>16</v>
      </c>
      <c r="K2089" t="s">
        <v>17</v>
      </c>
      <c r="L2089">
        <f>F2088*G2088*(1-H2088)</f>
        <v>3998</v>
      </c>
    </row>
    <row r="2090" spans="1:12">
      <c r="A2090" t="s">
        <v>2857</v>
      </c>
      <c r="B2090" s="1">
        <v>46203</v>
      </c>
      <c r="C2090" t="s">
        <v>526</v>
      </c>
      <c r="D2090" t="s">
        <v>59</v>
      </c>
      <c r="E2090" t="s">
        <v>40</v>
      </c>
      <c r="F2090">
        <v>5</v>
      </c>
      <c r="G2090">
        <v>1999</v>
      </c>
      <c r="H2090">
        <v>0.1</v>
      </c>
      <c r="I2090" t="s">
        <v>15</v>
      </c>
      <c r="J2090" t="s">
        <v>22</v>
      </c>
      <c r="K2090" t="s">
        <v>17</v>
      </c>
      <c r="L2090">
        <f>F2089*G2089*(1-H2089)</f>
        <v>1274.1499999999999</v>
      </c>
    </row>
    <row r="2091" spans="1:12">
      <c r="A2091" t="s">
        <v>2858</v>
      </c>
      <c r="B2091" s="1">
        <v>46240</v>
      </c>
      <c r="C2091" t="s">
        <v>166</v>
      </c>
      <c r="D2091" t="s">
        <v>62</v>
      </c>
      <c r="E2091" t="s">
        <v>21</v>
      </c>
      <c r="F2091">
        <v>3</v>
      </c>
      <c r="G2091">
        <v>499</v>
      </c>
      <c r="H2091">
        <v>0.05</v>
      </c>
      <c r="I2091" t="s">
        <v>15</v>
      </c>
      <c r="J2091" t="s">
        <v>36</v>
      </c>
      <c r="K2091" t="s">
        <v>23</v>
      </c>
      <c r="L2091">
        <f>F2090*G2090*(1-H2090)</f>
        <v>8995.5</v>
      </c>
    </row>
    <row r="2092" spans="1:12">
      <c r="A2092" t="s">
        <v>2859</v>
      </c>
      <c r="B2092" s="1">
        <v>46148</v>
      </c>
      <c r="C2092" t="s">
        <v>1406</v>
      </c>
      <c r="D2092" t="s">
        <v>71</v>
      </c>
      <c r="E2092" t="s">
        <v>40</v>
      </c>
      <c r="F2092">
        <v>4</v>
      </c>
      <c r="G2092">
        <v>1999</v>
      </c>
      <c r="H2092">
        <v>0</v>
      </c>
      <c r="I2092" t="s">
        <v>15</v>
      </c>
      <c r="J2092" t="s">
        <v>16</v>
      </c>
      <c r="K2092" t="s">
        <v>17</v>
      </c>
      <c r="L2092">
        <f>F2091*G2091*(1-H2091)</f>
        <v>1422.1499999999999</v>
      </c>
    </row>
    <row r="2093" spans="1:12">
      <c r="A2093" t="s">
        <v>2860</v>
      </c>
      <c r="B2093" s="1">
        <v>46034</v>
      </c>
      <c r="C2093" t="s">
        <v>1572</v>
      </c>
      <c r="D2093" t="s">
        <v>26</v>
      </c>
      <c r="E2093" t="s">
        <v>14</v>
      </c>
      <c r="F2093">
        <v>4</v>
      </c>
      <c r="G2093">
        <v>4999</v>
      </c>
      <c r="H2093">
        <v>0</v>
      </c>
      <c r="I2093" t="s">
        <v>50</v>
      </c>
      <c r="J2093" t="s">
        <v>16</v>
      </c>
      <c r="K2093" t="s">
        <v>37</v>
      </c>
      <c r="L2093">
        <f>F2092*G2092*(1-H2092)</f>
        <v>7996</v>
      </c>
    </row>
    <row r="2094" spans="1:12">
      <c r="A2094" t="s">
        <v>2861</v>
      </c>
      <c r="B2094" s="1">
        <v>46070</v>
      </c>
      <c r="C2094" t="s">
        <v>2862</v>
      </c>
      <c r="D2094" t="s">
        <v>56</v>
      </c>
      <c r="E2094" t="s">
        <v>40</v>
      </c>
      <c r="F2094">
        <v>4</v>
      </c>
      <c r="G2094">
        <v>1299</v>
      </c>
      <c r="H2094">
        <v>0</v>
      </c>
      <c r="I2094" t="s">
        <v>15</v>
      </c>
      <c r="J2094" t="s">
        <v>16</v>
      </c>
      <c r="K2094" t="s">
        <v>17</v>
      </c>
      <c r="L2094">
        <f>F2093*G2093*(1-H2093)</f>
        <v>19996</v>
      </c>
    </row>
    <row r="2095" spans="1:12">
      <c r="A2095" t="s">
        <v>2863</v>
      </c>
      <c r="B2095" s="1">
        <v>46279</v>
      </c>
      <c r="C2095" t="s">
        <v>1387</v>
      </c>
      <c r="D2095" t="s">
        <v>20</v>
      </c>
      <c r="E2095" t="s">
        <v>21</v>
      </c>
      <c r="F2095">
        <v>5</v>
      </c>
      <c r="G2095">
        <v>999</v>
      </c>
      <c r="H2095">
        <v>0.15</v>
      </c>
      <c r="I2095" t="s">
        <v>32</v>
      </c>
      <c r="J2095" t="s">
        <v>51</v>
      </c>
      <c r="K2095" t="s">
        <v>23</v>
      </c>
      <c r="L2095">
        <f>F2094*G2094*(1-H2094)</f>
        <v>5196</v>
      </c>
    </row>
    <row r="2096" spans="1:12">
      <c r="A2096" t="s">
        <v>2864</v>
      </c>
      <c r="B2096" s="1">
        <v>46188</v>
      </c>
      <c r="C2096" t="s">
        <v>2553</v>
      </c>
      <c r="D2096" t="s">
        <v>62</v>
      </c>
      <c r="E2096" t="s">
        <v>40</v>
      </c>
      <c r="F2096">
        <v>2</v>
      </c>
      <c r="G2096">
        <v>7999</v>
      </c>
      <c r="H2096">
        <v>0.15</v>
      </c>
      <c r="I2096" t="s">
        <v>15</v>
      </c>
      <c r="J2096" t="s">
        <v>28</v>
      </c>
      <c r="K2096" t="s">
        <v>17</v>
      </c>
      <c r="L2096">
        <f>F2095*G2095*(1-H2095)</f>
        <v>4245.75</v>
      </c>
    </row>
    <row r="2097" spans="1:12">
      <c r="A2097" t="s">
        <v>2865</v>
      </c>
      <c r="B2097" s="1">
        <v>46264</v>
      </c>
      <c r="C2097" t="s">
        <v>456</v>
      </c>
      <c r="D2097" t="s">
        <v>78</v>
      </c>
      <c r="E2097" t="s">
        <v>21</v>
      </c>
      <c r="F2097">
        <v>2</v>
      </c>
      <c r="G2097">
        <v>499</v>
      </c>
      <c r="H2097">
        <v>0</v>
      </c>
      <c r="I2097" t="s">
        <v>15</v>
      </c>
      <c r="J2097" t="s">
        <v>28</v>
      </c>
      <c r="K2097" t="s">
        <v>17</v>
      </c>
      <c r="L2097">
        <f>F2096*G2096*(1-H2096)</f>
        <v>13598.3</v>
      </c>
    </row>
    <row r="2098" spans="1:12">
      <c r="A2098" t="s">
        <v>2866</v>
      </c>
      <c r="B2098" s="1">
        <v>46199</v>
      </c>
      <c r="C2098" t="s">
        <v>117</v>
      </c>
      <c r="D2098" t="s">
        <v>56</v>
      </c>
      <c r="E2098" t="s">
        <v>27</v>
      </c>
      <c r="F2098">
        <v>3</v>
      </c>
      <c r="G2098">
        <v>1299</v>
      </c>
      <c r="H2098">
        <v>0.1</v>
      </c>
      <c r="I2098" t="s">
        <v>50</v>
      </c>
      <c r="J2098" t="s">
        <v>22</v>
      </c>
      <c r="K2098" t="s">
        <v>17</v>
      </c>
      <c r="L2098">
        <f>F2097*G2097*(1-H2097)</f>
        <v>998</v>
      </c>
    </row>
    <row r="2099" spans="1:12">
      <c r="A2099" t="s">
        <v>2867</v>
      </c>
      <c r="B2099" s="1">
        <v>46129</v>
      </c>
      <c r="C2099" t="s">
        <v>741</v>
      </c>
      <c r="D2099" t="s">
        <v>43</v>
      </c>
      <c r="E2099" t="s">
        <v>35</v>
      </c>
      <c r="F2099">
        <v>5</v>
      </c>
      <c r="G2099">
        <v>1999</v>
      </c>
      <c r="H2099">
        <v>0.05</v>
      </c>
      <c r="I2099" t="s">
        <v>50</v>
      </c>
      <c r="J2099" t="s">
        <v>16</v>
      </c>
      <c r="K2099" t="s">
        <v>23</v>
      </c>
      <c r="L2099">
        <f>F2098*G2098*(1-H2098)</f>
        <v>3507.3</v>
      </c>
    </row>
    <row r="2100" spans="1:12">
      <c r="A2100" t="s">
        <v>2868</v>
      </c>
      <c r="B2100" s="1">
        <v>46099</v>
      </c>
      <c r="C2100" t="s">
        <v>2005</v>
      </c>
      <c r="D2100" t="s">
        <v>43</v>
      </c>
      <c r="E2100" t="s">
        <v>40</v>
      </c>
      <c r="F2100">
        <v>4</v>
      </c>
      <c r="G2100">
        <v>7999</v>
      </c>
      <c r="H2100">
        <v>0.1</v>
      </c>
      <c r="I2100" t="s">
        <v>44</v>
      </c>
      <c r="J2100" t="s">
        <v>28</v>
      </c>
      <c r="K2100" t="s">
        <v>17</v>
      </c>
      <c r="L2100">
        <f>F2099*G2099*(1-H2099)</f>
        <v>9495.25</v>
      </c>
    </row>
    <row r="2101" spans="1:12">
      <c r="A2101" t="s">
        <v>2869</v>
      </c>
      <c r="B2101" s="1">
        <v>46137</v>
      </c>
      <c r="C2101" t="s">
        <v>345</v>
      </c>
      <c r="D2101" t="s">
        <v>56</v>
      </c>
      <c r="E2101" t="s">
        <v>35</v>
      </c>
      <c r="F2101">
        <v>4</v>
      </c>
      <c r="G2101">
        <v>4999</v>
      </c>
      <c r="H2101">
        <v>0</v>
      </c>
      <c r="I2101" t="s">
        <v>47</v>
      </c>
      <c r="J2101" t="s">
        <v>36</v>
      </c>
      <c r="K2101" t="s">
        <v>17</v>
      </c>
      <c r="L2101">
        <f>F2100*G2100*(1-H2100)</f>
        <v>28796.400000000001</v>
      </c>
    </row>
    <row r="2102" spans="1:12">
      <c r="A2102" t="s">
        <v>2870</v>
      </c>
      <c r="B2102" s="1">
        <v>46118</v>
      </c>
      <c r="C2102" t="s">
        <v>1302</v>
      </c>
      <c r="D2102" t="s">
        <v>56</v>
      </c>
      <c r="E2102" t="s">
        <v>21</v>
      </c>
      <c r="F2102">
        <v>3</v>
      </c>
      <c r="G2102">
        <v>599</v>
      </c>
      <c r="H2102">
        <v>0.15</v>
      </c>
      <c r="I2102" t="s">
        <v>15</v>
      </c>
      <c r="J2102" t="s">
        <v>51</v>
      </c>
      <c r="K2102" t="s">
        <v>17</v>
      </c>
      <c r="L2102">
        <f>F2101*G2101*(1-H2101)</f>
        <v>19996</v>
      </c>
    </row>
    <row r="2103" spans="1:12">
      <c r="A2103" t="s">
        <v>2871</v>
      </c>
      <c r="B2103" s="1">
        <v>46179</v>
      </c>
      <c r="C2103" t="s">
        <v>2482</v>
      </c>
      <c r="D2103" t="s">
        <v>26</v>
      </c>
      <c r="E2103" t="s">
        <v>35</v>
      </c>
      <c r="F2103">
        <v>3</v>
      </c>
      <c r="G2103">
        <v>2499</v>
      </c>
      <c r="H2103">
        <v>0.05</v>
      </c>
      <c r="I2103" t="s">
        <v>47</v>
      </c>
      <c r="J2103" t="s">
        <v>36</v>
      </c>
      <c r="K2103" t="s">
        <v>17</v>
      </c>
      <c r="L2103">
        <f>F2102*G2102*(1-H2102)</f>
        <v>1527.45</v>
      </c>
    </row>
    <row r="2104" spans="1:12">
      <c r="A2104" t="s">
        <v>2872</v>
      </c>
      <c r="B2104" s="1">
        <v>46052</v>
      </c>
      <c r="C2104" t="s">
        <v>247</v>
      </c>
      <c r="D2104" t="s">
        <v>62</v>
      </c>
      <c r="E2104" t="s">
        <v>14</v>
      </c>
      <c r="F2104">
        <v>2</v>
      </c>
      <c r="G2104">
        <v>1999</v>
      </c>
      <c r="H2104">
        <v>0.05</v>
      </c>
      <c r="I2104" t="s">
        <v>32</v>
      </c>
      <c r="J2104" t="s">
        <v>36</v>
      </c>
      <c r="K2104" t="s">
        <v>17</v>
      </c>
      <c r="L2104">
        <f>F2103*G2103*(1-H2103)</f>
        <v>7122.15</v>
      </c>
    </row>
    <row r="2105" spans="1:12">
      <c r="A2105" t="s">
        <v>2873</v>
      </c>
      <c r="B2105" s="1">
        <v>46141</v>
      </c>
      <c r="C2105" t="s">
        <v>933</v>
      </c>
      <c r="D2105" t="s">
        <v>62</v>
      </c>
      <c r="E2105" t="s">
        <v>21</v>
      </c>
      <c r="F2105">
        <v>2</v>
      </c>
      <c r="G2105">
        <v>999</v>
      </c>
      <c r="H2105">
        <v>0</v>
      </c>
      <c r="I2105" t="s">
        <v>44</v>
      </c>
      <c r="J2105" t="s">
        <v>28</v>
      </c>
      <c r="K2105" t="s">
        <v>17</v>
      </c>
      <c r="L2105">
        <f>F2104*G2104*(1-H2104)</f>
        <v>3798.1</v>
      </c>
    </row>
    <row r="2106" spans="1:12">
      <c r="A2106" t="s">
        <v>2874</v>
      </c>
      <c r="B2106" s="1">
        <v>46290</v>
      </c>
      <c r="C2106" t="s">
        <v>316</v>
      </c>
      <c r="D2106" t="s">
        <v>59</v>
      </c>
      <c r="E2106" t="s">
        <v>35</v>
      </c>
      <c r="F2106">
        <v>5</v>
      </c>
      <c r="G2106">
        <v>499</v>
      </c>
      <c r="H2106">
        <v>0.15</v>
      </c>
      <c r="I2106" t="s">
        <v>50</v>
      </c>
      <c r="J2106" t="s">
        <v>28</v>
      </c>
      <c r="K2106" t="s">
        <v>23</v>
      </c>
      <c r="L2106">
        <f>F2105*G2105*(1-H2105)</f>
        <v>1998</v>
      </c>
    </row>
    <row r="2107" spans="1:12">
      <c r="A2107" t="s">
        <v>2875</v>
      </c>
      <c r="B2107" s="1">
        <v>46279</v>
      </c>
      <c r="C2107" t="s">
        <v>201</v>
      </c>
      <c r="D2107" t="s">
        <v>62</v>
      </c>
      <c r="E2107" t="s">
        <v>35</v>
      </c>
      <c r="F2107">
        <v>2</v>
      </c>
      <c r="G2107">
        <v>999</v>
      </c>
      <c r="H2107">
        <v>0.05</v>
      </c>
      <c r="I2107" t="s">
        <v>15</v>
      </c>
      <c r="J2107" t="s">
        <v>51</v>
      </c>
      <c r="K2107" t="s">
        <v>17</v>
      </c>
      <c r="L2107">
        <f>F2106*G2106*(1-H2106)</f>
        <v>2120.75</v>
      </c>
    </row>
    <row r="2108" spans="1:12">
      <c r="A2108" t="s">
        <v>2876</v>
      </c>
      <c r="B2108" s="1">
        <v>46118</v>
      </c>
      <c r="C2108" t="s">
        <v>277</v>
      </c>
      <c r="D2108" t="s">
        <v>56</v>
      </c>
      <c r="E2108" t="s">
        <v>40</v>
      </c>
      <c r="F2108">
        <v>5</v>
      </c>
      <c r="G2108">
        <v>4999</v>
      </c>
      <c r="H2108">
        <v>0.15</v>
      </c>
      <c r="I2108" t="s">
        <v>44</v>
      </c>
      <c r="J2108" t="s">
        <v>16</v>
      </c>
      <c r="K2108" t="s">
        <v>17</v>
      </c>
      <c r="L2108">
        <f>F2107*G2107*(1-H2107)</f>
        <v>1898.1</v>
      </c>
    </row>
    <row r="2109" spans="1:12">
      <c r="A2109" t="s">
        <v>2877</v>
      </c>
      <c r="B2109" s="1">
        <v>46037</v>
      </c>
      <c r="C2109" t="s">
        <v>688</v>
      </c>
      <c r="D2109" t="s">
        <v>71</v>
      </c>
      <c r="E2109" t="s">
        <v>14</v>
      </c>
      <c r="F2109">
        <v>4</v>
      </c>
      <c r="G2109">
        <v>599</v>
      </c>
      <c r="H2109">
        <v>0.1</v>
      </c>
      <c r="I2109" t="s">
        <v>44</v>
      </c>
      <c r="J2109" t="s">
        <v>22</v>
      </c>
      <c r="K2109" t="s">
        <v>37</v>
      </c>
      <c r="L2109">
        <f>F2108*G2108*(1-H2108)</f>
        <v>21245.75</v>
      </c>
    </row>
    <row r="2110" spans="1:12">
      <c r="A2110" t="s">
        <v>2878</v>
      </c>
      <c r="B2110" s="1">
        <v>46117</v>
      </c>
      <c r="C2110" t="s">
        <v>1393</v>
      </c>
      <c r="D2110" t="s">
        <v>62</v>
      </c>
      <c r="E2110" t="s">
        <v>27</v>
      </c>
      <c r="F2110">
        <v>3</v>
      </c>
      <c r="G2110">
        <v>499</v>
      </c>
      <c r="H2110">
        <v>0</v>
      </c>
      <c r="I2110" t="s">
        <v>47</v>
      </c>
      <c r="J2110" t="s">
        <v>16</v>
      </c>
      <c r="K2110" t="s">
        <v>17</v>
      </c>
      <c r="L2110">
        <f>F2109*G2109*(1-H2109)</f>
        <v>2156.4</v>
      </c>
    </row>
    <row r="2111" spans="1:12">
      <c r="A2111" t="s">
        <v>2879</v>
      </c>
      <c r="B2111" s="1">
        <v>46176</v>
      </c>
      <c r="C2111" t="s">
        <v>1911</v>
      </c>
      <c r="D2111" t="s">
        <v>56</v>
      </c>
      <c r="E2111" t="s">
        <v>21</v>
      </c>
      <c r="F2111">
        <v>1</v>
      </c>
      <c r="G2111">
        <v>2499</v>
      </c>
      <c r="H2111">
        <v>0.15</v>
      </c>
      <c r="I2111" t="s">
        <v>32</v>
      </c>
      <c r="J2111" t="s">
        <v>36</v>
      </c>
      <c r="K2111" t="s">
        <v>17</v>
      </c>
      <c r="L2111">
        <f>F2110*G2110*(1-H2110)</f>
        <v>1497</v>
      </c>
    </row>
    <row r="2112" spans="1:12">
      <c r="A2112" t="s">
        <v>2880</v>
      </c>
      <c r="B2112" s="1">
        <v>46227</v>
      </c>
      <c r="C2112" t="s">
        <v>528</v>
      </c>
      <c r="D2112" t="s">
        <v>26</v>
      </c>
      <c r="E2112" t="s">
        <v>27</v>
      </c>
      <c r="F2112">
        <v>5</v>
      </c>
      <c r="G2112">
        <v>599</v>
      </c>
      <c r="H2112">
        <v>0</v>
      </c>
      <c r="I2112" t="s">
        <v>44</v>
      </c>
      <c r="J2112" t="s">
        <v>28</v>
      </c>
      <c r="K2112" t="s">
        <v>37</v>
      </c>
      <c r="L2112">
        <f>F2111*G2111*(1-H2111)</f>
        <v>2124.15</v>
      </c>
    </row>
    <row r="2113" spans="1:12">
      <c r="A2113" t="s">
        <v>2881</v>
      </c>
      <c r="B2113" s="1">
        <v>46147</v>
      </c>
      <c r="C2113" t="s">
        <v>2882</v>
      </c>
      <c r="D2113" t="s">
        <v>62</v>
      </c>
      <c r="E2113" t="s">
        <v>35</v>
      </c>
      <c r="F2113">
        <v>2</v>
      </c>
      <c r="G2113">
        <v>7999</v>
      </c>
      <c r="H2113">
        <v>0.05</v>
      </c>
      <c r="I2113" t="s">
        <v>50</v>
      </c>
      <c r="J2113" t="s">
        <v>22</v>
      </c>
      <c r="K2113" t="s">
        <v>23</v>
      </c>
      <c r="L2113">
        <f>F2112*G2112*(1-H2112)</f>
        <v>2995</v>
      </c>
    </row>
    <row r="2114" spans="1:12">
      <c r="A2114" t="s">
        <v>2883</v>
      </c>
      <c r="B2114" s="1">
        <v>46135</v>
      </c>
      <c r="C2114" t="s">
        <v>669</v>
      </c>
      <c r="D2114" t="s">
        <v>20</v>
      </c>
      <c r="E2114" t="s">
        <v>40</v>
      </c>
      <c r="F2114">
        <v>3</v>
      </c>
      <c r="G2114">
        <v>799</v>
      </c>
      <c r="H2114">
        <v>0.15</v>
      </c>
      <c r="I2114" t="s">
        <v>15</v>
      </c>
      <c r="J2114" t="s">
        <v>22</v>
      </c>
      <c r="K2114" t="s">
        <v>17</v>
      </c>
      <c r="L2114">
        <f>F2113*G2113*(1-H2113)</f>
        <v>15198.099999999999</v>
      </c>
    </row>
    <row r="2115" spans="1:12">
      <c r="A2115" t="s">
        <v>2884</v>
      </c>
      <c r="B2115" s="1">
        <v>46123</v>
      </c>
      <c r="C2115" t="s">
        <v>2303</v>
      </c>
      <c r="D2115" t="s">
        <v>59</v>
      </c>
      <c r="E2115" t="s">
        <v>21</v>
      </c>
      <c r="F2115">
        <v>3</v>
      </c>
      <c r="G2115">
        <v>1999</v>
      </c>
      <c r="H2115">
        <v>0.05</v>
      </c>
      <c r="I2115" t="s">
        <v>15</v>
      </c>
      <c r="J2115" t="s">
        <v>22</v>
      </c>
      <c r="K2115" t="s">
        <v>17</v>
      </c>
      <c r="L2115">
        <f>F2114*G2114*(1-H2114)</f>
        <v>2037.45</v>
      </c>
    </row>
    <row r="2116" spans="1:12">
      <c r="A2116" t="s">
        <v>2885</v>
      </c>
      <c r="B2116" s="1">
        <v>46151</v>
      </c>
      <c r="C2116" t="s">
        <v>1097</v>
      </c>
      <c r="D2116" t="s">
        <v>26</v>
      </c>
      <c r="E2116" t="s">
        <v>40</v>
      </c>
      <c r="F2116">
        <v>3</v>
      </c>
      <c r="G2116">
        <v>599</v>
      </c>
      <c r="H2116">
        <v>0.05</v>
      </c>
      <c r="I2116" t="s">
        <v>15</v>
      </c>
      <c r="J2116" t="s">
        <v>51</v>
      </c>
      <c r="K2116" t="s">
        <v>23</v>
      </c>
      <c r="L2116">
        <f>F2115*G2115*(1-H2115)</f>
        <v>5697.15</v>
      </c>
    </row>
    <row r="2117" spans="1:12">
      <c r="A2117" t="s">
        <v>2886</v>
      </c>
      <c r="B2117" s="1">
        <v>46170</v>
      </c>
      <c r="C2117" t="s">
        <v>2887</v>
      </c>
      <c r="D2117" t="s">
        <v>59</v>
      </c>
      <c r="E2117" t="s">
        <v>35</v>
      </c>
      <c r="F2117">
        <v>4</v>
      </c>
      <c r="G2117">
        <v>799</v>
      </c>
      <c r="H2117">
        <v>0</v>
      </c>
      <c r="I2117" t="s">
        <v>15</v>
      </c>
      <c r="J2117" t="s">
        <v>36</v>
      </c>
      <c r="K2117" t="s">
        <v>23</v>
      </c>
      <c r="L2117">
        <f>F2116*G2116*(1-H2116)</f>
        <v>1707.1499999999999</v>
      </c>
    </row>
    <row r="2118" spans="1:12">
      <c r="A2118" t="s">
        <v>2888</v>
      </c>
      <c r="B2118" s="1">
        <v>46117</v>
      </c>
      <c r="C2118" t="s">
        <v>2553</v>
      </c>
      <c r="D2118" t="s">
        <v>71</v>
      </c>
      <c r="E2118" t="s">
        <v>35</v>
      </c>
      <c r="F2118">
        <v>5</v>
      </c>
      <c r="G2118">
        <v>2499</v>
      </c>
      <c r="H2118">
        <v>0</v>
      </c>
      <c r="I2118" t="s">
        <v>47</v>
      </c>
      <c r="J2118" t="s">
        <v>16</v>
      </c>
      <c r="K2118" t="s">
        <v>17</v>
      </c>
      <c r="L2118">
        <f>F2117*G2117*(1-H2117)</f>
        <v>3196</v>
      </c>
    </row>
    <row r="2119" spans="1:12">
      <c r="A2119" t="s">
        <v>2889</v>
      </c>
      <c r="B2119" s="1">
        <v>46166</v>
      </c>
      <c r="C2119" t="s">
        <v>1471</v>
      </c>
      <c r="D2119" t="s">
        <v>56</v>
      </c>
      <c r="E2119" t="s">
        <v>40</v>
      </c>
      <c r="F2119">
        <v>3</v>
      </c>
      <c r="G2119">
        <v>799</v>
      </c>
      <c r="H2119">
        <v>0.15</v>
      </c>
      <c r="I2119" t="s">
        <v>15</v>
      </c>
      <c r="J2119" t="s">
        <v>36</v>
      </c>
      <c r="K2119" t="s">
        <v>37</v>
      </c>
      <c r="L2119">
        <f>F2118*G2118*(1-H2118)</f>
        <v>12495</v>
      </c>
    </row>
    <row r="2120" spans="1:12">
      <c r="A2120" t="s">
        <v>2890</v>
      </c>
      <c r="B2120" s="1">
        <v>46294</v>
      </c>
      <c r="C2120" t="s">
        <v>2094</v>
      </c>
      <c r="D2120" t="s">
        <v>59</v>
      </c>
      <c r="E2120" t="s">
        <v>35</v>
      </c>
      <c r="F2120">
        <v>5</v>
      </c>
      <c r="G2120">
        <v>499</v>
      </c>
      <c r="H2120">
        <v>0</v>
      </c>
      <c r="I2120" t="s">
        <v>32</v>
      </c>
      <c r="J2120" t="s">
        <v>22</v>
      </c>
      <c r="K2120" t="s">
        <v>17</v>
      </c>
      <c r="L2120">
        <f>F2119*G2119*(1-H2119)</f>
        <v>2037.45</v>
      </c>
    </row>
    <row r="2121" spans="1:12">
      <c r="A2121" t="s">
        <v>2891</v>
      </c>
      <c r="B2121" s="1">
        <v>46083</v>
      </c>
      <c r="C2121" t="s">
        <v>1954</v>
      </c>
      <c r="D2121" t="s">
        <v>26</v>
      </c>
      <c r="E2121" t="s">
        <v>14</v>
      </c>
      <c r="F2121">
        <v>2</v>
      </c>
      <c r="G2121">
        <v>799</v>
      </c>
      <c r="H2121">
        <v>0.15</v>
      </c>
      <c r="I2121" t="s">
        <v>44</v>
      </c>
      <c r="J2121" t="s">
        <v>36</v>
      </c>
      <c r="K2121" t="s">
        <v>37</v>
      </c>
      <c r="L2121">
        <f>F2120*G2120*(1-H2120)</f>
        <v>2495</v>
      </c>
    </row>
    <row r="2122" spans="1:12">
      <c r="A2122" t="s">
        <v>2892</v>
      </c>
      <c r="B2122" s="1">
        <v>46191</v>
      </c>
      <c r="C2122" t="s">
        <v>485</v>
      </c>
      <c r="D2122" t="s">
        <v>78</v>
      </c>
      <c r="E2122" t="s">
        <v>27</v>
      </c>
      <c r="F2122">
        <v>1</v>
      </c>
      <c r="G2122">
        <v>1499</v>
      </c>
      <c r="H2122">
        <v>0</v>
      </c>
      <c r="I2122" t="s">
        <v>50</v>
      </c>
      <c r="J2122" t="s">
        <v>28</v>
      </c>
      <c r="K2122" t="s">
        <v>23</v>
      </c>
      <c r="L2122">
        <f>F2121*G2121*(1-H2121)</f>
        <v>1358.3</v>
      </c>
    </row>
    <row r="2123" spans="1:12">
      <c r="A2123" t="s">
        <v>2893</v>
      </c>
      <c r="B2123" s="1">
        <v>46280</v>
      </c>
      <c r="C2123" t="s">
        <v>896</v>
      </c>
      <c r="D2123" t="s">
        <v>20</v>
      </c>
      <c r="E2123" t="s">
        <v>14</v>
      </c>
      <c r="F2123">
        <v>2</v>
      </c>
      <c r="G2123">
        <v>1299</v>
      </c>
      <c r="H2123">
        <v>0.1</v>
      </c>
      <c r="I2123" t="s">
        <v>47</v>
      </c>
      <c r="J2123" t="s">
        <v>22</v>
      </c>
      <c r="K2123" t="s">
        <v>23</v>
      </c>
      <c r="L2123">
        <f>F2122*G2122*(1-H2122)</f>
        <v>1499</v>
      </c>
    </row>
    <row r="2124" spans="1:12">
      <c r="A2124" t="s">
        <v>2894</v>
      </c>
      <c r="B2124" s="1">
        <v>46125</v>
      </c>
      <c r="C2124" t="s">
        <v>1456</v>
      </c>
      <c r="D2124" t="s">
        <v>71</v>
      </c>
      <c r="E2124" t="s">
        <v>40</v>
      </c>
      <c r="F2124">
        <v>3</v>
      </c>
      <c r="G2124">
        <v>1299</v>
      </c>
      <c r="H2124">
        <v>0</v>
      </c>
      <c r="I2124" t="s">
        <v>47</v>
      </c>
      <c r="J2124" t="s">
        <v>16</v>
      </c>
      <c r="K2124" t="s">
        <v>17</v>
      </c>
      <c r="L2124">
        <f>F2123*G2123*(1-H2123)</f>
        <v>2338.2000000000003</v>
      </c>
    </row>
    <row r="2125" spans="1:12">
      <c r="A2125" t="s">
        <v>2895</v>
      </c>
      <c r="B2125" s="1">
        <v>46242</v>
      </c>
      <c r="C2125" t="s">
        <v>2338</v>
      </c>
      <c r="D2125" t="s">
        <v>59</v>
      </c>
      <c r="E2125" t="s">
        <v>14</v>
      </c>
      <c r="F2125">
        <v>3</v>
      </c>
      <c r="G2125">
        <v>999</v>
      </c>
      <c r="H2125">
        <v>0.1</v>
      </c>
      <c r="I2125" t="s">
        <v>15</v>
      </c>
      <c r="J2125" t="s">
        <v>51</v>
      </c>
      <c r="K2125" t="s">
        <v>23</v>
      </c>
      <c r="L2125">
        <f>F2124*G2124*(1-H2124)</f>
        <v>3897</v>
      </c>
    </row>
    <row r="2126" spans="1:12">
      <c r="A2126" t="s">
        <v>2896</v>
      </c>
      <c r="B2126" s="1">
        <v>46135</v>
      </c>
      <c r="C2126" t="s">
        <v>1130</v>
      </c>
      <c r="D2126" t="s">
        <v>56</v>
      </c>
      <c r="E2126" t="s">
        <v>27</v>
      </c>
      <c r="F2126">
        <v>4</v>
      </c>
      <c r="G2126">
        <v>1499</v>
      </c>
      <c r="H2126">
        <v>0.15</v>
      </c>
      <c r="I2126" t="s">
        <v>44</v>
      </c>
      <c r="J2126" t="s">
        <v>22</v>
      </c>
      <c r="K2126" t="s">
        <v>37</v>
      </c>
      <c r="L2126">
        <f>F2125*G2125*(1-H2125)</f>
        <v>2697.3</v>
      </c>
    </row>
    <row r="2127" spans="1:12">
      <c r="A2127" t="s">
        <v>2897</v>
      </c>
      <c r="B2127" s="1">
        <v>46264</v>
      </c>
      <c r="C2127" t="s">
        <v>2898</v>
      </c>
      <c r="D2127" t="s">
        <v>13</v>
      </c>
      <c r="E2127" t="s">
        <v>21</v>
      </c>
      <c r="F2127">
        <v>1</v>
      </c>
      <c r="G2127">
        <v>1499</v>
      </c>
      <c r="H2127">
        <v>0</v>
      </c>
      <c r="I2127" t="s">
        <v>32</v>
      </c>
      <c r="J2127" t="s">
        <v>16</v>
      </c>
      <c r="K2127" t="s">
        <v>37</v>
      </c>
      <c r="L2127">
        <f>F2126*G2126*(1-H2126)</f>
        <v>5096.5999999999995</v>
      </c>
    </row>
    <row r="2128" spans="1:12">
      <c r="A2128" t="s">
        <v>2899</v>
      </c>
      <c r="B2128" s="1">
        <v>46032</v>
      </c>
      <c r="C2128" t="s">
        <v>2191</v>
      </c>
      <c r="D2128" t="s">
        <v>20</v>
      </c>
      <c r="E2128" t="s">
        <v>40</v>
      </c>
      <c r="F2128">
        <v>1</v>
      </c>
      <c r="G2128">
        <v>1299</v>
      </c>
      <c r="H2128">
        <v>0.15</v>
      </c>
      <c r="I2128" t="s">
        <v>47</v>
      </c>
      <c r="J2128" t="s">
        <v>36</v>
      </c>
      <c r="K2128" t="s">
        <v>17</v>
      </c>
      <c r="L2128">
        <f>F2127*G2127*(1-H2127)</f>
        <v>1499</v>
      </c>
    </row>
    <row r="2129" spans="1:12">
      <c r="A2129" t="s">
        <v>2900</v>
      </c>
      <c r="B2129" s="1">
        <v>46121</v>
      </c>
      <c r="C2129" t="s">
        <v>500</v>
      </c>
      <c r="D2129" t="s">
        <v>62</v>
      </c>
      <c r="E2129" t="s">
        <v>27</v>
      </c>
      <c r="F2129">
        <v>4</v>
      </c>
      <c r="G2129">
        <v>1999</v>
      </c>
      <c r="H2129">
        <v>0.1</v>
      </c>
      <c r="I2129" t="s">
        <v>32</v>
      </c>
      <c r="J2129" t="s">
        <v>22</v>
      </c>
      <c r="K2129" t="s">
        <v>23</v>
      </c>
      <c r="L2129">
        <f>F2128*G2128*(1-H2128)</f>
        <v>1104.1499999999999</v>
      </c>
    </row>
    <row r="2130" spans="1:12">
      <c r="A2130" t="s">
        <v>2901</v>
      </c>
      <c r="B2130" s="1">
        <v>46045</v>
      </c>
      <c r="C2130" t="s">
        <v>517</v>
      </c>
      <c r="D2130" t="s">
        <v>59</v>
      </c>
      <c r="E2130" t="s">
        <v>40</v>
      </c>
      <c r="F2130">
        <v>1</v>
      </c>
      <c r="G2130">
        <v>1299</v>
      </c>
      <c r="H2130">
        <v>0</v>
      </c>
      <c r="I2130" t="s">
        <v>32</v>
      </c>
      <c r="J2130" t="s">
        <v>16</v>
      </c>
      <c r="K2130" t="s">
        <v>17</v>
      </c>
      <c r="L2130">
        <f>F2129*G2129*(1-H2129)</f>
        <v>7196.4000000000005</v>
      </c>
    </row>
    <row r="2131" spans="1:12">
      <c r="A2131" t="s">
        <v>2902</v>
      </c>
      <c r="B2131" s="1">
        <v>46175</v>
      </c>
      <c r="C2131" t="s">
        <v>1432</v>
      </c>
      <c r="D2131" t="s">
        <v>43</v>
      </c>
      <c r="E2131" t="s">
        <v>21</v>
      </c>
      <c r="F2131">
        <v>2</v>
      </c>
      <c r="G2131">
        <v>7999</v>
      </c>
      <c r="H2131">
        <v>0.15</v>
      </c>
      <c r="I2131" t="s">
        <v>44</v>
      </c>
      <c r="J2131" t="s">
        <v>51</v>
      </c>
      <c r="K2131" t="s">
        <v>17</v>
      </c>
      <c r="L2131">
        <f>F2130*G2130*(1-H2130)</f>
        <v>1299</v>
      </c>
    </row>
    <row r="2132" spans="1:12">
      <c r="A2132" t="s">
        <v>2903</v>
      </c>
      <c r="B2132" s="1">
        <v>46292</v>
      </c>
      <c r="C2132" t="s">
        <v>399</v>
      </c>
      <c r="D2132" t="s">
        <v>31</v>
      </c>
      <c r="E2132" t="s">
        <v>27</v>
      </c>
      <c r="F2132">
        <v>2</v>
      </c>
      <c r="G2132">
        <v>7999</v>
      </c>
      <c r="H2132">
        <v>0</v>
      </c>
      <c r="I2132" t="s">
        <v>44</v>
      </c>
      <c r="J2132" t="s">
        <v>51</v>
      </c>
      <c r="K2132" t="s">
        <v>37</v>
      </c>
      <c r="L2132">
        <f>F2131*G2131*(1-H2131)</f>
        <v>13598.3</v>
      </c>
    </row>
    <row r="2133" spans="1:12">
      <c r="A2133" t="s">
        <v>2904</v>
      </c>
      <c r="B2133" s="1">
        <v>46095</v>
      </c>
      <c r="C2133" t="s">
        <v>221</v>
      </c>
      <c r="D2133" t="s">
        <v>13</v>
      </c>
      <c r="E2133" t="s">
        <v>40</v>
      </c>
      <c r="F2133">
        <v>1</v>
      </c>
      <c r="G2133">
        <v>7999</v>
      </c>
      <c r="H2133">
        <v>0.15</v>
      </c>
      <c r="I2133" t="s">
        <v>44</v>
      </c>
      <c r="J2133" t="s">
        <v>22</v>
      </c>
      <c r="K2133" t="s">
        <v>17</v>
      </c>
      <c r="L2133">
        <f>F2132*G2132*(1-H2132)</f>
        <v>15998</v>
      </c>
    </row>
    <row r="2134" spans="1:12">
      <c r="A2134" t="s">
        <v>2905</v>
      </c>
      <c r="B2134" s="1">
        <v>46137</v>
      </c>
      <c r="C2134" t="s">
        <v>1167</v>
      </c>
      <c r="D2134" t="s">
        <v>56</v>
      </c>
      <c r="E2134" t="s">
        <v>35</v>
      </c>
      <c r="F2134">
        <v>1</v>
      </c>
      <c r="G2134">
        <v>4999</v>
      </c>
      <c r="H2134">
        <v>0.1</v>
      </c>
      <c r="I2134" t="s">
        <v>32</v>
      </c>
      <c r="J2134" t="s">
        <v>36</v>
      </c>
      <c r="K2134" t="s">
        <v>17</v>
      </c>
      <c r="L2134">
        <f>F2133*G2133*(1-H2133)</f>
        <v>6799.15</v>
      </c>
    </row>
    <row r="2135" spans="1:12">
      <c r="A2135" t="s">
        <v>2906</v>
      </c>
      <c r="B2135" s="1">
        <v>46041</v>
      </c>
      <c r="C2135" t="s">
        <v>832</v>
      </c>
      <c r="D2135" t="s">
        <v>78</v>
      </c>
      <c r="E2135" t="s">
        <v>21</v>
      </c>
      <c r="F2135">
        <v>1</v>
      </c>
      <c r="G2135">
        <v>499</v>
      </c>
      <c r="H2135">
        <v>0</v>
      </c>
      <c r="I2135" t="s">
        <v>47</v>
      </c>
      <c r="J2135" t="s">
        <v>16</v>
      </c>
      <c r="K2135" t="s">
        <v>17</v>
      </c>
      <c r="L2135">
        <f>F2134*G2134*(1-H2134)</f>
        <v>4499.1000000000004</v>
      </c>
    </row>
    <row r="2136" spans="1:12">
      <c r="A2136" t="s">
        <v>2907</v>
      </c>
      <c r="B2136" s="1">
        <v>46262</v>
      </c>
      <c r="C2136" t="s">
        <v>2898</v>
      </c>
      <c r="D2136" t="s">
        <v>13</v>
      </c>
      <c r="E2136" t="s">
        <v>27</v>
      </c>
      <c r="F2136">
        <v>1</v>
      </c>
      <c r="G2136">
        <v>2499</v>
      </c>
      <c r="H2136">
        <v>0.15</v>
      </c>
      <c r="I2136" t="s">
        <v>50</v>
      </c>
      <c r="J2136" t="s">
        <v>36</v>
      </c>
      <c r="K2136" t="s">
        <v>23</v>
      </c>
      <c r="L2136">
        <f>F2135*G2135*(1-H2135)</f>
        <v>499</v>
      </c>
    </row>
    <row r="2137" spans="1:12">
      <c r="A2137" t="s">
        <v>2908</v>
      </c>
      <c r="B2137" s="1">
        <v>46176</v>
      </c>
      <c r="C2137" t="s">
        <v>366</v>
      </c>
      <c r="D2137" t="s">
        <v>26</v>
      </c>
      <c r="E2137" t="s">
        <v>40</v>
      </c>
      <c r="F2137">
        <v>4</v>
      </c>
      <c r="G2137">
        <v>1499</v>
      </c>
      <c r="H2137">
        <v>0.15</v>
      </c>
      <c r="I2137" t="s">
        <v>44</v>
      </c>
      <c r="J2137" t="s">
        <v>36</v>
      </c>
      <c r="K2137" t="s">
        <v>17</v>
      </c>
      <c r="L2137">
        <f>F2136*G2136*(1-H2136)</f>
        <v>2124.15</v>
      </c>
    </row>
    <row r="2138" spans="1:12">
      <c r="A2138" t="s">
        <v>2909</v>
      </c>
      <c r="B2138" s="1">
        <v>46280</v>
      </c>
      <c r="C2138" t="s">
        <v>1066</v>
      </c>
      <c r="D2138" t="s">
        <v>78</v>
      </c>
      <c r="E2138" t="s">
        <v>21</v>
      </c>
      <c r="F2138">
        <v>3</v>
      </c>
      <c r="G2138">
        <v>1499</v>
      </c>
      <c r="H2138">
        <v>0</v>
      </c>
      <c r="I2138" t="s">
        <v>47</v>
      </c>
      <c r="J2138" t="s">
        <v>36</v>
      </c>
      <c r="K2138" t="s">
        <v>17</v>
      </c>
      <c r="L2138">
        <f>F2137*G2137*(1-H2137)</f>
        <v>5096.5999999999995</v>
      </c>
    </row>
    <row r="2139" spans="1:12">
      <c r="A2139" t="s">
        <v>2910</v>
      </c>
      <c r="B2139" s="1">
        <v>46263</v>
      </c>
      <c r="C2139" t="s">
        <v>1085</v>
      </c>
      <c r="D2139" t="s">
        <v>56</v>
      </c>
      <c r="E2139" t="s">
        <v>40</v>
      </c>
      <c r="F2139">
        <v>5</v>
      </c>
      <c r="G2139">
        <v>799</v>
      </c>
      <c r="H2139">
        <v>0.1</v>
      </c>
      <c r="I2139" t="s">
        <v>32</v>
      </c>
      <c r="J2139" t="s">
        <v>36</v>
      </c>
      <c r="K2139" t="s">
        <v>17</v>
      </c>
      <c r="L2139">
        <f>F2138*G2138*(1-H2138)</f>
        <v>4497</v>
      </c>
    </row>
    <row r="2140" spans="1:12">
      <c r="A2140" t="s">
        <v>2911</v>
      </c>
      <c r="B2140" s="1">
        <v>46201</v>
      </c>
      <c r="C2140" t="s">
        <v>1889</v>
      </c>
      <c r="D2140" t="s">
        <v>59</v>
      </c>
      <c r="E2140" t="s">
        <v>14</v>
      </c>
      <c r="F2140">
        <v>3</v>
      </c>
      <c r="G2140">
        <v>999</v>
      </c>
      <c r="H2140">
        <v>0</v>
      </c>
      <c r="I2140" t="s">
        <v>44</v>
      </c>
      <c r="J2140" t="s">
        <v>28</v>
      </c>
      <c r="K2140" t="s">
        <v>23</v>
      </c>
      <c r="L2140">
        <f>F2139*G2139*(1-H2139)</f>
        <v>3595.5</v>
      </c>
    </row>
    <row r="2141" spans="1:12">
      <c r="A2141" t="s">
        <v>2912</v>
      </c>
      <c r="B2141" s="1">
        <v>46064</v>
      </c>
      <c r="C2141" t="s">
        <v>485</v>
      </c>
      <c r="D2141" t="s">
        <v>31</v>
      </c>
      <c r="E2141" t="s">
        <v>40</v>
      </c>
      <c r="F2141">
        <v>4</v>
      </c>
      <c r="G2141">
        <v>7999</v>
      </c>
      <c r="H2141">
        <v>0</v>
      </c>
      <c r="I2141" t="s">
        <v>32</v>
      </c>
      <c r="J2141" t="s">
        <v>28</v>
      </c>
      <c r="K2141" t="s">
        <v>23</v>
      </c>
      <c r="L2141">
        <f>F2140*G2140*(1-H2140)</f>
        <v>2997</v>
      </c>
    </row>
    <row r="2142" spans="1:12">
      <c r="A2142" t="s">
        <v>2913</v>
      </c>
      <c r="B2142" s="1">
        <v>46261</v>
      </c>
      <c r="C2142" t="s">
        <v>1068</v>
      </c>
      <c r="D2142" t="s">
        <v>78</v>
      </c>
      <c r="E2142" t="s">
        <v>35</v>
      </c>
      <c r="F2142">
        <v>5</v>
      </c>
      <c r="G2142">
        <v>599</v>
      </c>
      <c r="H2142">
        <v>0.05</v>
      </c>
      <c r="I2142" t="s">
        <v>32</v>
      </c>
      <c r="J2142" t="s">
        <v>28</v>
      </c>
      <c r="K2142" t="s">
        <v>17</v>
      </c>
      <c r="L2142">
        <f>F2141*G2141*(1-H2141)</f>
        <v>31996</v>
      </c>
    </row>
    <row r="2143" spans="1:12">
      <c r="A2143" t="s">
        <v>2914</v>
      </c>
      <c r="B2143" s="1">
        <v>46155</v>
      </c>
      <c r="C2143" t="s">
        <v>2915</v>
      </c>
      <c r="D2143" t="s">
        <v>59</v>
      </c>
      <c r="E2143" t="s">
        <v>27</v>
      </c>
      <c r="F2143">
        <v>5</v>
      </c>
      <c r="G2143">
        <v>799</v>
      </c>
      <c r="H2143">
        <v>0</v>
      </c>
      <c r="I2143" t="s">
        <v>50</v>
      </c>
      <c r="J2143" t="s">
        <v>22</v>
      </c>
      <c r="K2143" t="s">
        <v>23</v>
      </c>
      <c r="L2143">
        <f>F2142*G2142*(1-H2142)</f>
        <v>2845.25</v>
      </c>
    </row>
    <row r="2144" spans="1:12">
      <c r="A2144" t="s">
        <v>2916</v>
      </c>
      <c r="B2144" s="1">
        <v>46238</v>
      </c>
      <c r="C2144" t="s">
        <v>437</v>
      </c>
      <c r="D2144" t="s">
        <v>62</v>
      </c>
      <c r="E2144" t="s">
        <v>27</v>
      </c>
      <c r="F2144">
        <v>4</v>
      </c>
      <c r="G2144">
        <v>599</v>
      </c>
      <c r="H2144">
        <v>0</v>
      </c>
      <c r="I2144" t="s">
        <v>47</v>
      </c>
      <c r="J2144" t="s">
        <v>28</v>
      </c>
      <c r="K2144" t="s">
        <v>17</v>
      </c>
      <c r="L2144">
        <f>F2143*G2143*(1-H2143)</f>
        <v>3995</v>
      </c>
    </row>
    <row r="2145" spans="1:12">
      <c r="A2145" t="s">
        <v>2917</v>
      </c>
      <c r="B2145" s="1">
        <v>46201</v>
      </c>
      <c r="C2145" t="s">
        <v>421</v>
      </c>
      <c r="D2145" t="s">
        <v>26</v>
      </c>
      <c r="E2145" t="s">
        <v>14</v>
      </c>
      <c r="F2145">
        <v>4</v>
      </c>
      <c r="G2145">
        <v>999</v>
      </c>
      <c r="H2145">
        <v>0.1</v>
      </c>
      <c r="I2145" t="s">
        <v>47</v>
      </c>
      <c r="J2145" t="s">
        <v>28</v>
      </c>
      <c r="K2145" t="s">
        <v>17</v>
      </c>
      <c r="L2145">
        <f>F2144*G2144*(1-H2144)</f>
        <v>2396</v>
      </c>
    </row>
    <row r="2146" spans="1:12">
      <c r="A2146" t="s">
        <v>2918</v>
      </c>
      <c r="B2146" s="1">
        <v>46068</v>
      </c>
      <c r="C2146" t="s">
        <v>583</v>
      </c>
      <c r="D2146" t="s">
        <v>26</v>
      </c>
      <c r="E2146" t="s">
        <v>21</v>
      </c>
      <c r="F2146">
        <v>3</v>
      </c>
      <c r="G2146">
        <v>499</v>
      </c>
      <c r="H2146">
        <v>0</v>
      </c>
      <c r="I2146" t="s">
        <v>47</v>
      </c>
      <c r="J2146" t="s">
        <v>22</v>
      </c>
      <c r="K2146" t="s">
        <v>17</v>
      </c>
      <c r="L2146">
        <f>F2145*G2145*(1-H2145)</f>
        <v>3596.4</v>
      </c>
    </row>
    <row r="2147" spans="1:12">
      <c r="A2147" t="s">
        <v>2919</v>
      </c>
      <c r="B2147" s="1">
        <v>46117</v>
      </c>
      <c r="C2147" t="s">
        <v>860</v>
      </c>
      <c r="D2147" t="s">
        <v>59</v>
      </c>
      <c r="E2147" t="s">
        <v>14</v>
      </c>
      <c r="F2147">
        <v>1</v>
      </c>
      <c r="G2147">
        <v>4999</v>
      </c>
      <c r="H2147">
        <v>0</v>
      </c>
      <c r="I2147" t="s">
        <v>32</v>
      </c>
      <c r="J2147" t="s">
        <v>16</v>
      </c>
      <c r="K2147" t="s">
        <v>17</v>
      </c>
      <c r="L2147">
        <f>F2146*G2146*(1-H2146)</f>
        <v>1497</v>
      </c>
    </row>
    <row r="2148" spans="1:12">
      <c r="A2148" t="s">
        <v>2920</v>
      </c>
      <c r="B2148" s="1">
        <v>46269</v>
      </c>
      <c r="C2148" t="s">
        <v>437</v>
      </c>
      <c r="D2148" t="s">
        <v>71</v>
      </c>
      <c r="E2148" t="s">
        <v>27</v>
      </c>
      <c r="F2148">
        <v>5</v>
      </c>
      <c r="G2148">
        <v>7999</v>
      </c>
      <c r="H2148">
        <v>0</v>
      </c>
      <c r="I2148" t="s">
        <v>47</v>
      </c>
      <c r="J2148" t="s">
        <v>28</v>
      </c>
      <c r="K2148" t="s">
        <v>37</v>
      </c>
      <c r="L2148">
        <f>F2147*G2147*(1-H2147)</f>
        <v>4999</v>
      </c>
    </row>
    <row r="2149" spans="1:12">
      <c r="A2149" t="s">
        <v>2921</v>
      </c>
      <c r="B2149" s="1">
        <v>46138</v>
      </c>
      <c r="C2149" t="s">
        <v>513</v>
      </c>
      <c r="D2149" t="s">
        <v>20</v>
      </c>
      <c r="E2149" t="s">
        <v>14</v>
      </c>
      <c r="F2149">
        <v>1</v>
      </c>
      <c r="G2149">
        <v>1999</v>
      </c>
      <c r="H2149">
        <v>0.1</v>
      </c>
      <c r="I2149" t="s">
        <v>50</v>
      </c>
      <c r="J2149" t="s">
        <v>22</v>
      </c>
      <c r="K2149" t="s">
        <v>23</v>
      </c>
      <c r="L2149">
        <f>F2148*G2148*(1-H2148)</f>
        <v>39995</v>
      </c>
    </row>
    <row r="2150" spans="1:12">
      <c r="A2150" t="s">
        <v>2922</v>
      </c>
      <c r="B2150" s="1">
        <v>46091</v>
      </c>
      <c r="C2150" t="s">
        <v>2755</v>
      </c>
      <c r="D2150" t="s">
        <v>59</v>
      </c>
      <c r="E2150" t="s">
        <v>35</v>
      </c>
      <c r="F2150">
        <v>5</v>
      </c>
      <c r="G2150">
        <v>999</v>
      </c>
      <c r="H2150">
        <v>0</v>
      </c>
      <c r="I2150" t="s">
        <v>15</v>
      </c>
      <c r="J2150" t="s">
        <v>22</v>
      </c>
      <c r="K2150" t="s">
        <v>17</v>
      </c>
      <c r="L2150">
        <f>F2149*G2149*(1-H2149)</f>
        <v>1799.1000000000001</v>
      </c>
    </row>
    <row r="2151" spans="1:12">
      <c r="A2151" t="s">
        <v>2923</v>
      </c>
      <c r="B2151" s="1">
        <v>46168</v>
      </c>
      <c r="C2151" t="s">
        <v>1291</v>
      </c>
      <c r="D2151" t="s">
        <v>78</v>
      </c>
      <c r="E2151" t="s">
        <v>27</v>
      </c>
      <c r="F2151">
        <v>3</v>
      </c>
      <c r="G2151">
        <v>2499</v>
      </c>
      <c r="H2151">
        <v>0</v>
      </c>
      <c r="I2151" t="s">
        <v>15</v>
      </c>
      <c r="J2151" t="s">
        <v>28</v>
      </c>
      <c r="K2151" t="s">
        <v>17</v>
      </c>
      <c r="L2151">
        <f>F2150*G2150*(1-H2150)</f>
        <v>4995</v>
      </c>
    </row>
    <row r="2152" spans="1:12">
      <c r="A2152" t="s">
        <v>2924</v>
      </c>
      <c r="B2152" s="1">
        <v>46098</v>
      </c>
      <c r="C2152" t="s">
        <v>637</v>
      </c>
      <c r="D2152" t="s">
        <v>31</v>
      </c>
      <c r="E2152" t="s">
        <v>21</v>
      </c>
      <c r="F2152">
        <v>4</v>
      </c>
      <c r="G2152">
        <v>2499</v>
      </c>
      <c r="H2152">
        <v>0</v>
      </c>
      <c r="I2152" t="s">
        <v>47</v>
      </c>
      <c r="J2152" t="s">
        <v>22</v>
      </c>
      <c r="K2152" t="s">
        <v>17</v>
      </c>
      <c r="L2152">
        <f>F2151*G2151*(1-H2151)</f>
        <v>7497</v>
      </c>
    </row>
    <row r="2153" spans="1:12">
      <c r="A2153" t="s">
        <v>2925</v>
      </c>
      <c r="B2153" s="1">
        <v>46102</v>
      </c>
      <c r="C2153" t="s">
        <v>2926</v>
      </c>
      <c r="D2153" t="s">
        <v>56</v>
      </c>
      <c r="E2153" t="s">
        <v>14</v>
      </c>
      <c r="F2153">
        <v>5</v>
      </c>
      <c r="G2153">
        <v>1999</v>
      </c>
      <c r="H2153">
        <v>0</v>
      </c>
      <c r="I2153" t="s">
        <v>44</v>
      </c>
      <c r="J2153" t="s">
        <v>28</v>
      </c>
      <c r="K2153" t="s">
        <v>17</v>
      </c>
      <c r="L2153">
        <f>F2152*G2152*(1-H2152)</f>
        <v>9996</v>
      </c>
    </row>
    <row r="2154" spans="1:12">
      <c r="A2154" t="s">
        <v>2927</v>
      </c>
      <c r="B2154" s="1">
        <v>46275</v>
      </c>
      <c r="C2154" t="s">
        <v>1154</v>
      </c>
      <c r="D2154" t="s">
        <v>56</v>
      </c>
      <c r="E2154" t="s">
        <v>27</v>
      </c>
      <c r="F2154">
        <v>5</v>
      </c>
      <c r="G2154">
        <v>1999</v>
      </c>
      <c r="H2154">
        <v>0.05</v>
      </c>
      <c r="I2154" t="s">
        <v>50</v>
      </c>
      <c r="J2154" t="s">
        <v>22</v>
      </c>
      <c r="K2154" t="s">
        <v>37</v>
      </c>
      <c r="L2154">
        <f>F2153*G2153*(1-H2153)</f>
        <v>9995</v>
      </c>
    </row>
    <row r="2155" spans="1:12">
      <c r="A2155" t="s">
        <v>2928</v>
      </c>
      <c r="B2155" s="1">
        <v>46123</v>
      </c>
      <c r="C2155" t="s">
        <v>803</v>
      </c>
      <c r="D2155" t="s">
        <v>43</v>
      </c>
      <c r="E2155" t="s">
        <v>40</v>
      </c>
      <c r="F2155">
        <v>2</v>
      </c>
      <c r="G2155">
        <v>1999</v>
      </c>
      <c r="H2155">
        <v>0</v>
      </c>
      <c r="I2155" t="s">
        <v>50</v>
      </c>
      <c r="J2155" t="s">
        <v>22</v>
      </c>
      <c r="K2155" t="s">
        <v>17</v>
      </c>
      <c r="L2155">
        <f>F2154*G2154*(1-H2154)</f>
        <v>9495.25</v>
      </c>
    </row>
    <row r="2156" spans="1:12">
      <c r="A2156" t="s">
        <v>2929</v>
      </c>
      <c r="B2156" s="1">
        <v>46116</v>
      </c>
      <c r="C2156" t="s">
        <v>979</v>
      </c>
      <c r="D2156" t="s">
        <v>31</v>
      </c>
      <c r="E2156" t="s">
        <v>27</v>
      </c>
      <c r="F2156">
        <v>2</v>
      </c>
      <c r="G2156">
        <v>7999</v>
      </c>
      <c r="H2156">
        <v>0</v>
      </c>
      <c r="I2156" t="s">
        <v>50</v>
      </c>
      <c r="J2156" t="s">
        <v>22</v>
      </c>
      <c r="K2156" t="s">
        <v>17</v>
      </c>
      <c r="L2156">
        <f>F2155*G2155*(1-H2155)</f>
        <v>3998</v>
      </c>
    </row>
    <row r="2157" spans="1:12">
      <c r="A2157" t="s">
        <v>2930</v>
      </c>
      <c r="B2157" s="1">
        <v>46224</v>
      </c>
      <c r="C2157" t="s">
        <v>294</v>
      </c>
      <c r="D2157" t="s">
        <v>62</v>
      </c>
      <c r="E2157" t="s">
        <v>40</v>
      </c>
      <c r="F2157">
        <v>2</v>
      </c>
      <c r="G2157">
        <v>1499</v>
      </c>
      <c r="H2157">
        <v>0.15</v>
      </c>
      <c r="I2157" t="s">
        <v>50</v>
      </c>
      <c r="J2157" t="s">
        <v>16</v>
      </c>
      <c r="K2157" t="s">
        <v>37</v>
      </c>
      <c r="L2157">
        <f>F2156*G2156*(1-H2156)</f>
        <v>15998</v>
      </c>
    </row>
    <row r="2158" spans="1:12">
      <c r="A2158" t="s">
        <v>2931</v>
      </c>
      <c r="B2158" s="1">
        <v>46102</v>
      </c>
      <c r="C2158" t="s">
        <v>694</v>
      </c>
      <c r="D2158" t="s">
        <v>62</v>
      </c>
      <c r="E2158" t="s">
        <v>21</v>
      </c>
      <c r="F2158">
        <v>2</v>
      </c>
      <c r="G2158">
        <v>1499</v>
      </c>
      <c r="H2158">
        <v>0.15</v>
      </c>
      <c r="I2158" t="s">
        <v>15</v>
      </c>
      <c r="J2158" t="s">
        <v>22</v>
      </c>
      <c r="K2158" t="s">
        <v>17</v>
      </c>
      <c r="L2158">
        <f>F2157*G2157*(1-H2157)</f>
        <v>2548.2999999999997</v>
      </c>
    </row>
    <row r="2159" spans="1:12">
      <c r="A2159" t="s">
        <v>2932</v>
      </c>
      <c r="B2159" s="1">
        <v>46043</v>
      </c>
      <c r="C2159" t="s">
        <v>2735</v>
      </c>
      <c r="D2159" t="s">
        <v>26</v>
      </c>
      <c r="E2159" t="s">
        <v>35</v>
      </c>
      <c r="F2159">
        <v>3</v>
      </c>
      <c r="G2159">
        <v>799</v>
      </c>
      <c r="H2159">
        <v>0.15</v>
      </c>
      <c r="I2159" t="s">
        <v>15</v>
      </c>
      <c r="J2159" t="s">
        <v>51</v>
      </c>
      <c r="K2159" t="s">
        <v>17</v>
      </c>
      <c r="L2159">
        <f>F2158*G2158*(1-H2158)</f>
        <v>2548.2999999999997</v>
      </c>
    </row>
    <row r="2160" spans="1:12">
      <c r="A2160" t="s">
        <v>2933</v>
      </c>
      <c r="B2160" s="1">
        <v>46282</v>
      </c>
      <c r="C2160" t="s">
        <v>1211</v>
      </c>
      <c r="D2160" t="s">
        <v>31</v>
      </c>
      <c r="E2160" t="s">
        <v>21</v>
      </c>
      <c r="F2160">
        <v>5</v>
      </c>
      <c r="G2160">
        <v>7999</v>
      </c>
      <c r="H2160">
        <v>0</v>
      </c>
      <c r="I2160" t="s">
        <v>32</v>
      </c>
      <c r="J2160" t="s">
        <v>28</v>
      </c>
      <c r="K2160" t="s">
        <v>17</v>
      </c>
      <c r="L2160">
        <f>F2159*G2159*(1-H2159)</f>
        <v>2037.45</v>
      </c>
    </row>
    <row r="2161" spans="1:12">
      <c r="A2161" t="s">
        <v>2934</v>
      </c>
      <c r="B2161" s="1">
        <v>46027</v>
      </c>
      <c r="C2161" t="s">
        <v>1675</v>
      </c>
      <c r="D2161" t="s">
        <v>78</v>
      </c>
      <c r="E2161" t="s">
        <v>21</v>
      </c>
      <c r="F2161">
        <v>3</v>
      </c>
      <c r="G2161">
        <v>1499</v>
      </c>
      <c r="H2161">
        <v>0.15</v>
      </c>
      <c r="I2161" t="s">
        <v>50</v>
      </c>
      <c r="J2161" t="s">
        <v>22</v>
      </c>
      <c r="K2161" t="s">
        <v>23</v>
      </c>
      <c r="L2161">
        <f>F2160*G2160*(1-H2160)</f>
        <v>39995</v>
      </c>
    </row>
    <row r="2162" spans="1:12">
      <c r="A2162" t="s">
        <v>2935</v>
      </c>
      <c r="B2162" s="1">
        <v>46087</v>
      </c>
      <c r="C2162" t="s">
        <v>19</v>
      </c>
      <c r="D2162" t="s">
        <v>78</v>
      </c>
      <c r="E2162" t="s">
        <v>14</v>
      </c>
      <c r="F2162">
        <v>3</v>
      </c>
      <c r="G2162">
        <v>999</v>
      </c>
      <c r="H2162">
        <v>0.15</v>
      </c>
      <c r="I2162" t="s">
        <v>15</v>
      </c>
      <c r="J2162" t="s">
        <v>22</v>
      </c>
      <c r="K2162" t="s">
        <v>17</v>
      </c>
      <c r="L2162">
        <f>F2161*G2161*(1-H2161)</f>
        <v>3822.45</v>
      </c>
    </row>
    <row r="2163" spans="1:12">
      <c r="A2163" t="s">
        <v>2936</v>
      </c>
      <c r="B2163" s="1">
        <v>46292</v>
      </c>
      <c r="C2163" t="s">
        <v>1038</v>
      </c>
      <c r="D2163" t="s">
        <v>59</v>
      </c>
      <c r="E2163" t="s">
        <v>35</v>
      </c>
      <c r="F2163">
        <v>2</v>
      </c>
      <c r="G2163">
        <v>1999</v>
      </c>
      <c r="H2163">
        <v>0.15</v>
      </c>
      <c r="I2163" t="s">
        <v>15</v>
      </c>
      <c r="J2163" t="s">
        <v>16</v>
      </c>
      <c r="K2163" t="s">
        <v>17</v>
      </c>
      <c r="L2163">
        <f>F2162*G2162*(1-H2162)</f>
        <v>2547.4499999999998</v>
      </c>
    </row>
    <row r="2164" spans="1:12">
      <c r="A2164" t="s">
        <v>2937</v>
      </c>
      <c r="B2164" s="1">
        <v>46076</v>
      </c>
      <c r="C2164" t="s">
        <v>604</v>
      </c>
      <c r="D2164" t="s">
        <v>56</v>
      </c>
      <c r="E2164" t="s">
        <v>40</v>
      </c>
      <c r="F2164">
        <v>3</v>
      </c>
      <c r="G2164">
        <v>599</v>
      </c>
      <c r="H2164">
        <v>0</v>
      </c>
      <c r="I2164" t="s">
        <v>44</v>
      </c>
      <c r="J2164" t="s">
        <v>28</v>
      </c>
      <c r="K2164" t="s">
        <v>17</v>
      </c>
      <c r="L2164">
        <f>F2163*G2163*(1-H2163)</f>
        <v>3398.2999999999997</v>
      </c>
    </row>
    <row r="2165" spans="1:12">
      <c r="A2165" t="s">
        <v>2938</v>
      </c>
      <c r="B2165" s="1">
        <v>46035</v>
      </c>
      <c r="C2165" t="s">
        <v>154</v>
      </c>
      <c r="D2165" t="s">
        <v>43</v>
      </c>
      <c r="E2165" t="s">
        <v>27</v>
      </c>
      <c r="F2165">
        <v>5</v>
      </c>
      <c r="G2165">
        <v>1499</v>
      </c>
      <c r="H2165">
        <v>0.15</v>
      </c>
      <c r="I2165" t="s">
        <v>47</v>
      </c>
      <c r="J2165" t="s">
        <v>28</v>
      </c>
      <c r="K2165" t="s">
        <v>17</v>
      </c>
      <c r="L2165">
        <f>F2164*G2164*(1-H2164)</f>
        <v>1797</v>
      </c>
    </row>
    <row r="2166" spans="1:12">
      <c r="A2166" t="s">
        <v>2939</v>
      </c>
      <c r="B2166" s="1">
        <v>46140</v>
      </c>
      <c r="C2166" t="s">
        <v>172</v>
      </c>
      <c r="D2166" t="s">
        <v>20</v>
      </c>
      <c r="E2166" t="s">
        <v>14</v>
      </c>
      <c r="F2166">
        <v>1</v>
      </c>
      <c r="G2166">
        <v>1299</v>
      </c>
      <c r="H2166">
        <v>0</v>
      </c>
      <c r="I2166" t="s">
        <v>44</v>
      </c>
      <c r="J2166" t="s">
        <v>28</v>
      </c>
      <c r="K2166" t="s">
        <v>17</v>
      </c>
      <c r="L2166">
        <f>F2165*G2165*(1-H2165)</f>
        <v>6370.75</v>
      </c>
    </row>
    <row r="2167" spans="1:12">
      <c r="A2167" t="s">
        <v>2940</v>
      </c>
      <c r="B2167" s="1">
        <v>46134</v>
      </c>
      <c r="C2167" t="s">
        <v>500</v>
      </c>
      <c r="D2167" t="s">
        <v>78</v>
      </c>
      <c r="E2167" t="s">
        <v>35</v>
      </c>
      <c r="F2167">
        <v>1</v>
      </c>
      <c r="G2167">
        <v>799</v>
      </c>
      <c r="H2167">
        <v>0</v>
      </c>
      <c r="I2167" t="s">
        <v>44</v>
      </c>
      <c r="J2167" t="s">
        <v>22</v>
      </c>
      <c r="K2167" t="s">
        <v>17</v>
      </c>
      <c r="L2167">
        <f>F2166*G2166*(1-H2166)</f>
        <v>1299</v>
      </c>
    </row>
    <row r="2168" spans="1:12">
      <c r="A2168" t="s">
        <v>2941</v>
      </c>
      <c r="B2168" s="1">
        <v>46041</v>
      </c>
      <c r="C2168" t="s">
        <v>265</v>
      </c>
      <c r="D2168" t="s">
        <v>56</v>
      </c>
      <c r="E2168" t="s">
        <v>35</v>
      </c>
      <c r="F2168">
        <v>5</v>
      </c>
      <c r="G2168">
        <v>4999</v>
      </c>
      <c r="H2168">
        <v>0.1</v>
      </c>
      <c r="I2168" t="s">
        <v>50</v>
      </c>
      <c r="J2168" t="s">
        <v>51</v>
      </c>
      <c r="K2168" t="s">
        <v>17</v>
      </c>
      <c r="L2168">
        <f>F2167*G2167*(1-H2167)</f>
        <v>799</v>
      </c>
    </row>
    <row r="2169" spans="1:12">
      <c r="A2169" t="s">
        <v>2942</v>
      </c>
      <c r="B2169" s="1">
        <v>46166</v>
      </c>
      <c r="C2169" t="s">
        <v>1530</v>
      </c>
      <c r="D2169" t="s">
        <v>31</v>
      </c>
      <c r="E2169" t="s">
        <v>27</v>
      </c>
      <c r="F2169">
        <v>1</v>
      </c>
      <c r="G2169">
        <v>499</v>
      </c>
      <c r="H2169">
        <v>0</v>
      </c>
      <c r="I2169" t="s">
        <v>47</v>
      </c>
      <c r="J2169" t="s">
        <v>51</v>
      </c>
      <c r="K2169" t="s">
        <v>17</v>
      </c>
      <c r="L2169">
        <f>F2168*G2168*(1-H2168)</f>
        <v>22495.5</v>
      </c>
    </row>
    <row r="2170" spans="1:12">
      <c r="A2170" t="s">
        <v>2943</v>
      </c>
      <c r="B2170" s="1">
        <v>46269</v>
      </c>
      <c r="C2170" t="s">
        <v>55</v>
      </c>
      <c r="D2170" t="s">
        <v>43</v>
      </c>
      <c r="E2170" t="s">
        <v>40</v>
      </c>
      <c r="F2170">
        <v>5</v>
      </c>
      <c r="G2170">
        <v>799</v>
      </c>
      <c r="H2170">
        <v>0.1</v>
      </c>
      <c r="I2170" t="s">
        <v>44</v>
      </c>
      <c r="J2170" t="s">
        <v>36</v>
      </c>
      <c r="K2170" t="s">
        <v>17</v>
      </c>
      <c r="L2170">
        <f>F2169*G2169*(1-H2169)</f>
        <v>499</v>
      </c>
    </row>
    <row r="2171" spans="1:12">
      <c r="A2171" t="s">
        <v>2944</v>
      </c>
      <c r="B2171" s="1">
        <v>46207</v>
      </c>
      <c r="C2171" t="s">
        <v>923</v>
      </c>
      <c r="D2171" t="s">
        <v>78</v>
      </c>
      <c r="E2171" t="s">
        <v>14</v>
      </c>
      <c r="F2171">
        <v>4</v>
      </c>
      <c r="G2171">
        <v>999</v>
      </c>
      <c r="H2171">
        <v>0</v>
      </c>
      <c r="I2171" t="s">
        <v>47</v>
      </c>
      <c r="J2171" t="s">
        <v>28</v>
      </c>
      <c r="K2171" t="s">
        <v>17</v>
      </c>
      <c r="L2171">
        <f>F2170*G2170*(1-H2170)</f>
        <v>3595.5</v>
      </c>
    </row>
    <row r="2172" spans="1:12">
      <c r="A2172" t="s">
        <v>2945</v>
      </c>
      <c r="B2172" s="1">
        <v>46045</v>
      </c>
      <c r="C2172" t="s">
        <v>1923</v>
      </c>
      <c r="D2172" t="s">
        <v>71</v>
      </c>
      <c r="E2172" t="s">
        <v>14</v>
      </c>
      <c r="F2172">
        <v>3</v>
      </c>
      <c r="G2172">
        <v>1499</v>
      </c>
      <c r="H2172">
        <v>0</v>
      </c>
      <c r="I2172" t="s">
        <v>32</v>
      </c>
      <c r="J2172" t="s">
        <v>28</v>
      </c>
      <c r="K2172" t="s">
        <v>17</v>
      </c>
      <c r="L2172">
        <f>F2171*G2171*(1-H2171)</f>
        <v>3996</v>
      </c>
    </row>
    <row r="2173" spans="1:12">
      <c r="A2173" t="s">
        <v>2946</v>
      </c>
      <c r="B2173" s="1">
        <v>46024</v>
      </c>
      <c r="C2173" t="s">
        <v>515</v>
      </c>
      <c r="D2173" t="s">
        <v>78</v>
      </c>
      <c r="E2173" t="s">
        <v>21</v>
      </c>
      <c r="F2173">
        <v>4</v>
      </c>
      <c r="G2173">
        <v>4999</v>
      </c>
      <c r="H2173">
        <v>0.05</v>
      </c>
      <c r="I2173" t="s">
        <v>44</v>
      </c>
      <c r="J2173" t="s">
        <v>28</v>
      </c>
      <c r="K2173" t="s">
        <v>17</v>
      </c>
      <c r="L2173">
        <f>F2172*G2172*(1-H2172)</f>
        <v>4497</v>
      </c>
    </row>
    <row r="2174" spans="1:12">
      <c r="A2174" t="s">
        <v>2947</v>
      </c>
      <c r="B2174" s="1">
        <v>46159</v>
      </c>
      <c r="C2174" t="s">
        <v>846</v>
      </c>
      <c r="D2174" t="s">
        <v>20</v>
      </c>
      <c r="E2174" t="s">
        <v>27</v>
      </c>
      <c r="F2174">
        <v>1</v>
      </c>
      <c r="G2174">
        <v>499</v>
      </c>
      <c r="H2174">
        <v>0.15</v>
      </c>
      <c r="I2174" t="s">
        <v>44</v>
      </c>
      <c r="J2174" t="s">
        <v>22</v>
      </c>
      <c r="K2174" t="s">
        <v>17</v>
      </c>
      <c r="L2174">
        <f>F2173*G2173*(1-H2173)</f>
        <v>18996.2</v>
      </c>
    </row>
    <row r="2175" spans="1:12">
      <c r="A2175" t="s">
        <v>2948</v>
      </c>
      <c r="B2175" s="1">
        <v>46132</v>
      </c>
      <c r="C2175" t="s">
        <v>905</v>
      </c>
      <c r="D2175" t="s">
        <v>62</v>
      </c>
      <c r="E2175" t="s">
        <v>40</v>
      </c>
      <c r="F2175">
        <v>1</v>
      </c>
      <c r="G2175">
        <v>599</v>
      </c>
      <c r="H2175">
        <v>0.05</v>
      </c>
      <c r="I2175" t="s">
        <v>15</v>
      </c>
      <c r="J2175" t="s">
        <v>28</v>
      </c>
      <c r="K2175" t="s">
        <v>37</v>
      </c>
      <c r="L2175">
        <f>F2174*G2174*(1-H2174)</f>
        <v>424.15</v>
      </c>
    </row>
    <row r="2176" spans="1:12">
      <c r="A2176" t="s">
        <v>2949</v>
      </c>
      <c r="B2176" s="1">
        <v>46123</v>
      </c>
      <c r="C2176" t="s">
        <v>1606</v>
      </c>
      <c r="D2176" t="s">
        <v>20</v>
      </c>
      <c r="E2176" t="s">
        <v>21</v>
      </c>
      <c r="F2176">
        <v>2</v>
      </c>
      <c r="G2176">
        <v>4999</v>
      </c>
      <c r="H2176">
        <v>0</v>
      </c>
      <c r="I2176" t="s">
        <v>47</v>
      </c>
      <c r="J2176" t="s">
        <v>22</v>
      </c>
      <c r="K2176" t="s">
        <v>17</v>
      </c>
      <c r="L2176">
        <f>F2175*G2175*(1-H2175)</f>
        <v>569.04999999999995</v>
      </c>
    </row>
    <row r="2177" spans="1:12">
      <c r="A2177" t="s">
        <v>2950</v>
      </c>
      <c r="B2177" s="1">
        <v>46228</v>
      </c>
      <c r="C2177" t="s">
        <v>2237</v>
      </c>
      <c r="D2177" t="s">
        <v>43</v>
      </c>
      <c r="E2177" t="s">
        <v>21</v>
      </c>
      <c r="F2177">
        <v>3</v>
      </c>
      <c r="G2177">
        <v>4999</v>
      </c>
      <c r="H2177">
        <v>0.15</v>
      </c>
      <c r="I2177" t="s">
        <v>32</v>
      </c>
      <c r="J2177" t="s">
        <v>36</v>
      </c>
      <c r="K2177" t="s">
        <v>23</v>
      </c>
      <c r="L2177">
        <f>F2176*G2176*(1-H2176)</f>
        <v>9998</v>
      </c>
    </row>
    <row r="2178" spans="1:12">
      <c r="A2178" t="s">
        <v>2951</v>
      </c>
      <c r="B2178" s="1">
        <v>46141</v>
      </c>
      <c r="C2178" t="s">
        <v>1766</v>
      </c>
      <c r="D2178" t="s">
        <v>13</v>
      </c>
      <c r="E2178" t="s">
        <v>14</v>
      </c>
      <c r="F2178">
        <v>5</v>
      </c>
      <c r="G2178">
        <v>999</v>
      </c>
      <c r="H2178">
        <v>0.1</v>
      </c>
      <c r="I2178" t="s">
        <v>15</v>
      </c>
      <c r="J2178" t="s">
        <v>28</v>
      </c>
      <c r="K2178" t="s">
        <v>17</v>
      </c>
      <c r="L2178">
        <f>F2177*G2177*(1-H2177)</f>
        <v>12747.449999999999</v>
      </c>
    </row>
    <row r="2179" spans="1:12">
      <c r="A2179" t="s">
        <v>2952</v>
      </c>
      <c r="B2179" s="1">
        <v>46151</v>
      </c>
      <c r="C2179" t="s">
        <v>442</v>
      </c>
      <c r="D2179" t="s">
        <v>31</v>
      </c>
      <c r="E2179" t="s">
        <v>40</v>
      </c>
      <c r="F2179">
        <v>1</v>
      </c>
      <c r="G2179">
        <v>4999</v>
      </c>
      <c r="H2179">
        <v>0.05</v>
      </c>
      <c r="I2179" t="s">
        <v>44</v>
      </c>
      <c r="J2179" t="s">
        <v>28</v>
      </c>
      <c r="K2179" t="s">
        <v>17</v>
      </c>
      <c r="L2179">
        <f>F2178*G2178*(1-H2178)</f>
        <v>4495.5</v>
      </c>
    </row>
    <row r="2180" spans="1:12">
      <c r="A2180" t="s">
        <v>2953</v>
      </c>
      <c r="B2180" s="1">
        <v>46160</v>
      </c>
      <c r="C2180" t="s">
        <v>1387</v>
      </c>
      <c r="D2180" t="s">
        <v>43</v>
      </c>
      <c r="E2180" t="s">
        <v>27</v>
      </c>
      <c r="F2180">
        <v>3</v>
      </c>
      <c r="G2180">
        <v>4999</v>
      </c>
      <c r="H2180">
        <v>0.1</v>
      </c>
      <c r="I2180" t="s">
        <v>15</v>
      </c>
      <c r="J2180" t="s">
        <v>51</v>
      </c>
      <c r="K2180" t="s">
        <v>17</v>
      </c>
      <c r="L2180">
        <f>F2179*G2179*(1-H2179)</f>
        <v>4749.05</v>
      </c>
    </row>
    <row r="2181" spans="1:12">
      <c r="A2181" t="s">
        <v>2954</v>
      </c>
      <c r="B2181" s="1">
        <v>46096</v>
      </c>
      <c r="C2181" t="s">
        <v>1800</v>
      </c>
      <c r="D2181" t="s">
        <v>62</v>
      </c>
      <c r="E2181" t="s">
        <v>21</v>
      </c>
      <c r="F2181">
        <v>3</v>
      </c>
      <c r="G2181">
        <v>599</v>
      </c>
      <c r="H2181">
        <v>0.15</v>
      </c>
      <c r="I2181" t="s">
        <v>15</v>
      </c>
      <c r="J2181" t="s">
        <v>22</v>
      </c>
      <c r="K2181" t="s">
        <v>17</v>
      </c>
      <c r="L2181">
        <f>F2180*G2180*(1-H2180)</f>
        <v>13497.300000000001</v>
      </c>
    </row>
    <row r="2182" spans="1:12">
      <c r="A2182" t="s">
        <v>2955</v>
      </c>
      <c r="B2182" s="1">
        <v>46157</v>
      </c>
      <c r="C2182" t="s">
        <v>2832</v>
      </c>
      <c r="D2182" t="s">
        <v>20</v>
      </c>
      <c r="E2182" t="s">
        <v>40</v>
      </c>
      <c r="F2182">
        <v>4</v>
      </c>
      <c r="G2182">
        <v>599</v>
      </c>
      <c r="H2182">
        <v>0</v>
      </c>
      <c r="I2182" t="s">
        <v>47</v>
      </c>
      <c r="J2182" t="s">
        <v>22</v>
      </c>
      <c r="K2182" t="s">
        <v>37</v>
      </c>
      <c r="L2182">
        <f>F2181*G2181*(1-H2181)</f>
        <v>1527.45</v>
      </c>
    </row>
    <row r="2183" spans="1:12">
      <c r="A2183" t="s">
        <v>2956</v>
      </c>
      <c r="B2183" s="1">
        <v>46287</v>
      </c>
      <c r="C2183" t="s">
        <v>722</v>
      </c>
      <c r="D2183" t="s">
        <v>56</v>
      </c>
      <c r="E2183" t="s">
        <v>27</v>
      </c>
      <c r="F2183">
        <v>2</v>
      </c>
      <c r="G2183">
        <v>1499</v>
      </c>
      <c r="H2183">
        <v>0.1</v>
      </c>
      <c r="I2183" t="s">
        <v>44</v>
      </c>
      <c r="J2183" t="s">
        <v>51</v>
      </c>
      <c r="K2183" t="s">
        <v>23</v>
      </c>
      <c r="L2183">
        <f>F2182*G2182*(1-H2182)</f>
        <v>2396</v>
      </c>
    </row>
    <row r="2184" spans="1:12">
      <c r="A2184" t="s">
        <v>2957</v>
      </c>
      <c r="B2184" s="1">
        <v>46122</v>
      </c>
      <c r="C2184" t="s">
        <v>88</v>
      </c>
      <c r="D2184" t="s">
        <v>20</v>
      </c>
      <c r="E2184" t="s">
        <v>14</v>
      </c>
      <c r="F2184">
        <v>3</v>
      </c>
      <c r="G2184">
        <v>1999</v>
      </c>
      <c r="H2184">
        <v>0.15</v>
      </c>
      <c r="I2184" t="s">
        <v>32</v>
      </c>
      <c r="J2184" t="s">
        <v>22</v>
      </c>
      <c r="K2184" t="s">
        <v>37</v>
      </c>
      <c r="L2184">
        <f>F2183*G2183*(1-H2183)</f>
        <v>2698.2000000000003</v>
      </c>
    </row>
    <row r="2185" spans="1:12">
      <c r="A2185" t="s">
        <v>2958</v>
      </c>
      <c r="B2185" s="1">
        <v>46072</v>
      </c>
      <c r="C2185" t="s">
        <v>1797</v>
      </c>
      <c r="D2185" t="s">
        <v>71</v>
      </c>
      <c r="E2185" t="s">
        <v>40</v>
      </c>
      <c r="F2185">
        <v>1</v>
      </c>
      <c r="G2185">
        <v>799</v>
      </c>
      <c r="H2185">
        <v>0</v>
      </c>
      <c r="I2185" t="s">
        <v>15</v>
      </c>
      <c r="J2185" t="s">
        <v>36</v>
      </c>
      <c r="K2185" t="s">
        <v>17</v>
      </c>
      <c r="L2185">
        <f>F2184*G2184*(1-H2184)</f>
        <v>5097.45</v>
      </c>
    </row>
    <row r="2186" spans="1:12">
      <c r="A2186" t="s">
        <v>2959</v>
      </c>
      <c r="B2186" s="1">
        <v>46079</v>
      </c>
      <c r="C2186" t="s">
        <v>1695</v>
      </c>
      <c r="D2186" t="s">
        <v>71</v>
      </c>
      <c r="E2186" t="s">
        <v>35</v>
      </c>
      <c r="F2186">
        <v>4</v>
      </c>
      <c r="G2186">
        <v>799</v>
      </c>
      <c r="H2186">
        <v>0.1</v>
      </c>
      <c r="I2186" t="s">
        <v>32</v>
      </c>
      <c r="J2186" t="s">
        <v>22</v>
      </c>
      <c r="K2186" t="s">
        <v>17</v>
      </c>
      <c r="L2186">
        <f>F2185*G2185*(1-H2185)</f>
        <v>799</v>
      </c>
    </row>
    <row r="2187" spans="1:12">
      <c r="A2187" t="s">
        <v>2960</v>
      </c>
      <c r="B2187" s="1">
        <v>46173</v>
      </c>
      <c r="C2187" t="s">
        <v>498</v>
      </c>
      <c r="D2187" t="s">
        <v>31</v>
      </c>
      <c r="E2187" t="s">
        <v>14</v>
      </c>
      <c r="F2187">
        <v>3</v>
      </c>
      <c r="G2187">
        <v>7999</v>
      </c>
      <c r="H2187">
        <v>0.1</v>
      </c>
      <c r="I2187" t="s">
        <v>44</v>
      </c>
      <c r="J2187" t="s">
        <v>36</v>
      </c>
      <c r="K2187" t="s">
        <v>37</v>
      </c>
      <c r="L2187">
        <f>F2186*G2186*(1-H2186)</f>
        <v>2876.4</v>
      </c>
    </row>
    <row r="2188" spans="1:12">
      <c r="A2188" t="s">
        <v>2961</v>
      </c>
      <c r="B2188" s="1">
        <v>46266</v>
      </c>
      <c r="C2188" t="s">
        <v>805</v>
      </c>
      <c r="D2188" t="s">
        <v>56</v>
      </c>
      <c r="E2188" t="s">
        <v>14</v>
      </c>
      <c r="F2188">
        <v>4</v>
      </c>
      <c r="G2188">
        <v>7999</v>
      </c>
      <c r="H2188">
        <v>0.15</v>
      </c>
      <c r="I2188" t="s">
        <v>50</v>
      </c>
      <c r="J2188" t="s">
        <v>36</v>
      </c>
      <c r="K2188" t="s">
        <v>17</v>
      </c>
      <c r="L2188">
        <f>F2187*G2187*(1-H2187)</f>
        <v>21597.3</v>
      </c>
    </row>
    <row r="2189" spans="1:12">
      <c r="A2189" t="s">
        <v>2962</v>
      </c>
      <c r="B2189" s="1">
        <v>46073</v>
      </c>
      <c r="C2189" t="s">
        <v>905</v>
      </c>
      <c r="D2189" t="s">
        <v>62</v>
      </c>
      <c r="E2189" t="s">
        <v>27</v>
      </c>
      <c r="F2189">
        <v>5</v>
      </c>
      <c r="G2189">
        <v>1299</v>
      </c>
      <c r="H2189">
        <v>0.1</v>
      </c>
      <c r="I2189" t="s">
        <v>15</v>
      </c>
      <c r="J2189" t="s">
        <v>16</v>
      </c>
      <c r="K2189" t="s">
        <v>17</v>
      </c>
      <c r="L2189">
        <f>F2188*G2188*(1-H2188)</f>
        <v>27196.6</v>
      </c>
    </row>
    <row r="2190" spans="1:12">
      <c r="A2190" t="s">
        <v>2963</v>
      </c>
      <c r="B2190" s="1">
        <v>46058</v>
      </c>
      <c r="C2190" t="s">
        <v>660</v>
      </c>
      <c r="D2190" t="s">
        <v>13</v>
      </c>
      <c r="E2190" t="s">
        <v>21</v>
      </c>
      <c r="F2190">
        <v>3</v>
      </c>
      <c r="G2190">
        <v>4999</v>
      </c>
      <c r="H2190">
        <v>0</v>
      </c>
      <c r="I2190" t="s">
        <v>47</v>
      </c>
      <c r="J2190" t="s">
        <v>28</v>
      </c>
      <c r="K2190" t="s">
        <v>37</v>
      </c>
      <c r="L2190">
        <f>F2189*G2189*(1-H2189)</f>
        <v>5845.5</v>
      </c>
    </row>
    <row r="2191" spans="1:12">
      <c r="A2191" t="s">
        <v>2964</v>
      </c>
      <c r="B2191" s="1">
        <v>46108</v>
      </c>
      <c r="C2191" t="s">
        <v>958</v>
      </c>
      <c r="D2191" t="s">
        <v>56</v>
      </c>
      <c r="E2191" t="s">
        <v>35</v>
      </c>
      <c r="F2191">
        <v>2</v>
      </c>
      <c r="G2191">
        <v>4999</v>
      </c>
      <c r="H2191">
        <v>0</v>
      </c>
      <c r="I2191" t="s">
        <v>44</v>
      </c>
      <c r="J2191" t="s">
        <v>16</v>
      </c>
      <c r="K2191" t="s">
        <v>37</v>
      </c>
      <c r="L2191">
        <f>F2190*G2190*(1-H2190)</f>
        <v>14997</v>
      </c>
    </row>
    <row r="2192" spans="1:12">
      <c r="A2192" t="s">
        <v>2965</v>
      </c>
      <c r="B2192" s="1">
        <v>46184</v>
      </c>
      <c r="C2192" t="s">
        <v>606</v>
      </c>
      <c r="D2192" t="s">
        <v>59</v>
      </c>
      <c r="E2192" t="s">
        <v>35</v>
      </c>
      <c r="F2192">
        <v>1</v>
      </c>
      <c r="G2192">
        <v>499</v>
      </c>
      <c r="H2192">
        <v>0</v>
      </c>
      <c r="I2192" t="s">
        <v>32</v>
      </c>
      <c r="J2192" t="s">
        <v>36</v>
      </c>
      <c r="K2192" t="s">
        <v>37</v>
      </c>
      <c r="L2192">
        <f>F2191*G2191*(1-H2191)</f>
        <v>9998</v>
      </c>
    </row>
    <row r="2193" spans="1:12">
      <c r="A2193" t="s">
        <v>2966</v>
      </c>
      <c r="B2193" s="1">
        <v>46177</v>
      </c>
      <c r="C2193" t="s">
        <v>152</v>
      </c>
      <c r="D2193" t="s">
        <v>13</v>
      </c>
      <c r="E2193" t="s">
        <v>40</v>
      </c>
      <c r="F2193">
        <v>1</v>
      </c>
      <c r="G2193">
        <v>2499</v>
      </c>
      <c r="H2193">
        <v>0</v>
      </c>
      <c r="I2193" t="s">
        <v>47</v>
      </c>
      <c r="J2193" t="s">
        <v>22</v>
      </c>
      <c r="K2193" t="s">
        <v>17</v>
      </c>
      <c r="L2193">
        <f>F2192*G2192*(1-H2192)</f>
        <v>499</v>
      </c>
    </row>
    <row r="2194" spans="1:12">
      <c r="A2194" t="s">
        <v>2967</v>
      </c>
      <c r="B2194" s="1">
        <v>46096</v>
      </c>
      <c r="C2194" t="s">
        <v>2353</v>
      </c>
      <c r="D2194" t="s">
        <v>20</v>
      </c>
      <c r="E2194" t="s">
        <v>27</v>
      </c>
      <c r="F2194">
        <v>4</v>
      </c>
      <c r="G2194">
        <v>2499</v>
      </c>
      <c r="H2194">
        <v>0.15</v>
      </c>
      <c r="I2194" t="s">
        <v>47</v>
      </c>
      <c r="J2194" t="s">
        <v>28</v>
      </c>
      <c r="K2194" t="s">
        <v>37</v>
      </c>
      <c r="L2194">
        <f>F2193*G2193*(1-H2193)</f>
        <v>2499</v>
      </c>
    </row>
    <row r="2195" spans="1:12">
      <c r="A2195" t="s">
        <v>2968</v>
      </c>
      <c r="B2195" s="1">
        <v>46156</v>
      </c>
      <c r="C2195" t="s">
        <v>1728</v>
      </c>
      <c r="D2195" t="s">
        <v>20</v>
      </c>
      <c r="E2195" t="s">
        <v>40</v>
      </c>
      <c r="F2195">
        <v>5</v>
      </c>
      <c r="G2195">
        <v>999</v>
      </c>
      <c r="H2195">
        <v>0.05</v>
      </c>
      <c r="I2195" t="s">
        <v>32</v>
      </c>
      <c r="J2195" t="s">
        <v>22</v>
      </c>
      <c r="K2195" t="s">
        <v>23</v>
      </c>
      <c r="L2195">
        <f>F2194*G2194*(1-H2194)</f>
        <v>8496.6</v>
      </c>
    </row>
    <row r="2196" spans="1:12">
      <c r="A2196" t="s">
        <v>2969</v>
      </c>
      <c r="B2196" s="1">
        <v>46242</v>
      </c>
      <c r="C2196" t="s">
        <v>1763</v>
      </c>
      <c r="D2196" t="s">
        <v>13</v>
      </c>
      <c r="E2196" t="s">
        <v>35</v>
      </c>
      <c r="F2196">
        <v>2</v>
      </c>
      <c r="G2196">
        <v>7999</v>
      </c>
      <c r="H2196">
        <v>0</v>
      </c>
      <c r="I2196" t="s">
        <v>15</v>
      </c>
      <c r="J2196" t="s">
        <v>16</v>
      </c>
      <c r="K2196" t="s">
        <v>17</v>
      </c>
      <c r="L2196">
        <f>F2195*G2195*(1-H2195)</f>
        <v>4745.25</v>
      </c>
    </row>
    <row r="2197" spans="1:12">
      <c r="A2197" t="s">
        <v>2970</v>
      </c>
      <c r="B2197" s="1">
        <v>46251</v>
      </c>
      <c r="C2197" t="s">
        <v>376</v>
      </c>
      <c r="D2197" t="s">
        <v>43</v>
      </c>
      <c r="E2197" t="s">
        <v>35</v>
      </c>
      <c r="F2197">
        <v>3</v>
      </c>
      <c r="G2197">
        <v>599</v>
      </c>
      <c r="H2197">
        <v>0</v>
      </c>
      <c r="I2197" t="s">
        <v>15</v>
      </c>
      <c r="J2197" t="s">
        <v>28</v>
      </c>
      <c r="K2197" t="s">
        <v>17</v>
      </c>
      <c r="L2197">
        <f>F2196*G2196*(1-H2196)</f>
        <v>15998</v>
      </c>
    </row>
    <row r="2198" spans="1:12">
      <c r="A2198" t="s">
        <v>2971</v>
      </c>
      <c r="B2198" s="1">
        <v>46131</v>
      </c>
      <c r="C2198" t="s">
        <v>575</v>
      </c>
      <c r="D2198" t="s">
        <v>13</v>
      </c>
      <c r="E2198" t="s">
        <v>27</v>
      </c>
      <c r="F2198">
        <v>5</v>
      </c>
      <c r="G2198">
        <v>2499</v>
      </c>
      <c r="H2198">
        <v>0.15</v>
      </c>
      <c r="I2198" t="s">
        <v>15</v>
      </c>
      <c r="J2198" t="s">
        <v>22</v>
      </c>
      <c r="K2198" t="s">
        <v>23</v>
      </c>
      <c r="L2198">
        <f>F2197*G2197*(1-H2197)</f>
        <v>1797</v>
      </c>
    </row>
    <row r="2199" spans="1:12">
      <c r="A2199" t="s">
        <v>2972</v>
      </c>
      <c r="B2199" s="1">
        <v>46241</v>
      </c>
      <c r="C2199" t="s">
        <v>1054</v>
      </c>
      <c r="D2199" t="s">
        <v>20</v>
      </c>
      <c r="E2199" t="s">
        <v>35</v>
      </c>
      <c r="F2199">
        <v>4</v>
      </c>
      <c r="G2199">
        <v>599</v>
      </c>
      <c r="H2199">
        <v>0.15</v>
      </c>
      <c r="I2199" t="s">
        <v>32</v>
      </c>
      <c r="J2199" t="s">
        <v>16</v>
      </c>
      <c r="K2199" t="s">
        <v>23</v>
      </c>
      <c r="L2199">
        <f>F2198*G2198*(1-H2198)</f>
        <v>10620.75</v>
      </c>
    </row>
    <row r="2200" spans="1:12">
      <c r="A2200" t="s">
        <v>2973</v>
      </c>
      <c r="B2200" s="1">
        <v>46175</v>
      </c>
      <c r="C2200" t="s">
        <v>2182</v>
      </c>
      <c r="D2200" t="s">
        <v>59</v>
      </c>
      <c r="E2200" t="s">
        <v>27</v>
      </c>
      <c r="F2200">
        <v>4</v>
      </c>
      <c r="G2200">
        <v>1499</v>
      </c>
      <c r="H2200">
        <v>0</v>
      </c>
      <c r="I2200" t="s">
        <v>15</v>
      </c>
      <c r="J2200" t="s">
        <v>28</v>
      </c>
      <c r="K2200" t="s">
        <v>17</v>
      </c>
      <c r="L2200">
        <f>F2199*G2199*(1-H2199)</f>
        <v>2036.6</v>
      </c>
    </row>
    <row r="2201" spans="1:12">
      <c r="A2201" t="s">
        <v>2974</v>
      </c>
      <c r="B2201" s="1">
        <v>46189</v>
      </c>
      <c r="C2201" t="s">
        <v>1475</v>
      </c>
      <c r="D2201" t="s">
        <v>71</v>
      </c>
      <c r="E2201" t="s">
        <v>40</v>
      </c>
      <c r="F2201">
        <v>2</v>
      </c>
      <c r="G2201">
        <v>599</v>
      </c>
      <c r="H2201">
        <v>0</v>
      </c>
      <c r="I2201" t="s">
        <v>50</v>
      </c>
      <c r="J2201" t="s">
        <v>16</v>
      </c>
      <c r="K2201" t="s">
        <v>37</v>
      </c>
      <c r="L2201">
        <f>F2200*G2200*(1-H2200)</f>
        <v>5996</v>
      </c>
    </row>
    <row r="2202" spans="1:12">
      <c r="A2202" t="s">
        <v>2975</v>
      </c>
      <c r="B2202" s="1">
        <v>46154</v>
      </c>
      <c r="C2202" t="s">
        <v>763</v>
      </c>
      <c r="D2202" t="s">
        <v>71</v>
      </c>
      <c r="E2202" t="s">
        <v>40</v>
      </c>
      <c r="F2202">
        <v>1</v>
      </c>
      <c r="G2202">
        <v>1999</v>
      </c>
      <c r="H2202">
        <v>0.05</v>
      </c>
      <c r="I2202" t="s">
        <v>32</v>
      </c>
      <c r="J2202" t="s">
        <v>28</v>
      </c>
      <c r="K2202" t="s">
        <v>17</v>
      </c>
      <c r="L2202">
        <f>F2201*G2201*(1-H2201)</f>
        <v>1198</v>
      </c>
    </row>
    <row r="2203" spans="1:12">
      <c r="A2203" t="s">
        <v>2976</v>
      </c>
      <c r="B2203" s="1">
        <v>46278</v>
      </c>
      <c r="C2203" t="s">
        <v>1196</v>
      </c>
      <c r="D2203" t="s">
        <v>26</v>
      </c>
      <c r="E2203" t="s">
        <v>27</v>
      </c>
      <c r="F2203">
        <v>1</v>
      </c>
      <c r="G2203">
        <v>2499</v>
      </c>
      <c r="H2203">
        <v>0</v>
      </c>
      <c r="I2203" t="s">
        <v>44</v>
      </c>
      <c r="J2203" t="s">
        <v>28</v>
      </c>
      <c r="K2203" t="s">
        <v>17</v>
      </c>
      <c r="L2203">
        <f>F2202*G2202*(1-H2202)</f>
        <v>1899.05</v>
      </c>
    </row>
    <row r="2204" spans="1:12">
      <c r="A2204" t="s">
        <v>2977</v>
      </c>
      <c r="B2204" s="1">
        <v>46145</v>
      </c>
      <c r="C2204" t="s">
        <v>982</v>
      </c>
      <c r="D2204" t="s">
        <v>78</v>
      </c>
      <c r="E2204" t="s">
        <v>40</v>
      </c>
      <c r="F2204">
        <v>4</v>
      </c>
      <c r="G2204">
        <v>1299</v>
      </c>
      <c r="H2204">
        <v>0</v>
      </c>
      <c r="I2204" t="s">
        <v>15</v>
      </c>
      <c r="J2204" t="s">
        <v>51</v>
      </c>
      <c r="K2204" t="s">
        <v>17</v>
      </c>
      <c r="L2204">
        <f>F2203*G2203*(1-H2203)</f>
        <v>2499</v>
      </c>
    </row>
    <row r="2205" spans="1:12">
      <c r="A2205" t="s">
        <v>2978</v>
      </c>
      <c r="B2205" s="1">
        <v>46062</v>
      </c>
      <c r="C2205" t="s">
        <v>536</v>
      </c>
      <c r="D2205" t="s">
        <v>31</v>
      </c>
      <c r="E2205" t="s">
        <v>40</v>
      </c>
      <c r="F2205">
        <v>2</v>
      </c>
      <c r="G2205">
        <v>4999</v>
      </c>
      <c r="H2205">
        <v>0.1</v>
      </c>
      <c r="I2205" t="s">
        <v>44</v>
      </c>
      <c r="J2205" t="s">
        <v>51</v>
      </c>
      <c r="K2205" t="s">
        <v>17</v>
      </c>
      <c r="L2205">
        <f>F2204*G2204*(1-H2204)</f>
        <v>5196</v>
      </c>
    </row>
    <row r="2206" spans="1:12">
      <c r="A2206" t="s">
        <v>2979</v>
      </c>
      <c r="B2206" s="1">
        <v>46288</v>
      </c>
      <c r="C2206" t="s">
        <v>219</v>
      </c>
      <c r="D2206" t="s">
        <v>31</v>
      </c>
      <c r="E2206" t="s">
        <v>40</v>
      </c>
      <c r="F2206">
        <v>3</v>
      </c>
      <c r="G2206">
        <v>7999</v>
      </c>
      <c r="H2206">
        <v>0.05</v>
      </c>
      <c r="I2206" t="s">
        <v>15</v>
      </c>
      <c r="J2206" t="s">
        <v>28</v>
      </c>
      <c r="K2206" t="s">
        <v>17</v>
      </c>
      <c r="L2206">
        <f>F2205*G2205*(1-H2205)</f>
        <v>8998.2000000000007</v>
      </c>
    </row>
    <row r="2207" spans="1:12">
      <c r="A2207" t="s">
        <v>2980</v>
      </c>
      <c r="B2207" s="1">
        <v>46075</v>
      </c>
      <c r="C2207" t="s">
        <v>1983</v>
      </c>
      <c r="D2207" t="s">
        <v>56</v>
      </c>
      <c r="E2207" t="s">
        <v>40</v>
      </c>
      <c r="F2207">
        <v>1</v>
      </c>
      <c r="G2207">
        <v>999</v>
      </c>
      <c r="H2207">
        <v>0.1</v>
      </c>
      <c r="I2207" t="s">
        <v>47</v>
      </c>
      <c r="J2207" t="s">
        <v>51</v>
      </c>
      <c r="K2207" t="s">
        <v>17</v>
      </c>
      <c r="L2207">
        <f>F2206*G2206*(1-H2206)</f>
        <v>22797.149999999998</v>
      </c>
    </row>
    <row r="2208" spans="1:12">
      <c r="A2208" t="s">
        <v>2981</v>
      </c>
      <c r="B2208" s="1">
        <v>46085</v>
      </c>
      <c r="C2208" t="s">
        <v>2701</v>
      </c>
      <c r="D2208" t="s">
        <v>43</v>
      </c>
      <c r="E2208" t="s">
        <v>14</v>
      </c>
      <c r="F2208">
        <v>3</v>
      </c>
      <c r="G2208">
        <v>2499</v>
      </c>
      <c r="H2208">
        <v>0</v>
      </c>
      <c r="I2208" t="s">
        <v>47</v>
      </c>
      <c r="J2208" t="s">
        <v>22</v>
      </c>
      <c r="K2208" t="s">
        <v>23</v>
      </c>
      <c r="L2208">
        <f>F2207*G2207*(1-H2207)</f>
        <v>899.1</v>
      </c>
    </row>
    <row r="2209" spans="1:12">
      <c r="A2209" t="s">
        <v>2982</v>
      </c>
      <c r="B2209" s="1">
        <v>46135</v>
      </c>
      <c r="C2209" t="s">
        <v>2983</v>
      </c>
      <c r="D2209" t="s">
        <v>13</v>
      </c>
      <c r="E2209" t="s">
        <v>40</v>
      </c>
      <c r="F2209">
        <v>4</v>
      </c>
      <c r="G2209">
        <v>4999</v>
      </c>
      <c r="H2209">
        <v>0</v>
      </c>
      <c r="I2209" t="s">
        <v>50</v>
      </c>
      <c r="J2209" t="s">
        <v>16</v>
      </c>
      <c r="K2209" t="s">
        <v>17</v>
      </c>
      <c r="L2209">
        <f>F2208*G2208*(1-H2208)</f>
        <v>7497</v>
      </c>
    </row>
    <row r="2210" spans="1:12">
      <c r="A2210" t="s">
        <v>2984</v>
      </c>
      <c r="B2210" s="1">
        <v>46277</v>
      </c>
      <c r="C2210" t="s">
        <v>1038</v>
      </c>
      <c r="D2210" t="s">
        <v>71</v>
      </c>
      <c r="E2210" t="s">
        <v>27</v>
      </c>
      <c r="F2210">
        <v>1</v>
      </c>
      <c r="G2210">
        <v>4999</v>
      </c>
      <c r="H2210">
        <v>0.05</v>
      </c>
      <c r="I2210" t="s">
        <v>47</v>
      </c>
      <c r="J2210" t="s">
        <v>22</v>
      </c>
      <c r="K2210" t="s">
        <v>23</v>
      </c>
      <c r="L2210">
        <f>F2209*G2209*(1-H2209)</f>
        <v>19996</v>
      </c>
    </row>
    <row r="2211" spans="1:12">
      <c r="A2211" t="s">
        <v>2985</v>
      </c>
      <c r="B2211" s="1">
        <v>46102</v>
      </c>
      <c r="C2211" t="s">
        <v>228</v>
      </c>
      <c r="D2211" t="s">
        <v>71</v>
      </c>
      <c r="E2211" t="s">
        <v>21</v>
      </c>
      <c r="F2211">
        <v>1</v>
      </c>
      <c r="G2211">
        <v>7999</v>
      </c>
      <c r="H2211">
        <v>0</v>
      </c>
      <c r="I2211" t="s">
        <v>50</v>
      </c>
      <c r="J2211" t="s">
        <v>36</v>
      </c>
      <c r="K2211" t="s">
        <v>17</v>
      </c>
      <c r="L2211">
        <f>F2210*G2210*(1-H2210)</f>
        <v>4749.05</v>
      </c>
    </row>
    <row r="2212" spans="1:12">
      <c r="A2212" t="s">
        <v>2986</v>
      </c>
      <c r="B2212" s="1">
        <v>46114</v>
      </c>
      <c r="C2212" t="s">
        <v>2987</v>
      </c>
      <c r="D2212" t="s">
        <v>13</v>
      </c>
      <c r="E2212" t="s">
        <v>21</v>
      </c>
      <c r="F2212">
        <v>1</v>
      </c>
      <c r="G2212">
        <v>999</v>
      </c>
      <c r="H2212">
        <v>0</v>
      </c>
      <c r="I2212" t="s">
        <v>15</v>
      </c>
      <c r="J2212" t="s">
        <v>36</v>
      </c>
      <c r="K2212" t="s">
        <v>17</v>
      </c>
      <c r="L2212">
        <f>F2211*G2211*(1-H2211)</f>
        <v>7999</v>
      </c>
    </row>
    <row r="2213" spans="1:12">
      <c r="A2213" t="s">
        <v>2988</v>
      </c>
      <c r="B2213" s="1">
        <v>46269</v>
      </c>
      <c r="C2213" t="s">
        <v>228</v>
      </c>
      <c r="D2213" t="s">
        <v>78</v>
      </c>
      <c r="E2213" t="s">
        <v>27</v>
      </c>
      <c r="F2213">
        <v>4</v>
      </c>
      <c r="G2213">
        <v>1999</v>
      </c>
      <c r="H2213">
        <v>0.05</v>
      </c>
      <c r="I2213" t="s">
        <v>32</v>
      </c>
      <c r="J2213" t="s">
        <v>36</v>
      </c>
      <c r="K2213" t="s">
        <v>23</v>
      </c>
      <c r="L2213">
        <f>F2212*G2212*(1-H2212)</f>
        <v>999</v>
      </c>
    </row>
    <row r="2214" spans="1:12">
      <c r="A2214" t="s">
        <v>2989</v>
      </c>
      <c r="B2214" s="1">
        <v>46186</v>
      </c>
      <c r="C2214" t="s">
        <v>257</v>
      </c>
      <c r="D2214" t="s">
        <v>78</v>
      </c>
      <c r="E2214" t="s">
        <v>21</v>
      </c>
      <c r="F2214">
        <v>5</v>
      </c>
      <c r="G2214">
        <v>1299</v>
      </c>
      <c r="H2214">
        <v>0.1</v>
      </c>
      <c r="I2214" t="s">
        <v>32</v>
      </c>
      <c r="J2214" t="s">
        <v>22</v>
      </c>
      <c r="K2214" t="s">
        <v>37</v>
      </c>
      <c r="L2214">
        <f>F2213*G2213*(1-H2213)</f>
        <v>7596.2</v>
      </c>
    </row>
    <row r="2215" spans="1:12">
      <c r="A2215" t="s">
        <v>2990</v>
      </c>
      <c r="B2215" s="1">
        <v>46095</v>
      </c>
      <c r="C2215" t="s">
        <v>2991</v>
      </c>
      <c r="D2215" t="s">
        <v>59</v>
      </c>
      <c r="E2215" t="s">
        <v>14</v>
      </c>
      <c r="F2215">
        <v>2</v>
      </c>
      <c r="G2215">
        <v>1499</v>
      </c>
      <c r="H2215">
        <v>0</v>
      </c>
      <c r="I2215" t="s">
        <v>50</v>
      </c>
      <c r="J2215" t="s">
        <v>22</v>
      </c>
      <c r="K2215" t="s">
        <v>23</v>
      </c>
      <c r="L2215">
        <f>F2214*G2214*(1-H2214)</f>
        <v>5845.5</v>
      </c>
    </row>
    <row r="2216" spans="1:12">
      <c r="A2216" t="s">
        <v>2992</v>
      </c>
      <c r="B2216" s="1">
        <v>46118</v>
      </c>
      <c r="C2216" t="s">
        <v>138</v>
      </c>
      <c r="D2216" t="s">
        <v>71</v>
      </c>
      <c r="E2216" t="s">
        <v>40</v>
      </c>
      <c r="F2216">
        <v>4</v>
      </c>
      <c r="G2216">
        <v>7999</v>
      </c>
      <c r="H2216">
        <v>0</v>
      </c>
      <c r="I2216" t="s">
        <v>47</v>
      </c>
      <c r="J2216" t="s">
        <v>51</v>
      </c>
      <c r="K2216" t="s">
        <v>37</v>
      </c>
      <c r="L2216">
        <f>F2215*G2215*(1-H2215)</f>
        <v>2998</v>
      </c>
    </row>
    <row r="2217" spans="1:12">
      <c r="A2217" t="s">
        <v>2993</v>
      </c>
      <c r="B2217" s="1">
        <v>46278</v>
      </c>
      <c r="C2217" t="s">
        <v>1559</v>
      </c>
      <c r="D2217" t="s">
        <v>20</v>
      </c>
      <c r="E2217" t="s">
        <v>14</v>
      </c>
      <c r="F2217">
        <v>2</v>
      </c>
      <c r="G2217">
        <v>1499</v>
      </c>
      <c r="H2217">
        <v>0</v>
      </c>
      <c r="I2217" t="s">
        <v>50</v>
      </c>
      <c r="J2217" t="s">
        <v>16</v>
      </c>
      <c r="K2217" t="s">
        <v>37</v>
      </c>
      <c r="L2217">
        <f>F2216*G2216*(1-H2216)</f>
        <v>31996</v>
      </c>
    </row>
    <row r="2218" spans="1:12">
      <c r="A2218" t="s">
        <v>2994</v>
      </c>
      <c r="B2218" s="1">
        <v>46147</v>
      </c>
      <c r="C2218" t="s">
        <v>475</v>
      </c>
      <c r="D2218" t="s">
        <v>26</v>
      </c>
      <c r="E2218" t="s">
        <v>35</v>
      </c>
      <c r="F2218">
        <v>3</v>
      </c>
      <c r="G2218">
        <v>2499</v>
      </c>
      <c r="H2218">
        <v>0</v>
      </c>
      <c r="I2218" t="s">
        <v>50</v>
      </c>
      <c r="J2218" t="s">
        <v>28</v>
      </c>
      <c r="K2218" t="s">
        <v>17</v>
      </c>
      <c r="L2218">
        <f>F2217*G2217*(1-H2217)</f>
        <v>2998</v>
      </c>
    </row>
    <row r="2219" spans="1:12">
      <c r="A2219" t="s">
        <v>2995</v>
      </c>
      <c r="B2219" s="1">
        <v>46193</v>
      </c>
      <c r="C2219" t="s">
        <v>1052</v>
      </c>
      <c r="D2219" t="s">
        <v>78</v>
      </c>
      <c r="E2219" t="s">
        <v>21</v>
      </c>
      <c r="F2219">
        <v>3</v>
      </c>
      <c r="G2219">
        <v>499</v>
      </c>
      <c r="H2219">
        <v>0.1</v>
      </c>
      <c r="I2219" t="s">
        <v>44</v>
      </c>
      <c r="J2219" t="s">
        <v>28</v>
      </c>
      <c r="K2219" t="s">
        <v>37</v>
      </c>
      <c r="L2219">
        <f>F2218*G2218*(1-H2218)</f>
        <v>7497</v>
      </c>
    </row>
    <row r="2220" spans="1:12">
      <c r="A2220" t="s">
        <v>2996</v>
      </c>
      <c r="B2220" s="1">
        <v>46163</v>
      </c>
      <c r="C2220" t="s">
        <v>948</v>
      </c>
      <c r="D2220" t="s">
        <v>56</v>
      </c>
      <c r="E2220" t="s">
        <v>27</v>
      </c>
      <c r="F2220">
        <v>4</v>
      </c>
      <c r="G2220">
        <v>499</v>
      </c>
      <c r="H2220">
        <v>0.1</v>
      </c>
      <c r="I2220" t="s">
        <v>47</v>
      </c>
      <c r="J2220" t="s">
        <v>16</v>
      </c>
      <c r="K2220" t="s">
        <v>17</v>
      </c>
      <c r="L2220">
        <f>F2219*G2219*(1-H2219)</f>
        <v>1347.3</v>
      </c>
    </row>
    <row r="2221" spans="1:12">
      <c r="A2221" t="s">
        <v>2997</v>
      </c>
      <c r="B2221" s="1">
        <v>46056</v>
      </c>
      <c r="C2221" t="s">
        <v>2807</v>
      </c>
      <c r="D2221" t="s">
        <v>20</v>
      </c>
      <c r="E2221" t="s">
        <v>14</v>
      </c>
      <c r="F2221">
        <v>2</v>
      </c>
      <c r="G2221">
        <v>7999</v>
      </c>
      <c r="H2221">
        <v>0</v>
      </c>
      <c r="I2221" t="s">
        <v>47</v>
      </c>
      <c r="J2221" t="s">
        <v>36</v>
      </c>
      <c r="K2221" t="s">
        <v>17</v>
      </c>
      <c r="L2221">
        <f>F2220*G2220*(1-H2220)</f>
        <v>1796.4</v>
      </c>
    </row>
    <row r="2222" spans="1:12">
      <c r="A2222" t="s">
        <v>2998</v>
      </c>
      <c r="B2222" s="1">
        <v>46283</v>
      </c>
      <c r="C2222" t="s">
        <v>675</v>
      </c>
      <c r="D2222" t="s">
        <v>78</v>
      </c>
      <c r="E2222" t="s">
        <v>35</v>
      </c>
      <c r="F2222">
        <v>1</v>
      </c>
      <c r="G2222">
        <v>599</v>
      </c>
      <c r="H2222">
        <v>0.1</v>
      </c>
      <c r="I2222" t="s">
        <v>15</v>
      </c>
      <c r="J2222" t="s">
        <v>22</v>
      </c>
      <c r="K2222" t="s">
        <v>23</v>
      </c>
      <c r="L2222">
        <f>F2221*G2221*(1-H2221)</f>
        <v>15998</v>
      </c>
    </row>
    <row r="2223" spans="1:12">
      <c r="A2223" t="s">
        <v>2999</v>
      </c>
      <c r="B2223" s="1">
        <v>46284</v>
      </c>
      <c r="C2223" t="s">
        <v>3000</v>
      </c>
      <c r="D2223" t="s">
        <v>78</v>
      </c>
      <c r="E2223" t="s">
        <v>40</v>
      </c>
      <c r="F2223">
        <v>2</v>
      </c>
      <c r="G2223">
        <v>499</v>
      </c>
      <c r="H2223">
        <v>0.05</v>
      </c>
      <c r="I2223" t="s">
        <v>32</v>
      </c>
      <c r="J2223" t="s">
        <v>28</v>
      </c>
      <c r="K2223" t="s">
        <v>23</v>
      </c>
      <c r="L2223">
        <f>F2222*G2222*(1-H2222)</f>
        <v>539.1</v>
      </c>
    </row>
    <row r="2224" spans="1:12">
      <c r="A2224" t="s">
        <v>3001</v>
      </c>
      <c r="B2224" s="1">
        <v>46197</v>
      </c>
      <c r="C2224" t="s">
        <v>822</v>
      </c>
      <c r="D2224" t="s">
        <v>56</v>
      </c>
      <c r="E2224" t="s">
        <v>35</v>
      </c>
      <c r="F2224">
        <v>1</v>
      </c>
      <c r="G2224">
        <v>7999</v>
      </c>
      <c r="H2224">
        <v>0.15</v>
      </c>
      <c r="I2224" t="s">
        <v>44</v>
      </c>
      <c r="J2224" t="s">
        <v>28</v>
      </c>
      <c r="K2224" t="s">
        <v>17</v>
      </c>
      <c r="L2224">
        <f>F2223*G2223*(1-H2223)</f>
        <v>948.09999999999991</v>
      </c>
    </row>
    <row r="2225" spans="1:12">
      <c r="A2225" t="s">
        <v>3002</v>
      </c>
      <c r="B2225" s="1">
        <v>46179</v>
      </c>
      <c r="C2225" t="s">
        <v>472</v>
      </c>
      <c r="D2225" t="s">
        <v>31</v>
      </c>
      <c r="E2225" t="s">
        <v>14</v>
      </c>
      <c r="F2225">
        <v>4</v>
      </c>
      <c r="G2225">
        <v>499</v>
      </c>
      <c r="H2225">
        <v>0.15</v>
      </c>
      <c r="I2225" t="s">
        <v>47</v>
      </c>
      <c r="J2225" t="s">
        <v>36</v>
      </c>
      <c r="K2225" t="s">
        <v>23</v>
      </c>
      <c r="L2225">
        <f>F2224*G2224*(1-H2224)</f>
        <v>6799.15</v>
      </c>
    </row>
    <row r="2226" spans="1:12">
      <c r="A2226" t="s">
        <v>3003</v>
      </c>
      <c r="B2226" s="1">
        <v>46149</v>
      </c>
      <c r="C2226" t="s">
        <v>602</v>
      </c>
      <c r="D2226" t="s">
        <v>31</v>
      </c>
      <c r="E2226" t="s">
        <v>27</v>
      </c>
      <c r="F2226">
        <v>3</v>
      </c>
      <c r="G2226">
        <v>1299</v>
      </c>
      <c r="H2226">
        <v>0</v>
      </c>
      <c r="I2226" t="s">
        <v>47</v>
      </c>
      <c r="J2226" t="s">
        <v>36</v>
      </c>
      <c r="K2226" t="s">
        <v>17</v>
      </c>
      <c r="L2226">
        <f>F2225*G2225*(1-H2225)</f>
        <v>1696.6</v>
      </c>
    </row>
    <row r="2227" spans="1:12">
      <c r="A2227" t="s">
        <v>3004</v>
      </c>
      <c r="B2227" s="1">
        <v>46256</v>
      </c>
      <c r="C2227" t="s">
        <v>230</v>
      </c>
      <c r="D2227" t="s">
        <v>59</v>
      </c>
      <c r="E2227" t="s">
        <v>40</v>
      </c>
      <c r="F2227">
        <v>5</v>
      </c>
      <c r="G2227">
        <v>1299</v>
      </c>
      <c r="H2227">
        <v>0</v>
      </c>
      <c r="I2227" t="s">
        <v>15</v>
      </c>
      <c r="J2227" t="s">
        <v>22</v>
      </c>
      <c r="K2227" t="s">
        <v>23</v>
      </c>
      <c r="L2227">
        <f>F2226*G2226*(1-H2226)</f>
        <v>3897</v>
      </c>
    </row>
    <row r="2228" spans="1:12">
      <c r="A2228" t="s">
        <v>3005</v>
      </c>
      <c r="B2228" s="1">
        <v>46062</v>
      </c>
      <c r="C2228" t="s">
        <v>3006</v>
      </c>
      <c r="D2228" t="s">
        <v>59</v>
      </c>
      <c r="E2228" t="s">
        <v>14</v>
      </c>
      <c r="F2228">
        <v>4</v>
      </c>
      <c r="G2228">
        <v>1499</v>
      </c>
      <c r="H2228">
        <v>0</v>
      </c>
      <c r="I2228" t="s">
        <v>44</v>
      </c>
      <c r="J2228" t="s">
        <v>22</v>
      </c>
      <c r="K2228" t="s">
        <v>37</v>
      </c>
      <c r="L2228">
        <f>F2227*G2227*(1-H2227)</f>
        <v>6495</v>
      </c>
    </row>
    <row r="2229" spans="1:12">
      <c r="A2229" t="s">
        <v>3007</v>
      </c>
      <c r="B2229" s="1">
        <v>46091</v>
      </c>
      <c r="C2229" t="s">
        <v>1374</v>
      </c>
      <c r="D2229" t="s">
        <v>13</v>
      </c>
      <c r="E2229" t="s">
        <v>35</v>
      </c>
      <c r="F2229">
        <v>5</v>
      </c>
      <c r="G2229">
        <v>799</v>
      </c>
      <c r="H2229">
        <v>0</v>
      </c>
      <c r="I2229" t="s">
        <v>50</v>
      </c>
      <c r="J2229" t="s">
        <v>51</v>
      </c>
      <c r="K2229" t="s">
        <v>17</v>
      </c>
      <c r="L2229">
        <f>F2228*G2228*(1-H2228)</f>
        <v>5996</v>
      </c>
    </row>
    <row r="2230" spans="1:12">
      <c r="A2230" t="s">
        <v>3008</v>
      </c>
      <c r="B2230" s="1">
        <v>46151</v>
      </c>
      <c r="C2230" t="s">
        <v>586</v>
      </c>
      <c r="D2230" t="s">
        <v>43</v>
      </c>
      <c r="E2230" t="s">
        <v>40</v>
      </c>
      <c r="F2230">
        <v>3</v>
      </c>
      <c r="G2230">
        <v>499</v>
      </c>
      <c r="H2230">
        <v>0.1</v>
      </c>
      <c r="I2230" t="s">
        <v>32</v>
      </c>
      <c r="J2230" t="s">
        <v>36</v>
      </c>
      <c r="K2230" t="s">
        <v>17</v>
      </c>
      <c r="L2230">
        <f>F2229*G2229*(1-H2229)</f>
        <v>3995</v>
      </c>
    </row>
    <row r="2231" spans="1:12">
      <c r="A2231" t="s">
        <v>3009</v>
      </c>
      <c r="B2231" s="1">
        <v>46277</v>
      </c>
      <c r="C2231" t="s">
        <v>1156</v>
      </c>
      <c r="D2231" t="s">
        <v>31</v>
      </c>
      <c r="E2231" t="s">
        <v>27</v>
      </c>
      <c r="F2231">
        <v>3</v>
      </c>
      <c r="G2231">
        <v>4999</v>
      </c>
      <c r="H2231">
        <v>0.15</v>
      </c>
      <c r="I2231" t="s">
        <v>32</v>
      </c>
      <c r="J2231" t="s">
        <v>22</v>
      </c>
      <c r="K2231" t="s">
        <v>17</v>
      </c>
      <c r="L2231">
        <f>F2230*G2230*(1-H2230)</f>
        <v>1347.3</v>
      </c>
    </row>
    <row r="2232" spans="1:12">
      <c r="A2232" t="s">
        <v>3010</v>
      </c>
      <c r="B2232" s="1">
        <v>46262</v>
      </c>
      <c r="C2232" t="s">
        <v>2374</v>
      </c>
      <c r="D2232" t="s">
        <v>62</v>
      </c>
      <c r="E2232" t="s">
        <v>35</v>
      </c>
      <c r="F2232">
        <v>5</v>
      </c>
      <c r="G2232">
        <v>7999</v>
      </c>
      <c r="H2232">
        <v>0</v>
      </c>
      <c r="I2232" t="s">
        <v>32</v>
      </c>
      <c r="J2232" t="s">
        <v>28</v>
      </c>
      <c r="K2232" t="s">
        <v>23</v>
      </c>
      <c r="L2232">
        <f>F2231*G2231*(1-H2231)</f>
        <v>12747.449999999999</v>
      </c>
    </row>
    <row r="2233" spans="1:12">
      <c r="A2233" t="s">
        <v>3011</v>
      </c>
      <c r="B2233" s="1">
        <v>46292</v>
      </c>
      <c r="C2233" t="s">
        <v>933</v>
      </c>
      <c r="D2233" t="s">
        <v>71</v>
      </c>
      <c r="E2233" t="s">
        <v>14</v>
      </c>
      <c r="F2233">
        <v>1</v>
      </c>
      <c r="G2233">
        <v>4999</v>
      </c>
      <c r="H2233">
        <v>0.15</v>
      </c>
      <c r="I2233" t="s">
        <v>50</v>
      </c>
      <c r="J2233" t="s">
        <v>28</v>
      </c>
      <c r="K2233" t="s">
        <v>17</v>
      </c>
      <c r="L2233">
        <f>F2232*G2232*(1-H2232)</f>
        <v>39995</v>
      </c>
    </row>
    <row r="2234" spans="1:12">
      <c r="A2234" t="s">
        <v>3012</v>
      </c>
      <c r="B2234" s="1">
        <v>46267</v>
      </c>
      <c r="C2234" t="s">
        <v>384</v>
      </c>
      <c r="D2234" t="s">
        <v>59</v>
      </c>
      <c r="E2234" t="s">
        <v>14</v>
      </c>
      <c r="F2234">
        <v>2</v>
      </c>
      <c r="G2234">
        <v>799</v>
      </c>
      <c r="H2234">
        <v>0</v>
      </c>
      <c r="I2234" t="s">
        <v>47</v>
      </c>
      <c r="J2234" t="s">
        <v>51</v>
      </c>
      <c r="K2234" t="s">
        <v>23</v>
      </c>
      <c r="L2234">
        <f>F2233*G2233*(1-H2233)</f>
        <v>4249.1499999999996</v>
      </c>
    </row>
    <row r="2235" spans="1:12">
      <c r="A2235" t="s">
        <v>3013</v>
      </c>
      <c r="B2235" s="1">
        <v>46066</v>
      </c>
      <c r="C2235" t="s">
        <v>378</v>
      </c>
      <c r="D2235" t="s">
        <v>26</v>
      </c>
      <c r="E2235" t="s">
        <v>14</v>
      </c>
      <c r="F2235">
        <v>4</v>
      </c>
      <c r="G2235">
        <v>1999</v>
      </c>
      <c r="H2235">
        <v>0.05</v>
      </c>
      <c r="I2235" t="s">
        <v>32</v>
      </c>
      <c r="J2235" t="s">
        <v>51</v>
      </c>
      <c r="K2235" t="s">
        <v>37</v>
      </c>
      <c r="L2235">
        <f>F2234*G2234*(1-H2234)</f>
        <v>1598</v>
      </c>
    </row>
    <row r="2236" spans="1:12">
      <c r="A2236" t="s">
        <v>3014</v>
      </c>
      <c r="B2236" s="1">
        <v>46102</v>
      </c>
      <c r="C2236" t="s">
        <v>3015</v>
      </c>
      <c r="D2236" t="s">
        <v>62</v>
      </c>
      <c r="E2236" t="s">
        <v>21</v>
      </c>
      <c r="F2236">
        <v>3</v>
      </c>
      <c r="G2236">
        <v>1299</v>
      </c>
      <c r="H2236">
        <v>0</v>
      </c>
      <c r="I2236" t="s">
        <v>47</v>
      </c>
      <c r="J2236" t="s">
        <v>22</v>
      </c>
      <c r="K2236" t="s">
        <v>17</v>
      </c>
      <c r="L2236">
        <f>F2235*G2235*(1-H2235)</f>
        <v>7596.2</v>
      </c>
    </row>
    <row r="2237" spans="1:12">
      <c r="A2237" t="s">
        <v>3016</v>
      </c>
      <c r="B2237" s="1">
        <v>46270</v>
      </c>
      <c r="C2237" t="s">
        <v>226</v>
      </c>
      <c r="D2237" t="s">
        <v>43</v>
      </c>
      <c r="E2237" t="s">
        <v>35</v>
      </c>
      <c r="F2237">
        <v>1</v>
      </c>
      <c r="G2237">
        <v>499</v>
      </c>
      <c r="H2237">
        <v>0.15</v>
      </c>
      <c r="I2237" t="s">
        <v>15</v>
      </c>
      <c r="J2237" t="s">
        <v>51</v>
      </c>
      <c r="K2237" t="s">
        <v>17</v>
      </c>
      <c r="L2237">
        <f>F2236*G2236*(1-H2236)</f>
        <v>3897</v>
      </c>
    </row>
    <row r="2238" spans="1:12">
      <c r="A2238" t="s">
        <v>3017</v>
      </c>
      <c r="B2238" s="1">
        <v>46104</v>
      </c>
      <c r="C2238" t="s">
        <v>472</v>
      </c>
      <c r="D2238" t="s">
        <v>62</v>
      </c>
      <c r="E2238" t="s">
        <v>27</v>
      </c>
      <c r="F2238">
        <v>3</v>
      </c>
      <c r="G2238">
        <v>999</v>
      </c>
      <c r="H2238">
        <v>0.15</v>
      </c>
      <c r="I2238" t="s">
        <v>50</v>
      </c>
      <c r="J2238" t="s">
        <v>22</v>
      </c>
      <c r="K2238" t="s">
        <v>17</v>
      </c>
      <c r="L2238">
        <f>F2237*G2237*(1-H2237)</f>
        <v>424.15</v>
      </c>
    </row>
    <row r="2239" spans="1:12">
      <c r="A2239" t="s">
        <v>3018</v>
      </c>
      <c r="B2239" s="1">
        <v>46056</v>
      </c>
      <c r="C2239" t="s">
        <v>419</v>
      </c>
      <c r="D2239" t="s">
        <v>43</v>
      </c>
      <c r="E2239" t="s">
        <v>21</v>
      </c>
      <c r="F2239">
        <v>5</v>
      </c>
      <c r="G2239">
        <v>1999</v>
      </c>
      <c r="H2239">
        <v>0</v>
      </c>
      <c r="I2239" t="s">
        <v>50</v>
      </c>
      <c r="J2239" t="s">
        <v>36</v>
      </c>
      <c r="K2239" t="s">
        <v>17</v>
      </c>
      <c r="L2239">
        <f>F2238*G2238*(1-H2238)</f>
        <v>2547.4499999999998</v>
      </c>
    </row>
    <row r="2240" spans="1:12">
      <c r="A2240" t="s">
        <v>3019</v>
      </c>
      <c r="B2240" s="1">
        <v>46265</v>
      </c>
      <c r="C2240" t="s">
        <v>30</v>
      </c>
      <c r="D2240" t="s">
        <v>62</v>
      </c>
      <c r="E2240" t="s">
        <v>21</v>
      </c>
      <c r="F2240">
        <v>5</v>
      </c>
      <c r="G2240">
        <v>599</v>
      </c>
      <c r="H2240">
        <v>0.15</v>
      </c>
      <c r="I2240" t="s">
        <v>47</v>
      </c>
      <c r="J2240" t="s">
        <v>22</v>
      </c>
      <c r="K2240" t="s">
        <v>23</v>
      </c>
      <c r="L2240">
        <f>F2239*G2239*(1-H2239)</f>
        <v>9995</v>
      </c>
    </row>
    <row r="2241" spans="1:12">
      <c r="A2241" t="s">
        <v>3020</v>
      </c>
      <c r="B2241" s="1">
        <v>46027</v>
      </c>
      <c r="C2241" t="s">
        <v>1233</v>
      </c>
      <c r="D2241" t="s">
        <v>43</v>
      </c>
      <c r="E2241" t="s">
        <v>27</v>
      </c>
      <c r="F2241">
        <v>5</v>
      </c>
      <c r="G2241">
        <v>4999</v>
      </c>
      <c r="H2241">
        <v>0.1</v>
      </c>
      <c r="I2241" t="s">
        <v>47</v>
      </c>
      <c r="J2241" t="s">
        <v>22</v>
      </c>
      <c r="K2241" t="s">
        <v>17</v>
      </c>
      <c r="L2241">
        <f>F2240*G2240*(1-H2240)</f>
        <v>2545.75</v>
      </c>
    </row>
    <row r="2242" spans="1:12">
      <c r="A2242" t="s">
        <v>3021</v>
      </c>
      <c r="B2242" s="1">
        <v>46057</v>
      </c>
      <c r="C2242" t="s">
        <v>886</v>
      </c>
      <c r="D2242" t="s">
        <v>20</v>
      </c>
      <c r="E2242" t="s">
        <v>35</v>
      </c>
      <c r="F2242">
        <v>2</v>
      </c>
      <c r="G2242">
        <v>2499</v>
      </c>
      <c r="H2242">
        <v>0</v>
      </c>
      <c r="I2242" t="s">
        <v>50</v>
      </c>
      <c r="J2242" t="s">
        <v>51</v>
      </c>
      <c r="K2242" t="s">
        <v>17</v>
      </c>
      <c r="L2242">
        <f>F2241*G2241*(1-H2241)</f>
        <v>22495.5</v>
      </c>
    </row>
    <row r="2243" spans="1:12">
      <c r="A2243" t="s">
        <v>3022</v>
      </c>
      <c r="B2243" s="1">
        <v>46038</v>
      </c>
      <c r="C2243" t="s">
        <v>1316</v>
      </c>
      <c r="D2243" t="s">
        <v>71</v>
      </c>
      <c r="E2243" t="s">
        <v>35</v>
      </c>
      <c r="F2243">
        <v>4</v>
      </c>
      <c r="G2243">
        <v>7999</v>
      </c>
      <c r="H2243">
        <v>0</v>
      </c>
      <c r="I2243" t="s">
        <v>32</v>
      </c>
      <c r="J2243" t="s">
        <v>16</v>
      </c>
      <c r="K2243" t="s">
        <v>17</v>
      </c>
      <c r="L2243">
        <f>F2242*G2242*(1-H2242)</f>
        <v>4998</v>
      </c>
    </row>
    <row r="2244" spans="1:12">
      <c r="A2244" t="s">
        <v>3023</v>
      </c>
      <c r="B2244" s="1">
        <v>46112</v>
      </c>
      <c r="C2244" t="s">
        <v>472</v>
      </c>
      <c r="D2244" t="s">
        <v>31</v>
      </c>
      <c r="E2244" t="s">
        <v>14</v>
      </c>
      <c r="F2244">
        <v>2</v>
      </c>
      <c r="G2244">
        <v>799</v>
      </c>
      <c r="H2244">
        <v>0.05</v>
      </c>
      <c r="I2244" t="s">
        <v>44</v>
      </c>
      <c r="J2244" t="s">
        <v>16</v>
      </c>
      <c r="K2244" t="s">
        <v>23</v>
      </c>
      <c r="L2244">
        <f>F2243*G2243*(1-H2243)</f>
        <v>31996</v>
      </c>
    </row>
    <row r="2245" spans="1:12">
      <c r="A2245" t="s">
        <v>3024</v>
      </c>
      <c r="B2245" s="1">
        <v>46093</v>
      </c>
      <c r="C2245" t="s">
        <v>860</v>
      </c>
      <c r="D2245" t="s">
        <v>59</v>
      </c>
      <c r="E2245" t="s">
        <v>40</v>
      </c>
      <c r="F2245">
        <v>3</v>
      </c>
      <c r="G2245">
        <v>1499</v>
      </c>
      <c r="H2245">
        <v>0</v>
      </c>
      <c r="I2245" t="s">
        <v>44</v>
      </c>
      <c r="J2245" t="s">
        <v>28</v>
      </c>
      <c r="K2245" t="s">
        <v>17</v>
      </c>
      <c r="L2245">
        <f>F2244*G2244*(1-H2244)</f>
        <v>1518.1</v>
      </c>
    </row>
    <row r="2246" spans="1:12">
      <c r="A2246" t="s">
        <v>3025</v>
      </c>
      <c r="B2246" s="1">
        <v>46165</v>
      </c>
      <c r="C2246" t="s">
        <v>3000</v>
      </c>
      <c r="D2246" t="s">
        <v>56</v>
      </c>
      <c r="E2246" t="s">
        <v>21</v>
      </c>
      <c r="F2246">
        <v>3</v>
      </c>
      <c r="G2246">
        <v>1999</v>
      </c>
      <c r="H2246">
        <v>0.15</v>
      </c>
      <c r="I2246" t="s">
        <v>50</v>
      </c>
      <c r="J2246" t="s">
        <v>51</v>
      </c>
      <c r="K2246" t="s">
        <v>37</v>
      </c>
      <c r="L2246">
        <f>F2245*G2245*(1-H2245)</f>
        <v>4497</v>
      </c>
    </row>
    <row r="2247" spans="1:12">
      <c r="A2247" t="s">
        <v>3026</v>
      </c>
      <c r="B2247" s="1">
        <v>46259</v>
      </c>
      <c r="C2247" t="s">
        <v>803</v>
      </c>
      <c r="D2247" t="s">
        <v>13</v>
      </c>
      <c r="E2247" t="s">
        <v>40</v>
      </c>
      <c r="F2247">
        <v>3</v>
      </c>
      <c r="G2247">
        <v>4999</v>
      </c>
      <c r="H2247">
        <v>0</v>
      </c>
      <c r="I2247" t="s">
        <v>32</v>
      </c>
      <c r="J2247" t="s">
        <v>28</v>
      </c>
      <c r="K2247" t="s">
        <v>17</v>
      </c>
      <c r="L2247">
        <f>F2246*G2246*(1-H2246)</f>
        <v>5097.45</v>
      </c>
    </row>
    <row r="2248" spans="1:12">
      <c r="A2248" t="s">
        <v>3027</v>
      </c>
      <c r="B2248" s="1">
        <v>46220</v>
      </c>
      <c r="C2248" t="s">
        <v>1165</v>
      </c>
      <c r="D2248" t="s">
        <v>56</v>
      </c>
      <c r="E2248" t="s">
        <v>40</v>
      </c>
      <c r="F2248">
        <v>4</v>
      </c>
      <c r="G2248">
        <v>999</v>
      </c>
      <c r="H2248">
        <v>0.05</v>
      </c>
      <c r="I2248" t="s">
        <v>15</v>
      </c>
      <c r="J2248" t="s">
        <v>22</v>
      </c>
      <c r="K2248" t="s">
        <v>37</v>
      </c>
      <c r="L2248">
        <f>F2247*G2247*(1-H2247)</f>
        <v>14997</v>
      </c>
    </row>
    <row r="2249" spans="1:12">
      <c r="A2249" t="s">
        <v>3028</v>
      </c>
      <c r="B2249" s="1">
        <v>46275</v>
      </c>
      <c r="C2249" t="s">
        <v>1211</v>
      </c>
      <c r="D2249" t="s">
        <v>62</v>
      </c>
      <c r="E2249" t="s">
        <v>35</v>
      </c>
      <c r="F2249">
        <v>1</v>
      </c>
      <c r="G2249">
        <v>799</v>
      </c>
      <c r="H2249">
        <v>0</v>
      </c>
      <c r="I2249" t="s">
        <v>32</v>
      </c>
      <c r="J2249" t="s">
        <v>22</v>
      </c>
      <c r="K2249" t="s">
        <v>17</v>
      </c>
      <c r="L2249">
        <f>F2248*G2248*(1-H2248)</f>
        <v>3796.2</v>
      </c>
    </row>
    <row r="2250" spans="1:12">
      <c r="A2250" t="s">
        <v>3029</v>
      </c>
      <c r="B2250" s="1">
        <v>46201</v>
      </c>
      <c r="C2250" t="s">
        <v>1958</v>
      </c>
      <c r="D2250" t="s">
        <v>13</v>
      </c>
      <c r="E2250" t="s">
        <v>21</v>
      </c>
      <c r="F2250">
        <v>2</v>
      </c>
      <c r="G2250">
        <v>7999</v>
      </c>
      <c r="H2250">
        <v>0</v>
      </c>
      <c r="I2250" t="s">
        <v>50</v>
      </c>
      <c r="J2250" t="s">
        <v>16</v>
      </c>
      <c r="K2250" t="s">
        <v>37</v>
      </c>
      <c r="L2250">
        <f>F2249*G2249*(1-H2249)</f>
        <v>799</v>
      </c>
    </row>
    <row r="2251" spans="1:12">
      <c r="A2251" t="s">
        <v>3030</v>
      </c>
      <c r="B2251" s="1">
        <v>46139</v>
      </c>
      <c r="C2251" t="s">
        <v>136</v>
      </c>
      <c r="D2251" t="s">
        <v>56</v>
      </c>
      <c r="E2251" t="s">
        <v>14</v>
      </c>
      <c r="F2251">
        <v>1</v>
      </c>
      <c r="G2251">
        <v>1999</v>
      </c>
      <c r="H2251">
        <v>0</v>
      </c>
      <c r="I2251" t="s">
        <v>15</v>
      </c>
      <c r="J2251" t="s">
        <v>51</v>
      </c>
      <c r="K2251" t="s">
        <v>23</v>
      </c>
      <c r="L2251">
        <f>F2250*G2250*(1-H2250)</f>
        <v>15998</v>
      </c>
    </row>
    <row r="2252" spans="1:12">
      <c r="A2252" t="s">
        <v>3031</v>
      </c>
      <c r="B2252" s="1">
        <v>46273</v>
      </c>
      <c r="C2252" t="s">
        <v>883</v>
      </c>
      <c r="D2252" t="s">
        <v>62</v>
      </c>
      <c r="E2252" t="s">
        <v>27</v>
      </c>
      <c r="F2252">
        <v>1</v>
      </c>
      <c r="G2252">
        <v>999</v>
      </c>
      <c r="H2252">
        <v>0</v>
      </c>
      <c r="I2252" t="s">
        <v>32</v>
      </c>
      <c r="J2252" t="s">
        <v>28</v>
      </c>
      <c r="K2252" t="s">
        <v>17</v>
      </c>
      <c r="L2252">
        <f>F2251*G2251*(1-H2251)</f>
        <v>1999</v>
      </c>
    </row>
    <row r="2253" spans="1:12">
      <c r="A2253" t="s">
        <v>3032</v>
      </c>
      <c r="B2253" s="1">
        <v>46031</v>
      </c>
      <c r="C2253" t="s">
        <v>570</v>
      </c>
      <c r="D2253" t="s">
        <v>20</v>
      </c>
      <c r="E2253" t="s">
        <v>35</v>
      </c>
      <c r="F2253">
        <v>1</v>
      </c>
      <c r="G2253">
        <v>1999</v>
      </c>
      <c r="H2253">
        <v>0</v>
      </c>
      <c r="I2253" t="s">
        <v>15</v>
      </c>
      <c r="J2253" t="s">
        <v>28</v>
      </c>
      <c r="K2253" t="s">
        <v>37</v>
      </c>
      <c r="L2253">
        <f>F2252*G2252*(1-H2252)</f>
        <v>999</v>
      </c>
    </row>
    <row r="2254" spans="1:12">
      <c r="A2254" t="s">
        <v>3033</v>
      </c>
      <c r="B2254" s="1">
        <v>46231</v>
      </c>
      <c r="C2254" t="s">
        <v>42</v>
      </c>
      <c r="D2254" t="s">
        <v>13</v>
      </c>
      <c r="E2254" t="s">
        <v>35</v>
      </c>
      <c r="F2254">
        <v>4</v>
      </c>
      <c r="G2254">
        <v>499</v>
      </c>
      <c r="H2254">
        <v>0.1</v>
      </c>
      <c r="I2254" t="s">
        <v>32</v>
      </c>
      <c r="J2254" t="s">
        <v>28</v>
      </c>
      <c r="K2254" t="s">
        <v>17</v>
      </c>
      <c r="L2254">
        <f>F2253*G2253*(1-H2253)</f>
        <v>1999</v>
      </c>
    </row>
    <row r="2255" spans="1:12">
      <c r="A2255" t="s">
        <v>3034</v>
      </c>
      <c r="B2255" s="1">
        <v>46283</v>
      </c>
      <c r="C2255" t="s">
        <v>573</v>
      </c>
      <c r="D2255" t="s">
        <v>62</v>
      </c>
      <c r="E2255" t="s">
        <v>27</v>
      </c>
      <c r="F2255">
        <v>5</v>
      </c>
      <c r="G2255">
        <v>799</v>
      </c>
      <c r="H2255">
        <v>0</v>
      </c>
      <c r="I2255" t="s">
        <v>32</v>
      </c>
      <c r="J2255" t="s">
        <v>28</v>
      </c>
      <c r="K2255" t="s">
        <v>17</v>
      </c>
      <c r="L2255">
        <f>F2254*G2254*(1-H2254)</f>
        <v>1796.4</v>
      </c>
    </row>
    <row r="2256" spans="1:12">
      <c r="A2256" t="s">
        <v>3035</v>
      </c>
      <c r="B2256" s="1">
        <v>46145</v>
      </c>
      <c r="C2256" t="s">
        <v>803</v>
      </c>
      <c r="D2256" t="s">
        <v>31</v>
      </c>
      <c r="E2256" t="s">
        <v>21</v>
      </c>
      <c r="F2256">
        <v>3</v>
      </c>
      <c r="G2256">
        <v>1299</v>
      </c>
      <c r="H2256">
        <v>0.15</v>
      </c>
      <c r="I2256" t="s">
        <v>32</v>
      </c>
      <c r="J2256" t="s">
        <v>22</v>
      </c>
      <c r="K2256" t="s">
        <v>23</v>
      </c>
      <c r="L2256">
        <f>F2255*G2255*(1-H2255)</f>
        <v>3995</v>
      </c>
    </row>
    <row r="2257" spans="1:12">
      <c r="A2257" t="s">
        <v>3036</v>
      </c>
      <c r="B2257" s="1">
        <v>46242</v>
      </c>
      <c r="C2257" t="s">
        <v>331</v>
      </c>
      <c r="D2257" t="s">
        <v>59</v>
      </c>
      <c r="E2257" t="s">
        <v>14</v>
      </c>
      <c r="F2257">
        <v>4</v>
      </c>
      <c r="G2257">
        <v>7999</v>
      </c>
      <c r="H2257">
        <v>0.05</v>
      </c>
      <c r="I2257" t="s">
        <v>47</v>
      </c>
      <c r="J2257" t="s">
        <v>28</v>
      </c>
      <c r="K2257" t="s">
        <v>23</v>
      </c>
      <c r="L2257">
        <f>F2256*G2256*(1-H2256)</f>
        <v>3312.45</v>
      </c>
    </row>
    <row r="2258" spans="1:12">
      <c r="A2258" t="s">
        <v>3037</v>
      </c>
      <c r="B2258" s="1">
        <v>46123</v>
      </c>
      <c r="C2258" t="s">
        <v>144</v>
      </c>
      <c r="D2258" t="s">
        <v>71</v>
      </c>
      <c r="E2258" t="s">
        <v>40</v>
      </c>
      <c r="F2258">
        <v>5</v>
      </c>
      <c r="G2258">
        <v>7999</v>
      </c>
      <c r="H2258">
        <v>0.05</v>
      </c>
      <c r="I2258" t="s">
        <v>32</v>
      </c>
      <c r="J2258" t="s">
        <v>28</v>
      </c>
      <c r="K2258" t="s">
        <v>17</v>
      </c>
      <c r="L2258">
        <f>F2257*G2257*(1-H2257)</f>
        <v>30396.199999999997</v>
      </c>
    </row>
    <row r="2259" spans="1:12">
      <c r="A2259" t="s">
        <v>3038</v>
      </c>
      <c r="B2259" s="1">
        <v>46232</v>
      </c>
      <c r="C2259" t="s">
        <v>3039</v>
      </c>
      <c r="D2259" t="s">
        <v>20</v>
      </c>
      <c r="E2259" t="s">
        <v>14</v>
      </c>
      <c r="F2259">
        <v>2</v>
      </c>
      <c r="G2259">
        <v>499</v>
      </c>
      <c r="H2259">
        <v>0.05</v>
      </c>
      <c r="I2259" t="s">
        <v>50</v>
      </c>
      <c r="J2259" t="s">
        <v>28</v>
      </c>
      <c r="K2259" t="s">
        <v>23</v>
      </c>
      <c r="L2259">
        <f>F2258*G2258*(1-H2258)</f>
        <v>37995.25</v>
      </c>
    </row>
    <row r="2260" spans="1:12">
      <c r="A2260" t="s">
        <v>3040</v>
      </c>
      <c r="B2260" s="1">
        <v>46154</v>
      </c>
      <c r="C2260" t="s">
        <v>1812</v>
      </c>
      <c r="D2260" t="s">
        <v>20</v>
      </c>
      <c r="E2260" t="s">
        <v>27</v>
      </c>
      <c r="F2260">
        <v>4</v>
      </c>
      <c r="G2260">
        <v>499</v>
      </c>
      <c r="H2260">
        <v>0</v>
      </c>
      <c r="I2260" t="s">
        <v>32</v>
      </c>
      <c r="J2260" t="s">
        <v>28</v>
      </c>
      <c r="K2260" t="s">
        <v>17</v>
      </c>
      <c r="L2260">
        <f>F2259*G2259*(1-H2259)</f>
        <v>948.09999999999991</v>
      </c>
    </row>
    <row r="2261" spans="1:12">
      <c r="A2261" t="s">
        <v>3041</v>
      </c>
      <c r="B2261" s="1">
        <v>46165</v>
      </c>
      <c r="C2261" t="s">
        <v>121</v>
      </c>
      <c r="D2261" t="s">
        <v>78</v>
      </c>
      <c r="E2261" t="s">
        <v>27</v>
      </c>
      <c r="F2261">
        <v>5</v>
      </c>
      <c r="G2261">
        <v>2499</v>
      </c>
      <c r="H2261">
        <v>0.15</v>
      </c>
      <c r="I2261" t="s">
        <v>50</v>
      </c>
      <c r="J2261" t="s">
        <v>16</v>
      </c>
      <c r="K2261" t="s">
        <v>23</v>
      </c>
      <c r="L2261">
        <f>F2260*G2260*(1-H2260)</f>
        <v>1996</v>
      </c>
    </row>
    <row r="2262" spans="1:12">
      <c r="A2262" t="s">
        <v>3042</v>
      </c>
      <c r="B2262" s="1">
        <v>46100</v>
      </c>
      <c r="C2262" t="s">
        <v>2755</v>
      </c>
      <c r="D2262" t="s">
        <v>56</v>
      </c>
      <c r="E2262" t="s">
        <v>21</v>
      </c>
      <c r="F2262">
        <v>1</v>
      </c>
      <c r="G2262">
        <v>599</v>
      </c>
      <c r="H2262">
        <v>0</v>
      </c>
      <c r="I2262" t="s">
        <v>32</v>
      </c>
      <c r="J2262" t="s">
        <v>36</v>
      </c>
      <c r="K2262" t="s">
        <v>37</v>
      </c>
      <c r="L2262">
        <f>F2261*G2261*(1-H2261)</f>
        <v>10620.75</v>
      </c>
    </row>
    <row r="2263" spans="1:12">
      <c r="A2263" t="s">
        <v>3043</v>
      </c>
      <c r="B2263" s="1">
        <v>46265</v>
      </c>
      <c r="C2263" t="s">
        <v>224</v>
      </c>
      <c r="D2263" t="s">
        <v>13</v>
      </c>
      <c r="E2263" t="s">
        <v>21</v>
      </c>
      <c r="F2263">
        <v>2</v>
      </c>
      <c r="G2263">
        <v>1499</v>
      </c>
      <c r="H2263">
        <v>0.05</v>
      </c>
      <c r="I2263" t="s">
        <v>44</v>
      </c>
      <c r="J2263" t="s">
        <v>16</v>
      </c>
      <c r="K2263" t="s">
        <v>23</v>
      </c>
      <c r="L2263">
        <f>F2262*G2262*(1-H2262)</f>
        <v>599</v>
      </c>
    </row>
    <row r="2264" spans="1:12">
      <c r="A2264" t="s">
        <v>3044</v>
      </c>
      <c r="B2264" s="1">
        <v>46281</v>
      </c>
      <c r="C2264" t="s">
        <v>1786</v>
      </c>
      <c r="D2264" t="s">
        <v>71</v>
      </c>
      <c r="E2264" t="s">
        <v>21</v>
      </c>
      <c r="F2264">
        <v>4</v>
      </c>
      <c r="G2264">
        <v>599</v>
      </c>
      <c r="H2264">
        <v>0.05</v>
      </c>
      <c r="I2264" t="s">
        <v>47</v>
      </c>
      <c r="J2264" t="s">
        <v>51</v>
      </c>
      <c r="K2264" t="s">
        <v>17</v>
      </c>
      <c r="L2264">
        <f>F2263*G2263*(1-H2263)</f>
        <v>2848.1</v>
      </c>
    </row>
    <row r="2265" spans="1:12">
      <c r="A2265" t="s">
        <v>3045</v>
      </c>
      <c r="B2265" s="1">
        <v>46255</v>
      </c>
      <c r="C2265" t="s">
        <v>1372</v>
      </c>
      <c r="D2265" t="s">
        <v>31</v>
      </c>
      <c r="E2265" t="s">
        <v>14</v>
      </c>
      <c r="F2265">
        <v>1</v>
      </c>
      <c r="G2265">
        <v>799</v>
      </c>
      <c r="H2265">
        <v>0</v>
      </c>
      <c r="I2265" t="s">
        <v>44</v>
      </c>
      <c r="J2265" t="s">
        <v>22</v>
      </c>
      <c r="K2265" t="s">
        <v>17</v>
      </c>
      <c r="L2265">
        <f>F2264*G2264*(1-H2264)</f>
        <v>2276.1999999999998</v>
      </c>
    </row>
    <row r="2266" spans="1:12">
      <c r="A2266" t="s">
        <v>3046</v>
      </c>
      <c r="B2266" s="1">
        <v>46152</v>
      </c>
      <c r="C2266" t="s">
        <v>359</v>
      </c>
      <c r="D2266" t="s">
        <v>62</v>
      </c>
      <c r="E2266" t="s">
        <v>40</v>
      </c>
      <c r="F2266">
        <v>3</v>
      </c>
      <c r="G2266">
        <v>599</v>
      </c>
      <c r="H2266">
        <v>0</v>
      </c>
      <c r="I2266" t="s">
        <v>32</v>
      </c>
      <c r="J2266" t="s">
        <v>51</v>
      </c>
      <c r="K2266" t="s">
        <v>17</v>
      </c>
      <c r="L2266">
        <f>F2265*G2265*(1-H2265)</f>
        <v>799</v>
      </c>
    </row>
    <row r="2267" spans="1:12">
      <c r="A2267" t="s">
        <v>3047</v>
      </c>
      <c r="B2267" s="1">
        <v>46171</v>
      </c>
      <c r="C2267" t="s">
        <v>969</v>
      </c>
      <c r="D2267" t="s">
        <v>59</v>
      </c>
      <c r="E2267" t="s">
        <v>40</v>
      </c>
      <c r="F2267">
        <v>5</v>
      </c>
      <c r="G2267">
        <v>1999</v>
      </c>
      <c r="H2267">
        <v>0.15</v>
      </c>
      <c r="I2267" t="s">
        <v>47</v>
      </c>
      <c r="J2267" t="s">
        <v>16</v>
      </c>
      <c r="K2267" t="s">
        <v>37</v>
      </c>
      <c r="L2267">
        <f>F2266*G2266*(1-H2266)</f>
        <v>1797</v>
      </c>
    </row>
    <row r="2268" spans="1:12">
      <c r="A2268" t="s">
        <v>3048</v>
      </c>
      <c r="B2268" s="1">
        <v>46122</v>
      </c>
      <c r="C2268" t="s">
        <v>2400</v>
      </c>
      <c r="D2268" t="s">
        <v>43</v>
      </c>
      <c r="E2268" t="s">
        <v>40</v>
      </c>
      <c r="F2268">
        <v>3</v>
      </c>
      <c r="G2268">
        <v>499</v>
      </c>
      <c r="H2268">
        <v>0.05</v>
      </c>
      <c r="I2268" t="s">
        <v>50</v>
      </c>
      <c r="J2268" t="s">
        <v>51</v>
      </c>
      <c r="K2268" t="s">
        <v>17</v>
      </c>
      <c r="L2268">
        <f>F2267*G2267*(1-H2267)</f>
        <v>8495.75</v>
      </c>
    </row>
    <row r="2269" spans="1:12">
      <c r="A2269" t="s">
        <v>3049</v>
      </c>
      <c r="B2269" s="1">
        <v>46210</v>
      </c>
      <c r="C2269" t="s">
        <v>2078</v>
      </c>
      <c r="D2269" t="s">
        <v>62</v>
      </c>
      <c r="E2269" t="s">
        <v>40</v>
      </c>
      <c r="F2269">
        <v>2</v>
      </c>
      <c r="G2269">
        <v>1999</v>
      </c>
      <c r="H2269">
        <v>0.15</v>
      </c>
      <c r="I2269" t="s">
        <v>47</v>
      </c>
      <c r="J2269" t="s">
        <v>36</v>
      </c>
      <c r="K2269" t="s">
        <v>17</v>
      </c>
      <c r="L2269">
        <f>F2268*G2268*(1-H2268)</f>
        <v>1422.1499999999999</v>
      </c>
    </row>
    <row r="2270" spans="1:12">
      <c r="A2270" t="s">
        <v>3050</v>
      </c>
      <c r="B2270" s="1">
        <v>46035</v>
      </c>
      <c r="C2270" t="s">
        <v>3015</v>
      </c>
      <c r="D2270" t="s">
        <v>59</v>
      </c>
      <c r="E2270" t="s">
        <v>40</v>
      </c>
      <c r="F2270">
        <v>5</v>
      </c>
      <c r="G2270">
        <v>1499</v>
      </c>
      <c r="H2270">
        <v>0.05</v>
      </c>
      <c r="I2270" t="s">
        <v>47</v>
      </c>
      <c r="J2270" t="s">
        <v>51</v>
      </c>
      <c r="K2270" t="s">
        <v>17</v>
      </c>
      <c r="L2270">
        <f>F2269*G2269*(1-H2269)</f>
        <v>3398.2999999999997</v>
      </c>
    </row>
    <row r="2271" spans="1:12">
      <c r="A2271" t="s">
        <v>3051</v>
      </c>
      <c r="B2271" s="1">
        <v>46123</v>
      </c>
      <c r="C2271" t="s">
        <v>1297</v>
      </c>
      <c r="D2271" t="s">
        <v>59</v>
      </c>
      <c r="E2271" t="s">
        <v>27</v>
      </c>
      <c r="F2271">
        <v>4</v>
      </c>
      <c r="G2271">
        <v>4999</v>
      </c>
      <c r="H2271">
        <v>0</v>
      </c>
      <c r="I2271" t="s">
        <v>32</v>
      </c>
      <c r="J2271" t="s">
        <v>51</v>
      </c>
      <c r="K2271" t="s">
        <v>23</v>
      </c>
      <c r="L2271">
        <f>F2270*G2270*(1-H2270)</f>
        <v>7120.25</v>
      </c>
    </row>
    <row r="2272" spans="1:12">
      <c r="A2272" t="s">
        <v>3052</v>
      </c>
      <c r="B2272" s="1">
        <v>46159</v>
      </c>
      <c r="C2272" t="s">
        <v>2400</v>
      </c>
      <c r="D2272" t="s">
        <v>56</v>
      </c>
      <c r="E2272" t="s">
        <v>35</v>
      </c>
      <c r="F2272">
        <v>1</v>
      </c>
      <c r="G2272">
        <v>599</v>
      </c>
      <c r="H2272">
        <v>0</v>
      </c>
      <c r="I2272" t="s">
        <v>47</v>
      </c>
      <c r="J2272" t="s">
        <v>16</v>
      </c>
      <c r="K2272" t="s">
        <v>17</v>
      </c>
      <c r="L2272">
        <f>F2271*G2271*(1-H2271)</f>
        <v>19996</v>
      </c>
    </row>
    <row r="2273" spans="1:12">
      <c r="A2273" t="s">
        <v>3053</v>
      </c>
      <c r="B2273" s="1">
        <v>46130</v>
      </c>
      <c r="C2273" t="s">
        <v>2579</v>
      </c>
      <c r="D2273" t="s">
        <v>71</v>
      </c>
      <c r="E2273" t="s">
        <v>14</v>
      </c>
      <c r="F2273">
        <v>5</v>
      </c>
      <c r="G2273">
        <v>1999</v>
      </c>
      <c r="H2273">
        <v>0</v>
      </c>
      <c r="I2273" t="s">
        <v>44</v>
      </c>
      <c r="J2273" t="s">
        <v>28</v>
      </c>
      <c r="K2273" t="s">
        <v>37</v>
      </c>
      <c r="L2273">
        <f>F2272*G2272*(1-H2272)</f>
        <v>599</v>
      </c>
    </row>
    <row r="2274" spans="1:12">
      <c r="A2274" t="s">
        <v>3054</v>
      </c>
      <c r="B2274" s="1">
        <v>46208</v>
      </c>
      <c r="C2274" t="s">
        <v>300</v>
      </c>
      <c r="D2274" t="s">
        <v>59</v>
      </c>
      <c r="E2274" t="s">
        <v>14</v>
      </c>
      <c r="F2274">
        <v>4</v>
      </c>
      <c r="G2274">
        <v>999</v>
      </c>
      <c r="H2274">
        <v>0.05</v>
      </c>
      <c r="I2274" t="s">
        <v>50</v>
      </c>
      <c r="J2274" t="s">
        <v>22</v>
      </c>
      <c r="K2274" t="s">
        <v>37</v>
      </c>
      <c r="L2274">
        <f>F2273*G2273*(1-H2273)</f>
        <v>9995</v>
      </c>
    </row>
    <row r="2275" spans="1:12">
      <c r="A2275" t="s">
        <v>3055</v>
      </c>
      <c r="B2275" s="1">
        <v>46041</v>
      </c>
      <c r="C2275" t="s">
        <v>717</v>
      </c>
      <c r="D2275" t="s">
        <v>62</v>
      </c>
      <c r="E2275" t="s">
        <v>27</v>
      </c>
      <c r="F2275">
        <v>2</v>
      </c>
      <c r="G2275">
        <v>4999</v>
      </c>
      <c r="H2275">
        <v>0</v>
      </c>
      <c r="I2275" t="s">
        <v>47</v>
      </c>
      <c r="J2275" t="s">
        <v>36</v>
      </c>
      <c r="K2275" t="s">
        <v>17</v>
      </c>
      <c r="L2275">
        <f>F2274*G2274*(1-H2274)</f>
        <v>3796.2</v>
      </c>
    </row>
    <row r="2276" spans="1:12">
      <c r="A2276" t="s">
        <v>3056</v>
      </c>
      <c r="B2276" s="1">
        <v>46275</v>
      </c>
      <c r="C2276" t="s">
        <v>837</v>
      </c>
      <c r="D2276" t="s">
        <v>56</v>
      </c>
      <c r="E2276" t="s">
        <v>27</v>
      </c>
      <c r="F2276">
        <v>3</v>
      </c>
      <c r="G2276">
        <v>799</v>
      </c>
      <c r="H2276">
        <v>0.15</v>
      </c>
      <c r="I2276" t="s">
        <v>50</v>
      </c>
      <c r="J2276" t="s">
        <v>51</v>
      </c>
      <c r="K2276" t="s">
        <v>37</v>
      </c>
      <c r="L2276">
        <f>F2275*G2275*(1-H2275)</f>
        <v>9998</v>
      </c>
    </row>
    <row r="2277" spans="1:12">
      <c r="A2277" t="s">
        <v>3057</v>
      </c>
      <c r="B2277" s="1">
        <v>46185</v>
      </c>
      <c r="C2277" t="s">
        <v>987</v>
      </c>
      <c r="D2277" t="s">
        <v>71</v>
      </c>
      <c r="E2277" t="s">
        <v>14</v>
      </c>
      <c r="F2277">
        <v>1</v>
      </c>
      <c r="G2277">
        <v>1499</v>
      </c>
      <c r="H2277">
        <v>0</v>
      </c>
      <c r="I2277" t="s">
        <v>32</v>
      </c>
      <c r="J2277" t="s">
        <v>16</v>
      </c>
      <c r="K2277" t="s">
        <v>17</v>
      </c>
      <c r="L2277">
        <f>F2276*G2276*(1-H2276)</f>
        <v>2037.45</v>
      </c>
    </row>
    <row r="2278" spans="1:12">
      <c r="A2278" t="s">
        <v>3058</v>
      </c>
      <c r="B2278" s="1">
        <v>46096</v>
      </c>
      <c r="C2278" t="s">
        <v>502</v>
      </c>
      <c r="D2278" t="s">
        <v>13</v>
      </c>
      <c r="E2278" t="s">
        <v>35</v>
      </c>
      <c r="F2278">
        <v>4</v>
      </c>
      <c r="G2278">
        <v>1999</v>
      </c>
      <c r="H2278">
        <v>0.1</v>
      </c>
      <c r="I2278" t="s">
        <v>50</v>
      </c>
      <c r="J2278" t="s">
        <v>22</v>
      </c>
      <c r="K2278" t="s">
        <v>37</v>
      </c>
      <c r="L2278">
        <f>F2277*G2277*(1-H2277)</f>
        <v>1499</v>
      </c>
    </row>
    <row r="2279" spans="1:12">
      <c r="A2279" t="s">
        <v>3059</v>
      </c>
      <c r="B2279" s="1">
        <v>46027</v>
      </c>
      <c r="C2279" t="s">
        <v>1444</v>
      </c>
      <c r="D2279" t="s">
        <v>31</v>
      </c>
      <c r="E2279" t="s">
        <v>27</v>
      </c>
      <c r="F2279">
        <v>4</v>
      </c>
      <c r="G2279">
        <v>1299</v>
      </c>
      <c r="H2279">
        <v>0</v>
      </c>
      <c r="I2279" t="s">
        <v>44</v>
      </c>
      <c r="J2279" t="s">
        <v>22</v>
      </c>
      <c r="K2279" t="s">
        <v>17</v>
      </c>
      <c r="L2279">
        <f>F2278*G2278*(1-H2278)</f>
        <v>7196.4000000000005</v>
      </c>
    </row>
    <row r="2280" spans="1:12">
      <c r="A2280" t="s">
        <v>3060</v>
      </c>
      <c r="B2280" s="1">
        <v>46248</v>
      </c>
      <c r="C2280" t="s">
        <v>2036</v>
      </c>
      <c r="D2280" t="s">
        <v>13</v>
      </c>
      <c r="E2280" t="s">
        <v>27</v>
      </c>
      <c r="F2280">
        <v>3</v>
      </c>
      <c r="G2280">
        <v>1999</v>
      </c>
      <c r="H2280">
        <v>0</v>
      </c>
      <c r="I2280" t="s">
        <v>50</v>
      </c>
      <c r="J2280" t="s">
        <v>22</v>
      </c>
      <c r="K2280" t="s">
        <v>17</v>
      </c>
      <c r="L2280">
        <f>F2279*G2279*(1-H2279)</f>
        <v>5196</v>
      </c>
    </row>
    <row r="2281" spans="1:12">
      <c r="A2281" t="s">
        <v>3061</v>
      </c>
      <c r="B2281" s="1">
        <v>46268</v>
      </c>
      <c r="C2281" t="s">
        <v>2040</v>
      </c>
      <c r="D2281" t="s">
        <v>13</v>
      </c>
      <c r="E2281" t="s">
        <v>14</v>
      </c>
      <c r="F2281">
        <v>3</v>
      </c>
      <c r="G2281">
        <v>4999</v>
      </c>
      <c r="H2281">
        <v>0</v>
      </c>
      <c r="I2281" t="s">
        <v>44</v>
      </c>
      <c r="J2281" t="s">
        <v>28</v>
      </c>
      <c r="K2281" t="s">
        <v>17</v>
      </c>
      <c r="L2281">
        <f>F2280*G2280*(1-H2280)</f>
        <v>5997</v>
      </c>
    </row>
    <row r="2282" spans="1:12">
      <c r="A2282" t="s">
        <v>3062</v>
      </c>
      <c r="B2282" s="1">
        <v>46189</v>
      </c>
      <c r="C2282" t="s">
        <v>2807</v>
      </c>
      <c r="D2282" t="s">
        <v>20</v>
      </c>
      <c r="E2282" t="s">
        <v>14</v>
      </c>
      <c r="F2282">
        <v>5</v>
      </c>
      <c r="G2282">
        <v>4999</v>
      </c>
      <c r="H2282">
        <v>0</v>
      </c>
      <c r="I2282" t="s">
        <v>15</v>
      </c>
      <c r="J2282" t="s">
        <v>22</v>
      </c>
      <c r="K2282" t="s">
        <v>17</v>
      </c>
      <c r="L2282">
        <f>F2281*G2281*(1-H2281)</f>
        <v>14997</v>
      </c>
    </row>
    <row r="2283" spans="1:12">
      <c r="A2283" t="s">
        <v>3063</v>
      </c>
      <c r="B2283" s="1">
        <v>46212</v>
      </c>
      <c r="C2283" t="s">
        <v>1750</v>
      </c>
      <c r="D2283" t="s">
        <v>71</v>
      </c>
      <c r="E2283" t="s">
        <v>35</v>
      </c>
      <c r="F2283">
        <v>1</v>
      </c>
      <c r="G2283">
        <v>499</v>
      </c>
      <c r="H2283">
        <v>0.1</v>
      </c>
      <c r="I2283" t="s">
        <v>32</v>
      </c>
      <c r="J2283" t="s">
        <v>36</v>
      </c>
      <c r="K2283" t="s">
        <v>37</v>
      </c>
      <c r="L2283">
        <f>F2282*G2282*(1-H2282)</f>
        <v>24995</v>
      </c>
    </row>
    <row r="2284" spans="1:12">
      <c r="A2284" t="s">
        <v>3064</v>
      </c>
      <c r="B2284" s="1">
        <v>46043</v>
      </c>
      <c r="C2284" t="s">
        <v>1130</v>
      </c>
      <c r="D2284" t="s">
        <v>20</v>
      </c>
      <c r="E2284" t="s">
        <v>27</v>
      </c>
      <c r="F2284">
        <v>4</v>
      </c>
      <c r="G2284">
        <v>1999</v>
      </c>
      <c r="H2284">
        <v>0.1</v>
      </c>
      <c r="I2284" t="s">
        <v>47</v>
      </c>
      <c r="J2284" t="s">
        <v>22</v>
      </c>
      <c r="K2284" t="s">
        <v>17</v>
      </c>
      <c r="L2284">
        <f>F2283*G2283*(1-H2283)</f>
        <v>449.1</v>
      </c>
    </row>
    <row r="2285" spans="1:12">
      <c r="A2285" t="s">
        <v>3065</v>
      </c>
      <c r="B2285" s="1">
        <v>46259</v>
      </c>
      <c r="C2285" t="s">
        <v>2182</v>
      </c>
      <c r="D2285" t="s">
        <v>43</v>
      </c>
      <c r="E2285" t="s">
        <v>14</v>
      </c>
      <c r="F2285">
        <v>5</v>
      </c>
      <c r="G2285">
        <v>7999</v>
      </c>
      <c r="H2285">
        <v>0</v>
      </c>
      <c r="I2285" t="s">
        <v>15</v>
      </c>
      <c r="J2285" t="s">
        <v>22</v>
      </c>
      <c r="K2285" t="s">
        <v>17</v>
      </c>
      <c r="L2285">
        <f>F2284*G2284*(1-H2284)</f>
        <v>7196.4000000000005</v>
      </c>
    </row>
    <row r="2286" spans="1:12">
      <c r="A2286" t="s">
        <v>3066</v>
      </c>
      <c r="B2286" s="1">
        <v>46106</v>
      </c>
      <c r="C2286" t="s">
        <v>1521</v>
      </c>
      <c r="D2286" t="s">
        <v>13</v>
      </c>
      <c r="E2286" t="s">
        <v>14</v>
      </c>
      <c r="F2286">
        <v>4</v>
      </c>
      <c r="G2286">
        <v>1299</v>
      </c>
      <c r="H2286">
        <v>0.15</v>
      </c>
      <c r="I2286" t="s">
        <v>32</v>
      </c>
      <c r="J2286" t="s">
        <v>36</v>
      </c>
      <c r="K2286" t="s">
        <v>17</v>
      </c>
      <c r="L2286">
        <f>F2285*G2285*(1-H2285)</f>
        <v>39995</v>
      </c>
    </row>
    <row r="2287" spans="1:12">
      <c r="A2287" t="s">
        <v>3067</v>
      </c>
      <c r="B2287" s="1">
        <v>46275</v>
      </c>
      <c r="C2287" t="s">
        <v>130</v>
      </c>
      <c r="D2287" t="s">
        <v>43</v>
      </c>
      <c r="E2287" t="s">
        <v>27</v>
      </c>
      <c r="F2287">
        <v>5</v>
      </c>
      <c r="G2287">
        <v>599</v>
      </c>
      <c r="H2287">
        <v>0</v>
      </c>
      <c r="I2287" t="s">
        <v>44</v>
      </c>
      <c r="J2287" t="s">
        <v>36</v>
      </c>
      <c r="K2287" t="s">
        <v>17</v>
      </c>
      <c r="L2287">
        <f>F2286*G2286*(1-H2286)</f>
        <v>4416.5999999999995</v>
      </c>
    </row>
    <row r="2288" spans="1:12">
      <c r="A2288" t="s">
        <v>3068</v>
      </c>
      <c r="B2288" s="1">
        <v>46065</v>
      </c>
      <c r="C2288" t="s">
        <v>1563</v>
      </c>
      <c r="D2288" t="s">
        <v>78</v>
      </c>
      <c r="E2288" t="s">
        <v>21</v>
      </c>
      <c r="F2288">
        <v>1</v>
      </c>
      <c r="G2288">
        <v>2499</v>
      </c>
      <c r="H2288">
        <v>0.05</v>
      </c>
      <c r="I2288" t="s">
        <v>50</v>
      </c>
      <c r="J2288" t="s">
        <v>28</v>
      </c>
      <c r="K2288" t="s">
        <v>17</v>
      </c>
      <c r="L2288">
        <f>F2287*G2287*(1-H2287)</f>
        <v>2995</v>
      </c>
    </row>
    <row r="2289" spans="1:12">
      <c r="A2289" t="s">
        <v>3069</v>
      </c>
      <c r="B2289" s="1">
        <v>46032</v>
      </c>
      <c r="C2289" t="s">
        <v>292</v>
      </c>
      <c r="D2289" t="s">
        <v>78</v>
      </c>
      <c r="E2289" t="s">
        <v>27</v>
      </c>
      <c r="F2289">
        <v>2</v>
      </c>
      <c r="G2289">
        <v>599</v>
      </c>
      <c r="H2289">
        <v>0.1</v>
      </c>
      <c r="I2289" t="s">
        <v>47</v>
      </c>
      <c r="J2289" t="s">
        <v>16</v>
      </c>
      <c r="K2289" t="s">
        <v>17</v>
      </c>
      <c r="L2289">
        <f>F2288*G2288*(1-H2288)</f>
        <v>2374.0499999999997</v>
      </c>
    </row>
    <row r="2290" spans="1:12">
      <c r="A2290" t="s">
        <v>3070</v>
      </c>
      <c r="B2290" s="1">
        <v>46270</v>
      </c>
      <c r="C2290" t="s">
        <v>626</v>
      </c>
      <c r="D2290" t="s">
        <v>56</v>
      </c>
      <c r="E2290" t="s">
        <v>27</v>
      </c>
      <c r="F2290">
        <v>4</v>
      </c>
      <c r="G2290">
        <v>4999</v>
      </c>
      <c r="H2290">
        <v>0</v>
      </c>
      <c r="I2290" t="s">
        <v>47</v>
      </c>
      <c r="J2290" t="s">
        <v>51</v>
      </c>
      <c r="K2290" t="s">
        <v>37</v>
      </c>
      <c r="L2290">
        <f>F2289*G2289*(1-H2289)</f>
        <v>1078.2</v>
      </c>
    </row>
    <row r="2291" spans="1:12">
      <c r="A2291" t="s">
        <v>3071</v>
      </c>
      <c r="B2291" s="1">
        <v>46220</v>
      </c>
      <c r="C2291" t="s">
        <v>3072</v>
      </c>
      <c r="D2291" t="s">
        <v>71</v>
      </c>
      <c r="E2291" t="s">
        <v>40</v>
      </c>
      <c r="F2291">
        <v>1</v>
      </c>
      <c r="G2291">
        <v>999</v>
      </c>
      <c r="H2291">
        <v>0</v>
      </c>
      <c r="I2291" t="s">
        <v>47</v>
      </c>
      <c r="J2291" t="s">
        <v>51</v>
      </c>
      <c r="K2291" t="s">
        <v>37</v>
      </c>
      <c r="L2291">
        <f>F2290*G2290*(1-H2290)</f>
        <v>19996</v>
      </c>
    </row>
    <row r="2292" spans="1:12">
      <c r="A2292" t="s">
        <v>3073</v>
      </c>
      <c r="B2292" s="1">
        <v>46274</v>
      </c>
      <c r="C2292" t="s">
        <v>656</v>
      </c>
      <c r="D2292" t="s">
        <v>26</v>
      </c>
      <c r="E2292" t="s">
        <v>27</v>
      </c>
      <c r="F2292">
        <v>2</v>
      </c>
      <c r="G2292">
        <v>599</v>
      </c>
      <c r="H2292">
        <v>0</v>
      </c>
      <c r="I2292" t="s">
        <v>44</v>
      </c>
      <c r="J2292" t="s">
        <v>16</v>
      </c>
      <c r="K2292" t="s">
        <v>23</v>
      </c>
      <c r="L2292">
        <f>F2291*G2291*(1-H2291)</f>
        <v>999</v>
      </c>
    </row>
    <row r="2293" spans="1:12">
      <c r="A2293" t="s">
        <v>3074</v>
      </c>
      <c r="B2293" s="1">
        <v>46166</v>
      </c>
      <c r="C2293" t="s">
        <v>1800</v>
      </c>
      <c r="D2293" t="s">
        <v>78</v>
      </c>
      <c r="E2293" t="s">
        <v>14</v>
      </c>
      <c r="F2293">
        <v>5</v>
      </c>
      <c r="G2293">
        <v>4999</v>
      </c>
      <c r="H2293">
        <v>0.15</v>
      </c>
      <c r="I2293" t="s">
        <v>47</v>
      </c>
      <c r="J2293" t="s">
        <v>22</v>
      </c>
      <c r="K2293" t="s">
        <v>23</v>
      </c>
      <c r="L2293">
        <f>F2292*G2292*(1-H2292)</f>
        <v>1198</v>
      </c>
    </row>
    <row r="2294" spans="1:12">
      <c r="A2294" t="s">
        <v>3075</v>
      </c>
      <c r="B2294" s="1">
        <v>46282</v>
      </c>
      <c r="C2294" t="s">
        <v>517</v>
      </c>
      <c r="D2294" t="s">
        <v>62</v>
      </c>
      <c r="E2294" t="s">
        <v>21</v>
      </c>
      <c r="F2294">
        <v>4</v>
      </c>
      <c r="G2294">
        <v>4999</v>
      </c>
      <c r="H2294">
        <v>0</v>
      </c>
      <c r="I2294" t="s">
        <v>47</v>
      </c>
      <c r="J2294" t="s">
        <v>22</v>
      </c>
      <c r="K2294" t="s">
        <v>17</v>
      </c>
      <c r="L2294">
        <f>F2293*G2293*(1-H2293)</f>
        <v>21245.75</v>
      </c>
    </row>
    <row r="2295" spans="1:12">
      <c r="A2295" t="s">
        <v>3076</v>
      </c>
      <c r="B2295" s="1">
        <v>46148</v>
      </c>
      <c r="C2295" t="s">
        <v>2338</v>
      </c>
      <c r="D2295" t="s">
        <v>56</v>
      </c>
      <c r="E2295" t="s">
        <v>21</v>
      </c>
      <c r="F2295">
        <v>1</v>
      </c>
      <c r="G2295">
        <v>1999</v>
      </c>
      <c r="H2295">
        <v>0.15</v>
      </c>
      <c r="I2295" t="s">
        <v>32</v>
      </c>
      <c r="J2295" t="s">
        <v>28</v>
      </c>
      <c r="K2295" t="s">
        <v>23</v>
      </c>
      <c r="L2295">
        <f>F2294*G2294*(1-H2294)</f>
        <v>19996</v>
      </c>
    </row>
    <row r="2296" spans="1:12">
      <c r="A2296" t="s">
        <v>3077</v>
      </c>
      <c r="B2296" s="1">
        <v>46171</v>
      </c>
      <c r="C2296" t="s">
        <v>2644</v>
      </c>
      <c r="D2296" t="s">
        <v>62</v>
      </c>
      <c r="E2296" t="s">
        <v>40</v>
      </c>
      <c r="F2296">
        <v>4</v>
      </c>
      <c r="G2296">
        <v>1299</v>
      </c>
      <c r="H2296">
        <v>0.15</v>
      </c>
      <c r="I2296" t="s">
        <v>32</v>
      </c>
      <c r="J2296" t="s">
        <v>36</v>
      </c>
      <c r="K2296" t="s">
        <v>17</v>
      </c>
      <c r="L2296">
        <f>F2295*G2295*(1-H2295)</f>
        <v>1699.1499999999999</v>
      </c>
    </row>
    <row r="2297" spans="1:12">
      <c r="A2297" t="s">
        <v>3078</v>
      </c>
      <c r="B2297" s="1">
        <v>46087</v>
      </c>
      <c r="C2297" t="s">
        <v>2701</v>
      </c>
      <c r="D2297" t="s">
        <v>43</v>
      </c>
      <c r="E2297" t="s">
        <v>35</v>
      </c>
      <c r="F2297">
        <v>2</v>
      </c>
      <c r="G2297">
        <v>1999</v>
      </c>
      <c r="H2297">
        <v>0</v>
      </c>
      <c r="I2297" t="s">
        <v>44</v>
      </c>
      <c r="J2297" t="s">
        <v>36</v>
      </c>
      <c r="K2297" t="s">
        <v>23</v>
      </c>
      <c r="L2297">
        <f>F2296*G2296*(1-H2296)</f>
        <v>4416.5999999999995</v>
      </c>
    </row>
    <row r="2298" spans="1:12">
      <c r="A2298" t="s">
        <v>3079</v>
      </c>
      <c r="B2298" s="1">
        <v>46171</v>
      </c>
      <c r="C2298" t="s">
        <v>2295</v>
      </c>
      <c r="D2298" t="s">
        <v>20</v>
      </c>
      <c r="E2298" t="s">
        <v>27</v>
      </c>
      <c r="F2298">
        <v>1</v>
      </c>
      <c r="G2298">
        <v>599</v>
      </c>
      <c r="H2298">
        <v>0.15</v>
      </c>
      <c r="I2298" t="s">
        <v>15</v>
      </c>
      <c r="J2298" t="s">
        <v>16</v>
      </c>
      <c r="K2298" t="s">
        <v>17</v>
      </c>
      <c r="L2298">
        <f>F2297*G2297*(1-H2297)</f>
        <v>3998</v>
      </c>
    </row>
    <row r="2299" spans="1:12">
      <c r="A2299" t="s">
        <v>3080</v>
      </c>
      <c r="B2299" s="1">
        <v>46123</v>
      </c>
      <c r="C2299" t="s">
        <v>1074</v>
      </c>
      <c r="D2299" t="s">
        <v>31</v>
      </c>
      <c r="E2299" t="s">
        <v>14</v>
      </c>
      <c r="F2299">
        <v>2</v>
      </c>
      <c r="G2299">
        <v>1499</v>
      </c>
      <c r="H2299">
        <v>0</v>
      </c>
      <c r="I2299" t="s">
        <v>32</v>
      </c>
      <c r="J2299" t="s">
        <v>16</v>
      </c>
      <c r="K2299" t="s">
        <v>17</v>
      </c>
      <c r="L2299">
        <f>F2298*G2298*(1-H2298)</f>
        <v>509.15</v>
      </c>
    </row>
    <row r="2300" spans="1:12">
      <c r="A2300" t="s">
        <v>3081</v>
      </c>
      <c r="B2300" s="1">
        <v>46267</v>
      </c>
      <c r="C2300" t="s">
        <v>1845</v>
      </c>
      <c r="D2300" t="s">
        <v>43</v>
      </c>
      <c r="E2300" t="s">
        <v>21</v>
      </c>
      <c r="F2300">
        <v>1</v>
      </c>
      <c r="G2300">
        <v>799</v>
      </c>
      <c r="H2300">
        <v>0</v>
      </c>
      <c r="I2300" t="s">
        <v>47</v>
      </c>
      <c r="J2300" t="s">
        <v>16</v>
      </c>
      <c r="K2300" t="s">
        <v>17</v>
      </c>
      <c r="L2300">
        <f>F2299*G2299*(1-H2299)</f>
        <v>2998</v>
      </c>
    </row>
    <row r="2301" spans="1:12">
      <c r="A2301" t="s">
        <v>3082</v>
      </c>
      <c r="B2301" s="1">
        <v>46286</v>
      </c>
      <c r="C2301" t="s">
        <v>477</v>
      </c>
      <c r="D2301" t="s">
        <v>31</v>
      </c>
      <c r="E2301" t="s">
        <v>40</v>
      </c>
      <c r="F2301">
        <v>2</v>
      </c>
      <c r="G2301">
        <v>4999</v>
      </c>
      <c r="H2301">
        <v>0.05</v>
      </c>
      <c r="I2301" t="s">
        <v>47</v>
      </c>
      <c r="J2301" t="s">
        <v>16</v>
      </c>
      <c r="K2301" t="s">
        <v>17</v>
      </c>
      <c r="L2301">
        <f>F2300*G2300*(1-H2300)</f>
        <v>799</v>
      </c>
    </row>
    <row r="2302" spans="1:12">
      <c r="A2302" t="s">
        <v>3083</v>
      </c>
      <c r="B2302" s="1">
        <v>46195</v>
      </c>
      <c r="C2302" t="s">
        <v>610</v>
      </c>
      <c r="D2302" t="s">
        <v>20</v>
      </c>
      <c r="E2302" t="s">
        <v>14</v>
      </c>
      <c r="F2302">
        <v>4</v>
      </c>
      <c r="G2302">
        <v>1999</v>
      </c>
      <c r="H2302">
        <v>0.05</v>
      </c>
      <c r="I2302" t="s">
        <v>32</v>
      </c>
      <c r="J2302" t="s">
        <v>16</v>
      </c>
      <c r="K2302" t="s">
        <v>37</v>
      </c>
      <c r="L2302">
        <f>F2301*G2301*(1-H2301)</f>
        <v>9498.1</v>
      </c>
    </row>
    <row r="2303" spans="1:12">
      <c r="A2303" t="s">
        <v>3084</v>
      </c>
      <c r="B2303" s="1">
        <v>46174</v>
      </c>
      <c r="C2303" t="s">
        <v>80</v>
      </c>
      <c r="D2303" t="s">
        <v>59</v>
      </c>
      <c r="E2303" t="s">
        <v>35</v>
      </c>
      <c r="F2303">
        <v>2</v>
      </c>
      <c r="G2303">
        <v>999</v>
      </c>
      <c r="H2303">
        <v>0.05</v>
      </c>
      <c r="I2303" t="s">
        <v>32</v>
      </c>
      <c r="J2303" t="s">
        <v>51</v>
      </c>
      <c r="K2303" t="s">
        <v>17</v>
      </c>
      <c r="L2303">
        <f>F2302*G2302*(1-H2302)</f>
        <v>7596.2</v>
      </c>
    </row>
    <row r="2304" spans="1:12">
      <c r="A2304" t="s">
        <v>3085</v>
      </c>
      <c r="B2304" s="1">
        <v>46242</v>
      </c>
      <c r="C2304" t="s">
        <v>1136</v>
      </c>
      <c r="D2304" t="s">
        <v>43</v>
      </c>
      <c r="E2304" t="s">
        <v>14</v>
      </c>
      <c r="F2304">
        <v>4</v>
      </c>
      <c r="G2304">
        <v>2499</v>
      </c>
      <c r="H2304">
        <v>0.1</v>
      </c>
      <c r="I2304" t="s">
        <v>50</v>
      </c>
      <c r="J2304" t="s">
        <v>28</v>
      </c>
      <c r="K2304" t="s">
        <v>17</v>
      </c>
      <c r="L2304">
        <f>F2303*G2303*(1-H2303)</f>
        <v>1898.1</v>
      </c>
    </row>
    <row r="2305" spans="1:12">
      <c r="A2305" t="s">
        <v>3086</v>
      </c>
      <c r="B2305" s="1">
        <v>46124</v>
      </c>
      <c r="C2305" t="s">
        <v>2083</v>
      </c>
      <c r="D2305" t="s">
        <v>78</v>
      </c>
      <c r="E2305" t="s">
        <v>27</v>
      </c>
      <c r="F2305">
        <v>1</v>
      </c>
      <c r="G2305">
        <v>999</v>
      </c>
      <c r="H2305">
        <v>0.1</v>
      </c>
      <c r="I2305" t="s">
        <v>47</v>
      </c>
      <c r="J2305" t="s">
        <v>28</v>
      </c>
      <c r="K2305" t="s">
        <v>23</v>
      </c>
      <c r="L2305">
        <f>F2304*G2304*(1-H2304)</f>
        <v>8996.4</v>
      </c>
    </row>
    <row r="2306" spans="1:12">
      <c r="A2306" t="s">
        <v>3087</v>
      </c>
      <c r="B2306" s="1">
        <v>46235</v>
      </c>
      <c r="C2306" t="s">
        <v>993</v>
      </c>
      <c r="D2306" t="s">
        <v>59</v>
      </c>
      <c r="E2306" t="s">
        <v>35</v>
      </c>
      <c r="F2306">
        <v>1</v>
      </c>
      <c r="G2306">
        <v>499</v>
      </c>
      <c r="H2306">
        <v>0.1</v>
      </c>
      <c r="I2306" t="s">
        <v>50</v>
      </c>
      <c r="J2306" t="s">
        <v>16</v>
      </c>
      <c r="K2306" t="s">
        <v>17</v>
      </c>
      <c r="L2306">
        <f>F2305*G2305*(1-H2305)</f>
        <v>899.1</v>
      </c>
    </row>
    <row r="2307" spans="1:12">
      <c r="A2307" t="s">
        <v>3088</v>
      </c>
      <c r="B2307" s="1">
        <v>46075</v>
      </c>
      <c r="C2307" t="s">
        <v>2825</v>
      </c>
      <c r="D2307" t="s">
        <v>31</v>
      </c>
      <c r="E2307" t="s">
        <v>14</v>
      </c>
      <c r="F2307">
        <v>2</v>
      </c>
      <c r="G2307">
        <v>1999</v>
      </c>
      <c r="H2307">
        <v>0.15</v>
      </c>
      <c r="I2307" t="s">
        <v>32</v>
      </c>
      <c r="J2307" t="s">
        <v>22</v>
      </c>
      <c r="K2307" t="s">
        <v>23</v>
      </c>
      <c r="L2307">
        <f>F2306*G2306*(1-H2306)</f>
        <v>449.1</v>
      </c>
    </row>
    <row r="2308" spans="1:12">
      <c r="A2308" t="s">
        <v>3089</v>
      </c>
      <c r="B2308" s="1">
        <v>46226</v>
      </c>
      <c r="C2308" t="s">
        <v>1566</v>
      </c>
      <c r="D2308" t="s">
        <v>62</v>
      </c>
      <c r="E2308" t="s">
        <v>21</v>
      </c>
      <c r="F2308">
        <v>4</v>
      </c>
      <c r="G2308">
        <v>4999</v>
      </c>
      <c r="H2308">
        <v>0</v>
      </c>
      <c r="I2308" t="s">
        <v>50</v>
      </c>
      <c r="J2308" t="s">
        <v>51</v>
      </c>
      <c r="K2308" t="s">
        <v>17</v>
      </c>
      <c r="L2308">
        <f>F2307*G2307*(1-H2307)</f>
        <v>3398.2999999999997</v>
      </c>
    </row>
    <row r="2309" spans="1:12">
      <c r="A2309" t="s">
        <v>3090</v>
      </c>
      <c r="B2309" s="1">
        <v>46119</v>
      </c>
      <c r="C2309" t="s">
        <v>1750</v>
      </c>
      <c r="D2309" t="s">
        <v>78</v>
      </c>
      <c r="E2309" t="s">
        <v>21</v>
      </c>
      <c r="F2309">
        <v>5</v>
      </c>
      <c r="G2309">
        <v>1499</v>
      </c>
      <c r="H2309">
        <v>0.15</v>
      </c>
      <c r="I2309" t="s">
        <v>32</v>
      </c>
      <c r="J2309" t="s">
        <v>28</v>
      </c>
      <c r="K2309" t="s">
        <v>17</v>
      </c>
      <c r="L2309">
        <f>F2308*G2308*(1-H2308)</f>
        <v>19996</v>
      </c>
    </row>
    <row r="2310" spans="1:12">
      <c r="A2310" t="s">
        <v>3091</v>
      </c>
      <c r="B2310" s="1">
        <v>46218</v>
      </c>
      <c r="C2310" t="s">
        <v>1489</v>
      </c>
      <c r="D2310" t="s">
        <v>13</v>
      </c>
      <c r="E2310" t="s">
        <v>35</v>
      </c>
      <c r="F2310">
        <v>5</v>
      </c>
      <c r="G2310">
        <v>799</v>
      </c>
      <c r="H2310">
        <v>0.1</v>
      </c>
      <c r="I2310" t="s">
        <v>32</v>
      </c>
      <c r="J2310" t="s">
        <v>51</v>
      </c>
      <c r="K2310" t="s">
        <v>17</v>
      </c>
      <c r="L2310">
        <f>F2309*G2309*(1-H2309)</f>
        <v>6370.75</v>
      </c>
    </row>
    <row r="2311" spans="1:12">
      <c r="A2311" t="s">
        <v>3092</v>
      </c>
      <c r="B2311" s="1">
        <v>46097</v>
      </c>
      <c r="C2311" t="s">
        <v>3039</v>
      </c>
      <c r="D2311" t="s">
        <v>62</v>
      </c>
      <c r="E2311" t="s">
        <v>14</v>
      </c>
      <c r="F2311">
        <v>2</v>
      </c>
      <c r="G2311">
        <v>1999</v>
      </c>
      <c r="H2311">
        <v>0</v>
      </c>
      <c r="I2311" t="s">
        <v>32</v>
      </c>
      <c r="J2311" t="s">
        <v>28</v>
      </c>
      <c r="K2311" t="s">
        <v>37</v>
      </c>
      <c r="L2311">
        <f>F2310*G2310*(1-H2310)</f>
        <v>3595.5</v>
      </c>
    </row>
    <row r="2312" spans="1:12">
      <c r="A2312" t="s">
        <v>3093</v>
      </c>
      <c r="B2312" s="1">
        <v>46165</v>
      </c>
      <c r="C2312" t="s">
        <v>1572</v>
      </c>
      <c r="D2312" t="s">
        <v>31</v>
      </c>
      <c r="E2312" t="s">
        <v>14</v>
      </c>
      <c r="F2312">
        <v>3</v>
      </c>
      <c r="G2312">
        <v>1499</v>
      </c>
      <c r="H2312">
        <v>0.1</v>
      </c>
      <c r="I2312" t="s">
        <v>47</v>
      </c>
      <c r="J2312" t="s">
        <v>28</v>
      </c>
      <c r="K2312" t="s">
        <v>17</v>
      </c>
      <c r="L2312">
        <f>F2311*G2311*(1-H2311)</f>
        <v>3998</v>
      </c>
    </row>
    <row r="2313" spans="1:12">
      <c r="A2313" t="s">
        <v>3094</v>
      </c>
      <c r="B2313" s="1">
        <v>46078</v>
      </c>
      <c r="C2313" t="s">
        <v>219</v>
      </c>
      <c r="D2313" t="s">
        <v>59</v>
      </c>
      <c r="E2313" t="s">
        <v>27</v>
      </c>
      <c r="F2313">
        <v>3</v>
      </c>
      <c r="G2313">
        <v>799</v>
      </c>
      <c r="H2313">
        <v>0.15</v>
      </c>
      <c r="I2313" t="s">
        <v>15</v>
      </c>
      <c r="J2313" t="s">
        <v>16</v>
      </c>
      <c r="K2313" t="s">
        <v>17</v>
      </c>
      <c r="L2313">
        <f>F2312*G2312*(1-H2312)</f>
        <v>4047.3</v>
      </c>
    </row>
    <row r="2314" spans="1:12">
      <c r="A2314" t="s">
        <v>3095</v>
      </c>
      <c r="B2314" s="1">
        <v>46253</v>
      </c>
      <c r="C2314" t="s">
        <v>419</v>
      </c>
      <c r="D2314" t="s">
        <v>13</v>
      </c>
      <c r="E2314" t="s">
        <v>35</v>
      </c>
      <c r="F2314">
        <v>4</v>
      </c>
      <c r="G2314">
        <v>2499</v>
      </c>
      <c r="H2314">
        <v>0.05</v>
      </c>
      <c r="I2314" t="s">
        <v>32</v>
      </c>
      <c r="J2314" t="s">
        <v>36</v>
      </c>
      <c r="K2314" t="s">
        <v>37</v>
      </c>
      <c r="L2314">
        <f>F2313*G2313*(1-H2313)</f>
        <v>2037.45</v>
      </c>
    </row>
    <row r="2315" spans="1:12">
      <c r="A2315" t="s">
        <v>3096</v>
      </c>
      <c r="B2315" s="1">
        <v>46137</v>
      </c>
      <c r="C2315" t="s">
        <v>502</v>
      </c>
      <c r="D2315" t="s">
        <v>13</v>
      </c>
      <c r="E2315" t="s">
        <v>27</v>
      </c>
      <c r="F2315">
        <v>5</v>
      </c>
      <c r="G2315">
        <v>2499</v>
      </c>
      <c r="H2315">
        <v>0.05</v>
      </c>
      <c r="I2315" t="s">
        <v>15</v>
      </c>
      <c r="J2315" t="s">
        <v>22</v>
      </c>
      <c r="K2315" t="s">
        <v>17</v>
      </c>
      <c r="L2315">
        <f>F2314*G2314*(1-H2314)</f>
        <v>9496.1999999999989</v>
      </c>
    </row>
    <row r="2316" spans="1:12">
      <c r="A2316" t="s">
        <v>3097</v>
      </c>
      <c r="B2316" s="1">
        <v>46067</v>
      </c>
      <c r="C2316" t="s">
        <v>1695</v>
      </c>
      <c r="D2316" t="s">
        <v>71</v>
      </c>
      <c r="E2316" t="s">
        <v>40</v>
      </c>
      <c r="F2316">
        <v>5</v>
      </c>
      <c r="G2316">
        <v>7999</v>
      </c>
      <c r="H2316">
        <v>0</v>
      </c>
      <c r="I2316" t="s">
        <v>44</v>
      </c>
      <c r="J2316" t="s">
        <v>28</v>
      </c>
      <c r="K2316" t="s">
        <v>17</v>
      </c>
      <c r="L2316">
        <f>F2315*G2315*(1-H2315)</f>
        <v>11870.25</v>
      </c>
    </row>
    <row r="2317" spans="1:12">
      <c r="A2317" t="s">
        <v>3098</v>
      </c>
      <c r="B2317" s="1">
        <v>46160</v>
      </c>
      <c r="C2317" t="s">
        <v>1020</v>
      </c>
      <c r="D2317" t="s">
        <v>78</v>
      </c>
      <c r="E2317" t="s">
        <v>35</v>
      </c>
      <c r="F2317">
        <v>4</v>
      </c>
      <c r="G2317">
        <v>1499</v>
      </c>
      <c r="H2317">
        <v>0.1</v>
      </c>
      <c r="I2317" t="s">
        <v>15</v>
      </c>
      <c r="J2317" t="s">
        <v>51</v>
      </c>
      <c r="K2317" t="s">
        <v>23</v>
      </c>
      <c r="L2317">
        <f>F2316*G2316*(1-H2316)</f>
        <v>39995</v>
      </c>
    </row>
    <row r="2318" spans="1:12">
      <c r="A2318" t="s">
        <v>3099</v>
      </c>
      <c r="B2318" s="1">
        <v>46096</v>
      </c>
      <c r="C2318" t="s">
        <v>1889</v>
      </c>
      <c r="D2318" t="s">
        <v>71</v>
      </c>
      <c r="E2318" t="s">
        <v>35</v>
      </c>
      <c r="F2318">
        <v>4</v>
      </c>
      <c r="G2318">
        <v>599</v>
      </c>
      <c r="H2318">
        <v>0</v>
      </c>
      <c r="I2318" t="s">
        <v>47</v>
      </c>
      <c r="J2318" t="s">
        <v>22</v>
      </c>
      <c r="K2318" t="s">
        <v>17</v>
      </c>
      <c r="L2318">
        <f>F2317*G2317*(1-H2317)</f>
        <v>5396.4000000000005</v>
      </c>
    </row>
    <row r="2319" spans="1:12">
      <c r="A2319" t="s">
        <v>3100</v>
      </c>
      <c r="B2319" s="1">
        <v>46112</v>
      </c>
      <c r="C2319" t="s">
        <v>1134</v>
      </c>
      <c r="D2319" t="s">
        <v>13</v>
      </c>
      <c r="E2319" t="s">
        <v>40</v>
      </c>
      <c r="F2319">
        <v>2</v>
      </c>
      <c r="G2319">
        <v>2499</v>
      </c>
      <c r="H2319">
        <v>0.15</v>
      </c>
      <c r="I2319" t="s">
        <v>44</v>
      </c>
      <c r="J2319" t="s">
        <v>36</v>
      </c>
      <c r="K2319" t="s">
        <v>17</v>
      </c>
      <c r="L2319">
        <f>F2318*G2318*(1-H2318)</f>
        <v>2396</v>
      </c>
    </row>
    <row r="2320" spans="1:12">
      <c r="A2320" t="s">
        <v>3101</v>
      </c>
      <c r="B2320" s="1">
        <v>46222</v>
      </c>
      <c r="C2320" t="s">
        <v>923</v>
      </c>
      <c r="D2320" t="s">
        <v>59</v>
      </c>
      <c r="E2320" t="s">
        <v>21</v>
      </c>
      <c r="F2320">
        <v>5</v>
      </c>
      <c r="G2320">
        <v>999</v>
      </c>
      <c r="H2320">
        <v>0.1</v>
      </c>
      <c r="I2320" t="s">
        <v>32</v>
      </c>
      <c r="J2320" t="s">
        <v>28</v>
      </c>
      <c r="K2320" t="s">
        <v>17</v>
      </c>
      <c r="L2320">
        <f>F2319*G2319*(1-H2319)</f>
        <v>4248.3</v>
      </c>
    </row>
    <row r="2321" spans="1:12">
      <c r="A2321" t="s">
        <v>3102</v>
      </c>
      <c r="B2321" s="1">
        <v>46282</v>
      </c>
      <c r="C2321" t="s">
        <v>338</v>
      </c>
      <c r="D2321" t="s">
        <v>31</v>
      </c>
      <c r="E2321" t="s">
        <v>14</v>
      </c>
      <c r="F2321">
        <v>3</v>
      </c>
      <c r="G2321">
        <v>799</v>
      </c>
      <c r="H2321">
        <v>0.15</v>
      </c>
      <c r="I2321" t="s">
        <v>47</v>
      </c>
      <c r="J2321" t="s">
        <v>51</v>
      </c>
      <c r="K2321" t="s">
        <v>17</v>
      </c>
      <c r="L2321">
        <f>F2320*G2320*(1-H2320)</f>
        <v>4495.5</v>
      </c>
    </row>
    <row r="2322" spans="1:12">
      <c r="A2322" t="s">
        <v>3103</v>
      </c>
      <c r="B2322" s="1">
        <v>46153</v>
      </c>
      <c r="C2322" t="s">
        <v>1128</v>
      </c>
      <c r="D2322" t="s">
        <v>20</v>
      </c>
      <c r="E2322" t="s">
        <v>35</v>
      </c>
      <c r="F2322">
        <v>4</v>
      </c>
      <c r="G2322">
        <v>1999</v>
      </c>
      <c r="H2322">
        <v>0.1</v>
      </c>
      <c r="I2322" t="s">
        <v>32</v>
      </c>
      <c r="J2322" t="s">
        <v>16</v>
      </c>
      <c r="K2322" t="s">
        <v>17</v>
      </c>
      <c r="L2322">
        <f>F2321*G2321*(1-H2321)</f>
        <v>2037.45</v>
      </c>
    </row>
    <row r="2323" spans="1:12">
      <c r="A2323" t="s">
        <v>3104</v>
      </c>
      <c r="B2323" s="1">
        <v>46289</v>
      </c>
      <c r="C2323" t="s">
        <v>2251</v>
      </c>
      <c r="D2323" t="s">
        <v>71</v>
      </c>
      <c r="E2323" t="s">
        <v>40</v>
      </c>
      <c r="F2323">
        <v>4</v>
      </c>
      <c r="G2323">
        <v>7999</v>
      </c>
      <c r="H2323">
        <v>0.05</v>
      </c>
      <c r="I2323" t="s">
        <v>32</v>
      </c>
      <c r="J2323" t="s">
        <v>51</v>
      </c>
      <c r="K2323" t="s">
        <v>17</v>
      </c>
      <c r="L2323">
        <f>F2322*G2322*(1-H2322)</f>
        <v>7196.4000000000005</v>
      </c>
    </row>
    <row r="2324" spans="1:12">
      <c r="A2324" t="s">
        <v>3105</v>
      </c>
      <c r="B2324" s="1">
        <v>46256</v>
      </c>
      <c r="C2324" t="s">
        <v>1040</v>
      </c>
      <c r="D2324" t="s">
        <v>26</v>
      </c>
      <c r="E2324" t="s">
        <v>21</v>
      </c>
      <c r="F2324">
        <v>2</v>
      </c>
      <c r="G2324">
        <v>1499</v>
      </c>
      <c r="H2324">
        <v>0.15</v>
      </c>
      <c r="I2324" t="s">
        <v>50</v>
      </c>
      <c r="J2324" t="s">
        <v>16</v>
      </c>
      <c r="K2324" t="s">
        <v>23</v>
      </c>
      <c r="L2324">
        <f>F2323*G2323*(1-H2323)</f>
        <v>30396.199999999997</v>
      </c>
    </row>
    <row r="2325" spans="1:12">
      <c r="A2325" t="s">
        <v>3106</v>
      </c>
      <c r="B2325" s="1">
        <v>46092</v>
      </c>
      <c r="C2325" t="s">
        <v>958</v>
      </c>
      <c r="D2325" t="s">
        <v>26</v>
      </c>
      <c r="E2325" t="s">
        <v>40</v>
      </c>
      <c r="F2325">
        <v>1</v>
      </c>
      <c r="G2325">
        <v>2499</v>
      </c>
      <c r="H2325">
        <v>0.1</v>
      </c>
      <c r="I2325" t="s">
        <v>47</v>
      </c>
      <c r="J2325" t="s">
        <v>51</v>
      </c>
      <c r="K2325" t="s">
        <v>17</v>
      </c>
      <c r="L2325">
        <f>F2324*G2324*(1-H2324)</f>
        <v>2548.2999999999997</v>
      </c>
    </row>
    <row r="2326" spans="1:12">
      <c r="A2326" t="s">
        <v>3107</v>
      </c>
      <c r="B2326" s="1">
        <v>46050</v>
      </c>
      <c r="C2326" t="s">
        <v>1827</v>
      </c>
      <c r="D2326" t="s">
        <v>26</v>
      </c>
      <c r="E2326" t="s">
        <v>40</v>
      </c>
      <c r="F2326">
        <v>2</v>
      </c>
      <c r="G2326">
        <v>499</v>
      </c>
      <c r="H2326">
        <v>0</v>
      </c>
      <c r="I2326" t="s">
        <v>47</v>
      </c>
      <c r="J2326" t="s">
        <v>51</v>
      </c>
      <c r="K2326" t="s">
        <v>17</v>
      </c>
      <c r="L2326">
        <f>F2325*G2325*(1-H2325)</f>
        <v>2249.1</v>
      </c>
    </row>
    <row r="2327" spans="1:12">
      <c r="A2327" t="s">
        <v>3108</v>
      </c>
      <c r="B2327" s="1">
        <v>46169</v>
      </c>
      <c r="C2327" t="s">
        <v>119</v>
      </c>
      <c r="D2327" t="s">
        <v>59</v>
      </c>
      <c r="E2327" t="s">
        <v>14</v>
      </c>
      <c r="F2327">
        <v>1</v>
      </c>
      <c r="G2327">
        <v>499</v>
      </c>
      <c r="H2327">
        <v>0.05</v>
      </c>
      <c r="I2327" t="s">
        <v>32</v>
      </c>
      <c r="J2327" t="s">
        <v>28</v>
      </c>
      <c r="K2327" t="s">
        <v>23</v>
      </c>
      <c r="L2327">
        <f>F2326*G2326*(1-H2326)</f>
        <v>998</v>
      </c>
    </row>
    <row r="2328" spans="1:12">
      <c r="A2328" t="s">
        <v>3109</v>
      </c>
      <c r="B2328" s="1">
        <v>46030</v>
      </c>
      <c r="C2328" t="s">
        <v>2991</v>
      </c>
      <c r="D2328" t="s">
        <v>59</v>
      </c>
      <c r="E2328" t="s">
        <v>14</v>
      </c>
      <c r="F2328">
        <v>2</v>
      </c>
      <c r="G2328">
        <v>499</v>
      </c>
      <c r="H2328">
        <v>0</v>
      </c>
      <c r="I2328" t="s">
        <v>50</v>
      </c>
      <c r="J2328" t="s">
        <v>22</v>
      </c>
      <c r="K2328" t="s">
        <v>17</v>
      </c>
      <c r="L2328">
        <f>F2327*G2327*(1-H2327)</f>
        <v>474.04999999999995</v>
      </c>
    </row>
    <row r="2329" spans="1:12">
      <c r="A2329" t="s">
        <v>3110</v>
      </c>
      <c r="B2329" s="1">
        <v>46184</v>
      </c>
      <c r="C2329" t="s">
        <v>3039</v>
      </c>
      <c r="D2329" t="s">
        <v>31</v>
      </c>
      <c r="E2329" t="s">
        <v>35</v>
      </c>
      <c r="F2329">
        <v>4</v>
      </c>
      <c r="G2329">
        <v>2499</v>
      </c>
      <c r="H2329">
        <v>0.15</v>
      </c>
      <c r="I2329" t="s">
        <v>32</v>
      </c>
      <c r="J2329" t="s">
        <v>28</v>
      </c>
      <c r="K2329" t="s">
        <v>17</v>
      </c>
      <c r="L2329">
        <f>F2328*G2328*(1-H2328)</f>
        <v>998</v>
      </c>
    </row>
    <row r="2330" spans="1:12">
      <c r="A2330" t="s">
        <v>3111</v>
      </c>
      <c r="B2330" s="1">
        <v>46270</v>
      </c>
      <c r="C2330" t="s">
        <v>261</v>
      </c>
      <c r="D2330" t="s">
        <v>26</v>
      </c>
      <c r="E2330" t="s">
        <v>27</v>
      </c>
      <c r="F2330">
        <v>2</v>
      </c>
      <c r="G2330">
        <v>1499</v>
      </c>
      <c r="H2330">
        <v>0.05</v>
      </c>
      <c r="I2330" t="s">
        <v>47</v>
      </c>
      <c r="J2330" t="s">
        <v>22</v>
      </c>
      <c r="K2330" t="s">
        <v>37</v>
      </c>
      <c r="L2330">
        <f>F2329*G2329*(1-H2329)</f>
        <v>8496.6</v>
      </c>
    </row>
    <row r="2331" spans="1:12">
      <c r="A2331" t="s">
        <v>3112</v>
      </c>
      <c r="B2331" s="1">
        <v>46074</v>
      </c>
      <c r="C2331" t="s">
        <v>1444</v>
      </c>
      <c r="D2331" t="s">
        <v>20</v>
      </c>
      <c r="E2331" t="s">
        <v>14</v>
      </c>
      <c r="F2331">
        <v>3</v>
      </c>
      <c r="G2331">
        <v>999</v>
      </c>
      <c r="H2331">
        <v>0.15</v>
      </c>
      <c r="I2331" t="s">
        <v>44</v>
      </c>
      <c r="J2331" t="s">
        <v>51</v>
      </c>
      <c r="K2331" t="s">
        <v>23</v>
      </c>
      <c r="L2331">
        <f>F2330*G2330*(1-H2330)</f>
        <v>2848.1</v>
      </c>
    </row>
    <row r="2332" spans="1:12">
      <c r="A2332" t="s">
        <v>3113</v>
      </c>
      <c r="B2332" s="1">
        <v>46098</v>
      </c>
      <c r="C2332" t="s">
        <v>2634</v>
      </c>
      <c r="D2332" t="s">
        <v>26</v>
      </c>
      <c r="E2332" t="s">
        <v>21</v>
      </c>
      <c r="F2332">
        <v>3</v>
      </c>
      <c r="G2332">
        <v>1499</v>
      </c>
      <c r="H2332">
        <v>0.05</v>
      </c>
      <c r="I2332" t="s">
        <v>44</v>
      </c>
      <c r="J2332" t="s">
        <v>36</v>
      </c>
      <c r="K2332" t="s">
        <v>23</v>
      </c>
      <c r="L2332">
        <f>F2331*G2331*(1-H2331)</f>
        <v>2547.4499999999998</v>
      </c>
    </row>
    <row r="2333" spans="1:12">
      <c r="A2333" t="s">
        <v>3114</v>
      </c>
      <c r="B2333" s="1">
        <v>46154</v>
      </c>
      <c r="C2333" t="s">
        <v>2799</v>
      </c>
      <c r="D2333" t="s">
        <v>43</v>
      </c>
      <c r="E2333" t="s">
        <v>27</v>
      </c>
      <c r="F2333">
        <v>5</v>
      </c>
      <c r="G2333">
        <v>1299</v>
      </c>
      <c r="H2333">
        <v>0</v>
      </c>
      <c r="I2333" t="s">
        <v>15</v>
      </c>
      <c r="J2333" t="s">
        <v>16</v>
      </c>
      <c r="K2333" t="s">
        <v>23</v>
      </c>
      <c r="L2333">
        <f>F2332*G2332*(1-H2332)</f>
        <v>4272.1499999999996</v>
      </c>
    </row>
    <row r="2334" spans="1:12">
      <c r="A2334" t="s">
        <v>3115</v>
      </c>
      <c r="B2334" s="1">
        <v>46049</v>
      </c>
      <c r="C2334" t="s">
        <v>513</v>
      </c>
      <c r="D2334" t="s">
        <v>59</v>
      </c>
      <c r="E2334" t="s">
        <v>35</v>
      </c>
      <c r="F2334">
        <v>5</v>
      </c>
      <c r="G2334">
        <v>1299</v>
      </c>
      <c r="H2334">
        <v>0.15</v>
      </c>
      <c r="I2334" t="s">
        <v>32</v>
      </c>
      <c r="J2334" t="s">
        <v>36</v>
      </c>
      <c r="K2334" t="s">
        <v>37</v>
      </c>
      <c r="L2334">
        <f>F2333*G2333*(1-H2333)</f>
        <v>6495</v>
      </c>
    </row>
    <row r="2335" spans="1:12">
      <c r="A2335" t="s">
        <v>3116</v>
      </c>
      <c r="B2335" s="1">
        <v>46229</v>
      </c>
      <c r="C2335" t="s">
        <v>355</v>
      </c>
      <c r="D2335" t="s">
        <v>56</v>
      </c>
      <c r="E2335" t="s">
        <v>40</v>
      </c>
      <c r="F2335">
        <v>5</v>
      </c>
      <c r="G2335">
        <v>1299</v>
      </c>
      <c r="H2335">
        <v>0</v>
      </c>
      <c r="I2335" t="s">
        <v>15</v>
      </c>
      <c r="J2335" t="s">
        <v>28</v>
      </c>
      <c r="K2335" t="s">
        <v>17</v>
      </c>
      <c r="L2335">
        <f>F2334*G2334*(1-H2334)</f>
        <v>5520.75</v>
      </c>
    </row>
    <row r="2336" spans="1:12">
      <c r="A2336" t="s">
        <v>3117</v>
      </c>
      <c r="B2336" s="1">
        <v>46278</v>
      </c>
      <c r="C2336" t="s">
        <v>1540</v>
      </c>
      <c r="D2336" t="s">
        <v>56</v>
      </c>
      <c r="E2336" t="s">
        <v>14</v>
      </c>
      <c r="F2336">
        <v>4</v>
      </c>
      <c r="G2336">
        <v>999</v>
      </c>
      <c r="H2336">
        <v>0.05</v>
      </c>
      <c r="I2336" t="s">
        <v>15</v>
      </c>
      <c r="J2336" t="s">
        <v>51</v>
      </c>
      <c r="K2336" t="s">
        <v>23</v>
      </c>
      <c r="L2336">
        <f>F2335*G2335*(1-H2335)</f>
        <v>6495</v>
      </c>
    </row>
    <row r="2337" spans="1:12">
      <c r="A2337" t="s">
        <v>3118</v>
      </c>
      <c r="B2337" s="1">
        <v>46285</v>
      </c>
      <c r="C2337" t="s">
        <v>2777</v>
      </c>
      <c r="D2337" t="s">
        <v>31</v>
      </c>
      <c r="E2337" t="s">
        <v>40</v>
      </c>
      <c r="F2337">
        <v>5</v>
      </c>
      <c r="G2337">
        <v>499</v>
      </c>
      <c r="H2337">
        <v>0</v>
      </c>
      <c r="I2337" t="s">
        <v>44</v>
      </c>
      <c r="J2337" t="s">
        <v>51</v>
      </c>
      <c r="K2337" t="s">
        <v>17</v>
      </c>
      <c r="L2337">
        <f>F2336*G2336*(1-H2336)</f>
        <v>3796.2</v>
      </c>
    </row>
    <row r="2338" spans="1:12">
      <c r="A2338" t="s">
        <v>3119</v>
      </c>
      <c r="B2338" s="1">
        <v>46203</v>
      </c>
      <c r="C2338" t="s">
        <v>1239</v>
      </c>
      <c r="D2338" t="s">
        <v>59</v>
      </c>
      <c r="E2338" t="s">
        <v>40</v>
      </c>
      <c r="F2338">
        <v>4</v>
      </c>
      <c r="G2338">
        <v>2499</v>
      </c>
      <c r="H2338">
        <v>0</v>
      </c>
      <c r="I2338" t="s">
        <v>15</v>
      </c>
      <c r="J2338" t="s">
        <v>51</v>
      </c>
      <c r="K2338" t="s">
        <v>17</v>
      </c>
      <c r="L2338">
        <f>F2337*G2337*(1-H2337)</f>
        <v>2495</v>
      </c>
    </row>
    <row r="2339" spans="1:12">
      <c r="A2339" t="s">
        <v>3120</v>
      </c>
      <c r="B2339" s="1">
        <v>46226</v>
      </c>
      <c r="C2339" t="s">
        <v>3006</v>
      </c>
      <c r="D2339" t="s">
        <v>71</v>
      </c>
      <c r="E2339" t="s">
        <v>21</v>
      </c>
      <c r="F2339">
        <v>4</v>
      </c>
      <c r="G2339">
        <v>1499</v>
      </c>
      <c r="H2339">
        <v>0.15</v>
      </c>
      <c r="I2339" t="s">
        <v>47</v>
      </c>
      <c r="J2339" t="s">
        <v>16</v>
      </c>
      <c r="K2339" t="s">
        <v>17</v>
      </c>
      <c r="L2339">
        <f>F2338*G2338*(1-H2338)</f>
        <v>9996</v>
      </c>
    </row>
    <row r="2340" spans="1:12">
      <c r="A2340" t="s">
        <v>3121</v>
      </c>
      <c r="B2340" s="1">
        <v>46198</v>
      </c>
      <c r="C2340" t="s">
        <v>102</v>
      </c>
      <c r="D2340" t="s">
        <v>62</v>
      </c>
      <c r="E2340" t="s">
        <v>35</v>
      </c>
      <c r="F2340">
        <v>3</v>
      </c>
      <c r="G2340">
        <v>599</v>
      </c>
      <c r="H2340">
        <v>0.05</v>
      </c>
      <c r="I2340" t="s">
        <v>50</v>
      </c>
      <c r="J2340" t="s">
        <v>51</v>
      </c>
      <c r="K2340" t="s">
        <v>37</v>
      </c>
      <c r="L2340">
        <f>F2339*G2339*(1-H2339)</f>
        <v>5096.5999999999995</v>
      </c>
    </row>
    <row r="2341" spans="1:12">
      <c r="A2341" t="s">
        <v>3122</v>
      </c>
      <c r="B2341" s="1">
        <v>46077</v>
      </c>
      <c r="C2341" t="s">
        <v>1923</v>
      </c>
      <c r="D2341" t="s">
        <v>78</v>
      </c>
      <c r="E2341" t="s">
        <v>27</v>
      </c>
      <c r="F2341">
        <v>3</v>
      </c>
      <c r="G2341">
        <v>1299</v>
      </c>
      <c r="H2341">
        <v>0</v>
      </c>
      <c r="I2341" t="s">
        <v>47</v>
      </c>
      <c r="J2341" t="s">
        <v>36</v>
      </c>
      <c r="K2341" t="s">
        <v>37</v>
      </c>
      <c r="L2341">
        <f>F2340*G2340*(1-H2340)</f>
        <v>1707.1499999999999</v>
      </c>
    </row>
    <row r="2342" spans="1:12">
      <c r="A2342" t="s">
        <v>3123</v>
      </c>
      <c r="B2342" s="1">
        <v>46162</v>
      </c>
      <c r="C2342" t="s">
        <v>12</v>
      </c>
      <c r="D2342" t="s">
        <v>31</v>
      </c>
      <c r="E2342" t="s">
        <v>21</v>
      </c>
      <c r="F2342">
        <v>5</v>
      </c>
      <c r="G2342">
        <v>7999</v>
      </c>
      <c r="H2342">
        <v>0</v>
      </c>
      <c r="I2342" t="s">
        <v>44</v>
      </c>
      <c r="J2342" t="s">
        <v>51</v>
      </c>
      <c r="K2342" t="s">
        <v>17</v>
      </c>
      <c r="L2342">
        <f>F2341*G2341*(1-H2341)</f>
        <v>3897</v>
      </c>
    </row>
    <row r="2343" spans="1:12">
      <c r="A2343" t="s">
        <v>3124</v>
      </c>
      <c r="B2343" s="1">
        <v>46171</v>
      </c>
      <c r="C2343" t="s">
        <v>896</v>
      </c>
      <c r="D2343" t="s">
        <v>26</v>
      </c>
      <c r="E2343" t="s">
        <v>27</v>
      </c>
      <c r="F2343">
        <v>2</v>
      </c>
      <c r="G2343">
        <v>599</v>
      </c>
      <c r="H2343">
        <v>0.05</v>
      </c>
      <c r="I2343" t="s">
        <v>15</v>
      </c>
      <c r="J2343" t="s">
        <v>51</v>
      </c>
      <c r="K2343" t="s">
        <v>23</v>
      </c>
      <c r="L2343">
        <f>F2342*G2342*(1-H2342)</f>
        <v>39995</v>
      </c>
    </row>
    <row r="2344" spans="1:12">
      <c r="A2344" t="s">
        <v>3125</v>
      </c>
      <c r="B2344" s="1">
        <v>46291</v>
      </c>
      <c r="C2344" t="s">
        <v>989</v>
      </c>
      <c r="D2344" t="s">
        <v>71</v>
      </c>
      <c r="E2344" t="s">
        <v>27</v>
      </c>
      <c r="F2344">
        <v>1</v>
      </c>
      <c r="G2344">
        <v>499</v>
      </c>
      <c r="H2344">
        <v>0</v>
      </c>
      <c r="I2344" t="s">
        <v>44</v>
      </c>
      <c r="J2344" t="s">
        <v>36</v>
      </c>
      <c r="K2344" t="s">
        <v>17</v>
      </c>
      <c r="L2344">
        <f>F2343*G2343*(1-H2343)</f>
        <v>1138.0999999999999</v>
      </c>
    </row>
    <row r="2345" spans="1:12">
      <c r="A2345" t="s">
        <v>3126</v>
      </c>
      <c r="B2345" s="1">
        <v>46155</v>
      </c>
      <c r="C2345" t="s">
        <v>1324</v>
      </c>
      <c r="D2345" t="s">
        <v>71</v>
      </c>
      <c r="E2345" t="s">
        <v>27</v>
      </c>
      <c r="F2345">
        <v>1</v>
      </c>
      <c r="G2345">
        <v>4999</v>
      </c>
      <c r="H2345">
        <v>0.1</v>
      </c>
      <c r="I2345" t="s">
        <v>44</v>
      </c>
      <c r="J2345" t="s">
        <v>51</v>
      </c>
      <c r="K2345" t="s">
        <v>17</v>
      </c>
      <c r="L2345">
        <f>F2344*G2344*(1-H2344)</f>
        <v>499</v>
      </c>
    </row>
    <row r="2346" spans="1:12">
      <c r="A2346" t="s">
        <v>3127</v>
      </c>
      <c r="B2346" s="1">
        <v>46144</v>
      </c>
      <c r="C2346" t="s">
        <v>287</v>
      </c>
      <c r="D2346" t="s">
        <v>59</v>
      </c>
      <c r="E2346" t="s">
        <v>40</v>
      </c>
      <c r="F2346">
        <v>1</v>
      </c>
      <c r="G2346">
        <v>2499</v>
      </c>
      <c r="H2346">
        <v>0</v>
      </c>
      <c r="I2346" t="s">
        <v>47</v>
      </c>
      <c r="J2346" t="s">
        <v>51</v>
      </c>
      <c r="K2346" t="s">
        <v>17</v>
      </c>
      <c r="L2346">
        <f>F2345*G2345*(1-H2345)</f>
        <v>4499.1000000000004</v>
      </c>
    </row>
    <row r="2347" spans="1:12">
      <c r="A2347" t="s">
        <v>3128</v>
      </c>
      <c r="B2347" s="1">
        <v>46088</v>
      </c>
      <c r="C2347" t="s">
        <v>364</v>
      </c>
      <c r="D2347" t="s">
        <v>71</v>
      </c>
      <c r="E2347" t="s">
        <v>35</v>
      </c>
      <c r="F2347">
        <v>2</v>
      </c>
      <c r="G2347">
        <v>4999</v>
      </c>
      <c r="H2347">
        <v>0.05</v>
      </c>
      <c r="I2347" t="s">
        <v>44</v>
      </c>
      <c r="J2347" t="s">
        <v>22</v>
      </c>
      <c r="K2347" t="s">
        <v>17</v>
      </c>
      <c r="L2347">
        <f>F2346*G2346*(1-H2346)</f>
        <v>2499</v>
      </c>
    </row>
    <row r="2348" spans="1:12">
      <c r="A2348" t="s">
        <v>3129</v>
      </c>
      <c r="B2348" s="1">
        <v>46093</v>
      </c>
      <c r="C2348" t="s">
        <v>3130</v>
      </c>
      <c r="D2348" t="s">
        <v>13</v>
      </c>
      <c r="E2348" t="s">
        <v>14</v>
      </c>
      <c r="F2348">
        <v>5</v>
      </c>
      <c r="G2348">
        <v>499</v>
      </c>
      <c r="H2348">
        <v>0</v>
      </c>
      <c r="I2348" t="s">
        <v>15</v>
      </c>
      <c r="J2348" t="s">
        <v>36</v>
      </c>
      <c r="K2348" t="s">
        <v>17</v>
      </c>
      <c r="L2348">
        <f>F2347*G2347*(1-H2347)</f>
        <v>9498.1</v>
      </c>
    </row>
    <row r="2349" spans="1:12">
      <c r="A2349" t="s">
        <v>3131</v>
      </c>
      <c r="B2349" s="1">
        <v>46032</v>
      </c>
      <c r="C2349" t="s">
        <v>1582</v>
      </c>
      <c r="D2349" t="s">
        <v>20</v>
      </c>
      <c r="E2349" t="s">
        <v>40</v>
      </c>
      <c r="F2349">
        <v>4</v>
      </c>
      <c r="G2349">
        <v>599</v>
      </c>
      <c r="H2349">
        <v>0.05</v>
      </c>
      <c r="I2349" t="s">
        <v>50</v>
      </c>
      <c r="J2349" t="s">
        <v>51</v>
      </c>
      <c r="K2349" t="s">
        <v>23</v>
      </c>
      <c r="L2349">
        <f>F2348*G2348*(1-H2348)</f>
        <v>2495</v>
      </c>
    </row>
    <row r="2350" spans="1:12">
      <c r="A2350" t="s">
        <v>3132</v>
      </c>
      <c r="B2350" s="1">
        <v>46093</v>
      </c>
      <c r="C2350" t="s">
        <v>386</v>
      </c>
      <c r="D2350" t="s">
        <v>62</v>
      </c>
      <c r="E2350" t="s">
        <v>21</v>
      </c>
      <c r="F2350">
        <v>4</v>
      </c>
      <c r="G2350">
        <v>499</v>
      </c>
      <c r="H2350">
        <v>0.1</v>
      </c>
      <c r="I2350" t="s">
        <v>50</v>
      </c>
      <c r="J2350" t="s">
        <v>16</v>
      </c>
      <c r="K2350" t="s">
        <v>17</v>
      </c>
      <c r="L2350">
        <f>F2349*G2349*(1-H2349)</f>
        <v>2276.1999999999998</v>
      </c>
    </row>
    <row r="2351" spans="1:12">
      <c r="A2351" t="s">
        <v>3133</v>
      </c>
      <c r="B2351" s="1">
        <v>46046</v>
      </c>
      <c r="C2351" t="s">
        <v>851</v>
      </c>
      <c r="D2351" t="s">
        <v>78</v>
      </c>
      <c r="E2351" t="s">
        <v>21</v>
      </c>
      <c r="F2351">
        <v>2</v>
      </c>
      <c r="G2351">
        <v>1299</v>
      </c>
      <c r="H2351">
        <v>0</v>
      </c>
      <c r="I2351" t="s">
        <v>47</v>
      </c>
      <c r="J2351" t="s">
        <v>28</v>
      </c>
      <c r="K2351" t="s">
        <v>37</v>
      </c>
      <c r="L2351">
        <f>F2350*G2350*(1-H2350)</f>
        <v>1796.4</v>
      </c>
    </row>
    <row r="2352" spans="1:12">
      <c r="A2352" t="s">
        <v>3134</v>
      </c>
      <c r="B2352" s="1">
        <v>46245</v>
      </c>
      <c r="C2352" t="s">
        <v>3135</v>
      </c>
      <c r="D2352" t="s">
        <v>43</v>
      </c>
      <c r="E2352" t="s">
        <v>40</v>
      </c>
      <c r="F2352">
        <v>2</v>
      </c>
      <c r="G2352">
        <v>1299</v>
      </c>
      <c r="H2352">
        <v>0</v>
      </c>
      <c r="I2352" t="s">
        <v>47</v>
      </c>
      <c r="J2352" t="s">
        <v>36</v>
      </c>
      <c r="K2352" t="s">
        <v>37</v>
      </c>
      <c r="L2352">
        <f>F2351*G2351*(1-H2351)</f>
        <v>2598</v>
      </c>
    </row>
    <row r="2353" spans="1:12">
      <c r="A2353" t="s">
        <v>3136</v>
      </c>
      <c r="B2353" s="1">
        <v>46150</v>
      </c>
      <c r="C2353" t="s">
        <v>123</v>
      </c>
      <c r="D2353" t="s">
        <v>31</v>
      </c>
      <c r="E2353" t="s">
        <v>40</v>
      </c>
      <c r="F2353">
        <v>2</v>
      </c>
      <c r="G2353">
        <v>599</v>
      </c>
      <c r="H2353">
        <v>0.1</v>
      </c>
      <c r="I2353" t="s">
        <v>47</v>
      </c>
      <c r="J2353" t="s">
        <v>28</v>
      </c>
      <c r="K2353" t="s">
        <v>37</v>
      </c>
      <c r="L2353">
        <f>F2352*G2352*(1-H2352)</f>
        <v>2598</v>
      </c>
    </row>
    <row r="2354" spans="1:12">
      <c r="A2354" t="s">
        <v>3137</v>
      </c>
      <c r="B2354" s="1">
        <v>46219</v>
      </c>
      <c r="C2354" t="s">
        <v>2601</v>
      </c>
      <c r="D2354" t="s">
        <v>43</v>
      </c>
      <c r="E2354" t="s">
        <v>21</v>
      </c>
      <c r="F2354">
        <v>1</v>
      </c>
      <c r="G2354">
        <v>999</v>
      </c>
      <c r="H2354">
        <v>0.05</v>
      </c>
      <c r="I2354" t="s">
        <v>15</v>
      </c>
      <c r="J2354" t="s">
        <v>28</v>
      </c>
      <c r="K2354" t="s">
        <v>23</v>
      </c>
      <c r="L2354">
        <f>F2353*G2353*(1-H2353)</f>
        <v>1078.2</v>
      </c>
    </row>
    <row r="2355" spans="1:12">
      <c r="A2355" t="s">
        <v>3138</v>
      </c>
      <c r="B2355" s="1">
        <v>46192</v>
      </c>
      <c r="C2355" t="s">
        <v>1768</v>
      </c>
      <c r="D2355" t="s">
        <v>59</v>
      </c>
      <c r="E2355" t="s">
        <v>27</v>
      </c>
      <c r="F2355">
        <v>3</v>
      </c>
      <c r="G2355">
        <v>7999</v>
      </c>
      <c r="H2355">
        <v>0</v>
      </c>
      <c r="I2355" t="s">
        <v>47</v>
      </c>
      <c r="J2355" t="s">
        <v>51</v>
      </c>
      <c r="K2355" t="s">
        <v>23</v>
      </c>
      <c r="L2355">
        <f>F2354*G2354*(1-H2354)</f>
        <v>949.05</v>
      </c>
    </row>
    <row r="2356" spans="1:12">
      <c r="A2356" t="s">
        <v>3139</v>
      </c>
      <c r="B2356" s="1">
        <v>46097</v>
      </c>
      <c r="C2356" t="s">
        <v>386</v>
      </c>
      <c r="D2356" t="s">
        <v>26</v>
      </c>
      <c r="E2356" t="s">
        <v>14</v>
      </c>
      <c r="F2356">
        <v>3</v>
      </c>
      <c r="G2356">
        <v>599</v>
      </c>
      <c r="H2356">
        <v>0.05</v>
      </c>
      <c r="I2356" t="s">
        <v>47</v>
      </c>
      <c r="J2356" t="s">
        <v>16</v>
      </c>
      <c r="K2356" t="s">
        <v>17</v>
      </c>
      <c r="L2356">
        <f>F2355*G2355*(1-H2355)</f>
        <v>23997</v>
      </c>
    </row>
    <row r="2357" spans="1:12">
      <c r="A2357" t="s">
        <v>3140</v>
      </c>
      <c r="B2357" s="1">
        <v>46180</v>
      </c>
      <c r="C2357" t="s">
        <v>1306</v>
      </c>
      <c r="D2357" t="s">
        <v>20</v>
      </c>
      <c r="E2357" t="s">
        <v>40</v>
      </c>
      <c r="F2357">
        <v>1</v>
      </c>
      <c r="G2357">
        <v>2499</v>
      </c>
      <c r="H2357">
        <v>0.15</v>
      </c>
      <c r="I2357" t="s">
        <v>44</v>
      </c>
      <c r="J2357" t="s">
        <v>22</v>
      </c>
      <c r="K2357" t="s">
        <v>17</v>
      </c>
      <c r="L2357">
        <f>F2356*G2356*(1-H2356)</f>
        <v>1707.1499999999999</v>
      </c>
    </row>
    <row r="2358" spans="1:12">
      <c r="A2358" t="s">
        <v>3141</v>
      </c>
      <c r="B2358" s="1">
        <v>46082</v>
      </c>
      <c r="C2358" t="s">
        <v>277</v>
      </c>
      <c r="D2358" t="s">
        <v>71</v>
      </c>
      <c r="E2358" t="s">
        <v>14</v>
      </c>
      <c r="F2358">
        <v>5</v>
      </c>
      <c r="G2358">
        <v>999</v>
      </c>
      <c r="H2358">
        <v>0</v>
      </c>
      <c r="I2358" t="s">
        <v>32</v>
      </c>
      <c r="J2358" t="s">
        <v>22</v>
      </c>
      <c r="K2358" t="s">
        <v>37</v>
      </c>
      <c r="L2358">
        <f>F2357*G2357*(1-H2357)</f>
        <v>2124.15</v>
      </c>
    </row>
    <row r="2359" spans="1:12">
      <c r="A2359" t="s">
        <v>3142</v>
      </c>
      <c r="B2359" s="1">
        <v>46062</v>
      </c>
      <c r="C2359" t="s">
        <v>506</v>
      </c>
      <c r="D2359" t="s">
        <v>13</v>
      </c>
      <c r="E2359" t="s">
        <v>35</v>
      </c>
      <c r="F2359">
        <v>3</v>
      </c>
      <c r="G2359">
        <v>999</v>
      </c>
      <c r="H2359">
        <v>0</v>
      </c>
      <c r="I2359" t="s">
        <v>44</v>
      </c>
      <c r="J2359" t="s">
        <v>36</v>
      </c>
      <c r="K2359" t="s">
        <v>17</v>
      </c>
      <c r="L2359">
        <f>F2358*G2358*(1-H2358)</f>
        <v>4995</v>
      </c>
    </row>
    <row r="2360" spans="1:12">
      <c r="A2360" t="s">
        <v>3143</v>
      </c>
      <c r="B2360" s="1">
        <v>46142</v>
      </c>
      <c r="C2360" t="s">
        <v>331</v>
      </c>
      <c r="D2360" t="s">
        <v>62</v>
      </c>
      <c r="E2360" t="s">
        <v>21</v>
      </c>
      <c r="F2360">
        <v>5</v>
      </c>
      <c r="G2360">
        <v>1299</v>
      </c>
      <c r="H2360">
        <v>0.05</v>
      </c>
      <c r="I2360" t="s">
        <v>15</v>
      </c>
      <c r="J2360" t="s">
        <v>22</v>
      </c>
      <c r="K2360" t="s">
        <v>17</v>
      </c>
      <c r="L2360">
        <f>F2359*G2359*(1-H2359)</f>
        <v>2997</v>
      </c>
    </row>
    <row r="2361" spans="1:12">
      <c r="A2361" t="s">
        <v>3144</v>
      </c>
      <c r="B2361" s="1">
        <v>46254</v>
      </c>
      <c r="C2361" t="s">
        <v>267</v>
      </c>
      <c r="D2361" t="s">
        <v>62</v>
      </c>
      <c r="E2361" t="s">
        <v>27</v>
      </c>
      <c r="F2361">
        <v>1</v>
      </c>
      <c r="G2361">
        <v>1499</v>
      </c>
      <c r="H2361">
        <v>0</v>
      </c>
      <c r="I2361" t="s">
        <v>47</v>
      </c>
      <c r="J2361" t="s">
        <v>51</v>
      </c>
      <c r="K2361" t="s">
        <v>23</v>
      </c>
      <c r="L2361">
        <f>F2360*G2360*(1-H2360)</f>
        <v>6170.25</v>
      </c>
    </row>
    <row r="2362" spans="1:12">
      <c r="A2362" t="s">
        <v>3145</v>
      </c>
      <c r="B2362" s="1">
        <v>46038</v>
      </c>
      <c r="C2362" t="s">
        <v>292</v>
      </c>
      <c r="D2362" t="s">
        <v>43</v>
      </c>
      <c r="E2362" t="s">
        <v>27</v>
      </c>
      <c r="F2362">
        <v>4</v>
      </c>
      <c r="G2362">
        <v>599</v>
      </c>
      <c r="H2362">
        <v>0</v>
      </c>
      <c r="I2362" t="s">
        <v>47</v>
      </c>
      <c r="J2362" t="s">
        <v>28</v>
      </c>
      <c r="K2362" t="s">
        <v>17</v>
      </c>
      <c r="L2362">
        <f>F2361*G2361*(1-H2361)</f>
        <v>1499</v>
      </c>
    </row>
    <row r="2363" spans="1:12">
      <c r="A2363" t="s">
        <v>3146</v>
      </c>
      <c r="B2363" s="1">
        <v>46138</v>
      </c>
      <c r="C2363" t="s">
        <v>152</v>
      </c>
      <c r="D2363" t="s">
        <v>13</v>
      </c>
      <c r="E2363" t="s">
        <v>35</v>
      </c>
      <c r="F2363">
        <v>5</v>
      </c>
      <c r="G2363">
        <v>1499</v>
      </c>
      <c r="H2363">
        <v>0</v>
      </c>
      <c r="I2363" t="s">
        <v>44</v>
      </c>
      <c r="J2363" t="s">
        <v>28</v>
      </c>
      <c r="K2363" t="s">
        <v>17</v>
      </c>
      <c r="L2363">
        <f>F2362*G2362*(1-H2362)</f>
        <v>2396</v>
      </c>
    </row>
    <row r="2364" spans="1:12">
      <c r="A2364" t="s">
        <v>3147</v>
      </c>
      <c r="B2364" s="1">
        <v>46133</v>
      </c>
      <c r="C2364" t="s">
        <v>1666</v>
      </c>
      <c r="D2364" t="s">
        <v>20</v>
      </c>
      <c r="E2364" t="s">
        <v>21</v>
      </c>
      <c r="F2364">
        <v>3</v>
      </c>
      <c r="G2364">
        <v>4999</v>
      </c>
      <c r="H2364">
        <v>0</v>
      </c>
      <c r="I2364" t="s">
        <v>50</v>
      </c>
      <c r="J2364" t="s">
        <v>16</v>
      </c>
      <c r="K2364" t="s">
        <v>23</v>
      </c>
      <c r="L2364">
        <f>F2363*G2363*(1-H2363)</f>
        <v>7495</v>
      </c>
    </row>
    <row r="2365" spans="1:12">
      <c r="A2365" t="s">
        <v>3148</v>
      </c>
      <c r="B2365" s="1">
        <v>46260</v>
      </c>
      <c r="C2365" t="s">
        <v>1235</v>
      </c>
      <c r="D2365" t="s">
        <v>62</v>
      </c>
      <c r="E2365" t="s">
        <v>40</v>
      </c>
      <c r="F2365">
        <v>2</v>
      </c>
      <c r="G2365">
        <v>999</v>
      </c>
      <c r="H2365">
        <v>0.15</v>
      </c>
      <c r="I2365" t="s">
        <v>32</v>
      </c>
      <c r="J2365" t="s">
        <v>28</v>
      </c>
      <c r="K2365" t="s">
        <v>17</v>
      </c>
      <c r="L2365">
        <f>F2364*G2364*(1-H2364)</f>
        <v>14997</v>
      </c>
    </row>
    <row r="2366" spans="1:12">
      <c r="A2366" t="s">
        <v>3149</v>
      </c>
      <c r="B2366" s="1">
        <v>46262</v>
      </c>
      <c r="C2366" t="s">
        <v>1188</v>
      </c>
      <c r="D2366" t="s">
        <v>13</v>
      </c>
      <c r="E2366" t="s">
        <v>14</v>
      </c>
      <c r="F2366">
        <v>3</v>
      </c>
      <c r="G2366">
        <v>1999</v>
      </c>
      <c r="H2366">
        <v>0</v>
      </c>
      <c r="I2366" t="s">
        <v>44</v>
      </c>
      <c r="J2366" t="s">
        <v>51</v>
      </c>
      <c r="K2366" t="s">
        <v>17</v>
      </c>
      <c r="L2366">
        <f>F2365*G2365*(1-H2365)</f>
        <v>1698.3</v>
      </c>
    </row>
    <row r="2367" spans="1:12">
      <c r="A2367" t="s">
        <v>3150</v>
      </c>
      <c r="B2367" s="1">
        <v>46082</v>
      </c>
      <c r="C2367" t="s">
        <v>2237</v>
      </c>
      <c r="D2367" t="s">
        <v>62</v>
      </c>
      <c r="E2367" t="s">
        <v>21</v>
      </c>
      <c r="F2367">
        <v>3</v>
      </c>
      <c r="G2367">
        <v>499</v>
      </c>
      <c r="H2367">
        <v>0.1</v>
      </c>
      <c r="I2367" t="s">
        <v>50</v>
      </c>
      <c r="J2367" t="s">
        <v>28</v>
      </c>
      <c r="K2367" t="s">
        <v>37</v>
      </c>
      <c r="L2367">
        <f>F2366*G2366*(1-H2366)</f>
        <v>5997</v>
      </c>
    </row>
    <row r="2368" spans="1:12">
      <c r="A2368" t="s">
        <v>3151</v>
      </c>
      <c r="B2368" s="1">
        <v>46066</v>
      </c>
      <c r="C2368" t="s">
        <v>2562</v>
      </c>
      <c r="D2368" t="s">
        <v>59</v>
      </c>
      <c r="E2368" t="s">
        <v>14</v>
      </c>
      <c r="F2368">
        <v>3</v>
      </c>
      <c r="G2368">
        <v>4999</v>
      </c>
      <c r="H2368">
        <v>0.15</v>
      </c>
      <c r="I2368" t="s">
        <v>32</v>
      </c>
      <c r="J2368" t="s">
        <v>16</v>
      </c>
      <c r="K2368" t="s">
        <v>17</v>
      </c>
      <c r="L2368">
        <f>F2367*G2367*(1-H2367)</f>
        <v>1347.3</v>
      </c>
    </row>
    <row r="2369" spans="1:12">
      <c r="A2369" t="s">
        <v>3152</v>
      </c>
      <c r="B2369" s="1">
        <v>46286</v>
      </c>
      <c r="C2369" t="s">
        <v>2601</v>
      </c>
      <c r="D2369" t="s">
        <v>13</v>
      </c>
      <c r="E2369" t="s">
        <v>21</v>
      </c>
      <c r="F2369">
        <v>1</v>
      </c>
      <c r="G2369">
        <v>599</v>
      </c>
      <c r="H2369">
        <v>0</v>
      </c>
      <c r="I2369" t="s">
        <v>44</v>
      </c>
      <c r="J2369" t="s">
        <v>28</v>
      </c>
      <c r="K2369" t="s">
        <v>23</v>
      </c>
      <c r="L2369">
        <f>F2368*G2368*(1-H2368)</f>
        <v>12747.449999999999</v>
      </c>
    </row>
    <row r="2370" spans="1:12">
      <c r="A2370" t="s">
        <v>3153</v>
      </c>
      <c r="B2370" s="1">
        <v>46277</v>
      </c>
      <c r="C2370" t="s">
        <v>468</v>
      </c>
      <c r="D2370" t="s">
        <v>31</v>
      </c>
      <c r="E2370" t="s">
        <v>21</v>
      </c>
      <c r="F2370">
        <v>2</v>
      </c>
      <c r="G2370">
        <v>1299</v>
      </c>
      <c r="H2370">
        <v>0</v>
      </c>
      <c r="I2370" t="s">
        <v>15</v>
      </c>
      <c r="J2370" t="s">
        <v>36</v>
      </c>
      <c r="K2370" t="s">
        <v>23</v>
      </c>
      <c r="L2370">
        <f>F2369*G2369*(1-H2369)</f>
        <v>599</v>
      </c>
    </row>
    <row r="2371" spans="1:12">
      <c r="A2371" t="s">
        <v>3154</v>
      </c>
      <c r="B2371" s="1">
        <v>46228</v>
      </c>
      <c r="C2371" t="s">
        <v>857</v>
      </c>
      <c r="D2371" t="s">
        <v>59</v>
      </c>
      <c r="E2371" t="s">
        <v>21</v>
      </c>
      <c r="F2371">
        <v>4</v>
      </c>
      <c r="G2371">
        <v>999</v>
      </c>
      <c r="H2371">
        <v>0</v>
      </c>
      <c r="I2371" t="s">
        <v>50</v>
      </c>
      <c r="J2371" t="s">
        <v>22</v>
      </c>
      <c r="K2371" t="s">
        <v>17</v>
      </c>
      <c r="L2371">
        <f>F2370*G2370*(1-H2370)</f>
        <v>2598</v>
      </c>
    </row>
    <row r="2372" spans="1:12">
      <c r="A2372" t="s">
        <v>3155</v>
      </c>
      <c r="B2372" s="1">
        <v>46251</v>
      </c>
      <c r="C2372" t="s">
        <v>989</v>
      </c>
      <c r="D2372" t="s">
        <v>56</v>
      </c>
      <c r="E2372" t="s">
        <v>27</v>
      </c>
      <c r="F2372">
        <v>2</v>
      </c>
      <c r="G2372">
        <v>1999</v>
      </c>
      <c r="H2372">
        <v>0.05</v>
      </c>
      <c r="I2372" t="s">
        <v>44</v>
      </c>
      <c r="J2372" t="s">
        <v>16</v>
      </c>
      <c r="K2372" t="s">
        <v>17</v>
      </c>
      <c r="L2372">
        <f>F2371*G2371*(1-H2371)</f>
        <v>3996</v>
      </c>
    </row>
    <row r="2373" spans="1:12">
      <c r="A2373" t="s">
        <v>3156</v>
      </c>
      <c r="B2373" s="1">
        <v>46142</v>
      </c>
      <c r="C2373" t="s">
        <v>1302</v>
      </c>
      <c r="D2373" t="s">
        <v>13</v>
      </c>
      <c r="E2373" t="s">
        <v>35</v>
      </c>
      <c r="F2373">
        <v>4</v>
      </c>
      <c r="G2373">
        <v>799</v>
      </c>
      <c r="H2373">
        <v>0.1</v>
      </c>
      <c r="I2373" t="s">
        <v>32</v>
      </c>
      <c r="J2373" t="s">
        <v>16</v>
      </c>
      <c r="K2373" t="s">
        <v>37</v>
      </c>
      <c r="L2373">
        <f>F2372*G2372*(1-H2372)</f>
        <v>3798.1</v>
      </c>
    </row>
    <row r="2374" spans="1:12">
      <c r="A2374" t="s">
        <v>3157</v>
      </c>
      <c r="B2374" s="1">
        <v>46030</v>
      </c>
      <c r="C2374" t="s">
        <v>452</v>
      </c>
      <c r="D2374" t="s">
        <v>71</v>
      </c>
      <c r="E2374" t="s">
        <v>35</v>
      </c>
      <c r="F2374">
        <v>3</v>
      </c>
      <c r="G2374">
        <v>799</v>
      </c>
      <c r="H2374">
        <v>0</v>
      </c>
      <c r="I2374" t="s">
        <v>47</v>
      </c>
      <c r="J2374" t="s">
        <v>51</v>
      </c>
      <c r="K2374" t="s">
        <v>17</v>
      </c>
      <c r="L2374">
        <f>F2373*G2373*(1-H2373)</f>
        <v>2876.4</v>
      </c>
    </row>
    <row r="2375" spans="1:12">
      <c r="A2375" t="s">
        <v>3158</v>
      </c>
      <c r="B2375" s="1">
        <v>46237</v>
      </c>
      <c r="C2375" t="s">
        <v>1998</v>
      </c>
      <c r="D2375" t="s">
        <v>56</v>
      </c>
      <c r="E2375" t="s">
        <v>27</v>
      </c>
      <c r="F2375">
        <v>3</v>
      </c>
      <c r="G2375">
        <v>1299</v>
      </c>
      <c r="H2375">
        <v>0.15</v>
      </c>
      <c r="I2375" t="s">
        <v>32</v>
      </c>
      <c r="J2375" t="s">
        <v>28</v>
      </c>
      <c r="K2375" t="s">
        <v>37</v>
      </c>
      <c r="L2375">
        <f>F2374*G2374*(1-H2374)</f>
        <v>2397</v>
      </c>
    </row>
    <row r="2376" spans="1:12">
      <c r="A2376" t="s">
        <v>3159</v>
      </c>
      <c r="B2376" s="1">
        <v>46232</v>
      </c>
      <c r="C2376" t="s">
        <v>2057</v>
      </c>
      <c r="D2376" t="s">
        <v>59</v>
      </c>
      <c r="E2376" t="s">
        <v>35</v>
      </c>
      <c r="F2376">
        <v>4</v>
      </c>
      <c r="G2376">
        <v>599</v>
      </c>
      <c r="H2376">
        <v>0</v>
      </c>
      <c r="I2376" t="s">
        <v>50</v>
      </c>
      <c r="J2376" t="s">
        <v>16</v>
      </c>
      <c r="K2376" t="s">
        <v>23</v>
      </c>
      <c r="L2376">
        <f>F2375*G2375*(1-H2375)</f>
        <v>3312.45</v>
      </c>
    </row>
    <row r="2377" spans="1:12">
      <c r="A2377" t="s">
        <v>3160</v>
      </c>
      <c r="B2377" s="1">
        <v>46235</v>
      </c>
      <c r="C2377" t="s">
        <v>1318</v>
      </c>
      <c r="D2377" t="s">
        <v>13</v>
      </c>
      <c r="E2377" t="s">
        <v>14</v>
      </c>
      <c r="F2377">
        <v>1</v>
      </c>
      <c r="G2377">
        <v>4999</v>
      </c>
      <c r="H2377">
        <v>0.15</v>
      </c>
      <c r="I2377" t="s">
        <v>50</v>
      </c>
      <c r="J2377" t="s">
        <v>51</v>
      </c>
      <c r="K2377" t="s">
        <v>17</v>
      </c>
      <c r="L2377">
        <f>F2376*G2376*(1-H2376)</f>
        <v>2396</v>
      </c>
    </row>
    <row r="2378" spans="1:12">
      <c r="A2378" t="s">
        <v>3161</v>
      </c>
      <c r="B2378" s="1">
        <v>46170</v>
      </c>
      <c r="C2378" t="s">
        <v>1768</v>
      </c>
      <c r="D2378" t="s">
        <v>62</v>
      </c>
      <c r="E2378" t="s">
        <v>14</v>
      </c>
      <c r="F2378">
        <v>1</v>
      </c>
      <c r="G2378">
        <v>1299</v>
      </c>
      <c r="H2378">
        <v>0</v>
      </c>
      <c r="I2378" t="s">
        <v>32</v>
      </c>
      <c r="J2378" t="s">
        <v>16</v>
      </c>
      <c r="K2378" t="s">
        <v>17</v>
      </c>
      <c r="L2378">
        <f>F2377*G2377*(1-H2377)</f>
        <v>4249.1499999999996</v>
      </c>
    </row>
    <row r="2379" spans="1:12">
      <c r="A2379" t="s">
        <v>3162</v>
      </c>
      <c r="B2379" s="1">
        <v>46142</v>
      </c>
      <c r="C2379" t="s">
        <v>864</v>
      </c>
      <c r="D2379" t="s">
        <v>59</v>
      </c>
      <c r="E2379" t="s">
        <v>27</v>
      </c>
      <c r="F2379">
        <v>4</v>
      </c>
      <c r="G2379">
        <v>499</v>
      </c>
      <c r="H2379">
        <v>0.05</v>
      </c>
      <c r="I2379" t="s">
        <v>50</v>
      </c>
      <c r="J2379" t="s">
        <v>16</v>
      </c>
      <c r="K2379" t="s">
        <v>37</v>
      </c>
      <c r="L2379">
        <f>F2378*G2378*(1-H2378)</f>
        <v>1299</v>
      </c>
    </row>
    <row r="2380" spans="1:12">
      <c r="A2380" t="s">
        <v>3163</v>
      </c>
      <c r="B2380" s="1">
        <v>46165</v>
      </c>
      <c r="C2380" t="s">
        <v>1034</v>
      </c>
      <c r="D2380" t="s">
        <v>56</v>
      </c>
      <c r="E2380" t="s">
        <v>14</v>
      </c>
      <c r="F2380">
        <v>4</v>
      </c>
      <c r="G2380">
        <v>799</v>
      </c>
      <c r="H2380">
        <v>0.15</v>
      </c>
      <c r="I2380" t="s">
        <v>47</v>
      </c>
      <c r="J2380" t="s">
        <v>22</v>
      </c>
      <c r="K2380" t="s">
        <v>37</v>
      </c>
      <c r="L2380">
        <f>F2379*G2379*(1-H2379)</f>
        <v>1896.1999999999998</v>
      </c>
    </row>
    <row r="2381" spans="1:12">
      <c r="A2381" t="s">
        <v>3164</v>
      </c>
      <c r="B2381" s="1">
        <v>46058</v>
      </c>
      <c r="C2381" t="s">
        <v>496</v>
      </c>
      <c r="D2381" t="s">
        <v>78</v>
      </c>
      <c r="E2381" t="s">
        <v>35</v>
      </c>
      <c r="F2381">
        <v>2</v>
      </c>
      <c r="G2381">
        <v>2499</v>
      </c>
      <c r="H2381">
        <v>0.1</v>
      </c>
      <c r="I2381" t="s">
        <v>15</v>
      </c>
      <c r="J2381" t="s">
        <v>22</v>
      </c>
      <c r="K2381" t="s">
        <v>37</v>
      </c>
      <c r="L2381">
        <f>F2380*G2380*(1-H2380)</f>
        <v>2716.6</v>
      </c>
    </row>
    <row r="2382" spans="1:12">
      <c r="A2382" t="s">
        <v>3165</v>
      </c>
      <c r="B2382" s="1">
        <v>46249</v>
      </c>
      <c r="C2382" t="s">
        <v>2735</v>
      </c>
      <c r="D2382" t="s">
        <v>62</v>
      </c>
      <c r="E2382" t="s">
        <v>21</v>
      </c>
      <c r="F2382">
        <v>5</v>
      </c>
      <c r="G2382">
        <v>1299</v>
      </c>
      <c r="H2382">
        <v>0.15</v>
      </c>
      <c r="I2382" t="s">
        <v>47</v>
      </c>
      <c r="J2382" t="s">
        <v>16</v>
      </c>
      <c r="K2382" t="s">
        <v>37</v>
      </c>
      <c r="L2382">
        <f>F2381*G2381*(1-H2381)</f>
        <v>4498.2</v>
      </c>
    </row>
    <row r="2383" spans="1:12">
      <c r="A2383" t="s">
        <v>3166</v>
      </c>
      <c r="B2383" s="1">
        <v>46193</v>
      </c>
      <c r="C2383" t="s">
        <v>1657</v>
      </c>
      <c r="D2383" t="s">
        <v>13</v>
      </c>
      <c r="E2383" t="s">
        <v>14</v>
      </c>
      <c r="F2383">
        <v>1</v>
      </c>
      <c r="G2383">
        <v>799</v>
      </c>
      <c r="H2383">
        <v>0.1</v>
      </c>
      <c r="I2383" t="s">
        <v>47</v>
      </c>
      <c r="J2383" t="s">
        <v>36</v>
      </c>
      <c r="K2383" t="s">
        <v>23</v>
      </c>
      <c r="L2383">
        <f>F2382*G2382*(1-H2382)</f>
        <v>5520.75</v>
      </c>
    </row>
    <row r="2384" spans="1:12">
      <c r="A2384" t="s">
        <v>3167</v>
      </c>
      <c r="B2384" s="1">
        <v>46205</v>
      </c>
      <c r="C2384" t="s">
        <v>1493</v>
      </c>
      <c r="D2384" t="s">
        <v>59</v>
      </c>
      <c r="E2384" t="s">
        <v>27</v>
      </c>
      <c r="F2384">
        <v>3</v>
      </c>
      <c r="G2384">
        <v>1499</v>
      </c>
      <c r="H2384">
        <v>0.15</v>
      </c>
      <c r="I2384" t="s">
        <v>50</v>
      </c>
      <c r="J2384" t="s">
        <v>51</v>
      </c>
      <c r="K2384" t="s">
        <v>17</v>
      </c>
      <c r="L2384">
        <f>F2383*G2383*(1-H2383)</f>
        <v>719.1</v>
      </c>
    </row>
    <row r="2385" spans="1:12">
      <c r="A2385" t="s">
        <v>3168</v>
      </c>
      <c r="B2385" s="1">
        <v>46044</v>
      </c>
      <c r="C2385" t="s">
        <v>872</v>
      </c>
      <c r="D2385" t="s">
        <v>59</v>
      </c>
      <c r="E2385" t="s">
        <v>21</v>
      </c>
      <c r="F2385">
        <v>3</v>
      </c>
      <c r="G2385">
        <v>999</v>
      </c>
      <c r="H2385">
        <v>0</v>
      </c>
      <c r="I2385" t="s">
        <v>44</v>
      </c>
      <c r="J2385" t="s">
        <v>28</v>
      </c>
      <c r="K2385" t="s">
        <v>37</v>
      </c>
      <c r="L2385">
        <f>F2384*G2384*(1-H2384)</f>
        <v>3822.45</v>
      </c>
    </row>
    <row r="2386" spans="1:12">
      <c r="A2386" t="s">
        <v>3169</v>
      </c>
      <c r="B2386" s="1">
        <v>46042</v>
      </c>
      <c r="C2386" t="s">
        <v>255</v>
      </c>
      <c r="D2386" t="s">
        <v>62</v>
      </c>
      <c r="E2386" t="s">
        <v>35</v>
      </c>
      <c r="F2386">
        <v>5</v>
      </c>
      <c r="G2386">
        <v>7999</v>
      </c>
      <c r="H2386">
        <v>0.05</v>
      </c>
      <c r="I2386" t="s">
        <v>50</v>
      </c>
      <c r="J2386" t="s">
        <v>16</v>
      </c>
      <c r="K2386" t="s">
        <v>17</v>
      </c>
      <c r="L2386">
        <f>F2385*G2385*(1-H2385)</f>
        <v>2997</v>
      </c>
    </row>
    <row r="2387" spans="1:12">
      <c r="A2387" t="s">
        <v>3170</v>
      </c>
      <c r="B2387" s="1">
        <v>46160</v>
      </c>
      <c r="C2387" t="s">
        <v>150</v>
      </c>
      <c r="D2387" t="s">
        <v>26</v>
      </c>
      <c r="E2387" t="s">
        <v>14</v>
      </c>
      <c r="F2387">
        <v>2</v>
      </c>
      <c r="G2387">
        <v>2499</v>
      </c>
      <c r="H2387">
        <v>0</v>
      </c>
      <c r="I2387" t="s">
        <v>15</v>
      </c>
      <c r="J2387" t="s">
        <v>51</v>
      </c>
      <c r="K2387" t="s">
        <v>17</v>
      </c>
      <c r="L2387">
        <f>F2386*G2386*(1-H2386)</f>
        <v>37995.25</v>
      </c>
    </row>
    <row r="2388" spans="1:12">
      <c r="A2388" t="s">
        <v>3171</v>
      </c>
      <c r="B2388" s="1">
        <v>46212</v>
      </c>
      <c r="C2388" t="s">
        <v>969</v>
      </c>
      <c r="D2388" t="s">
        <v>56</v>
      </c>
      <c r="E2388" t="s">
        <v>35</v>
      </c>
      <c r="F2388">
        <v>2</v>
      </c>
      <c r="G2388">
        <v>4999</v>
      </c>
      <c r="H2388">
        <v>0.15</v>
      </c>
      <c r="I2388" t="s">
        <v>32</v>
      </c>
      <c r="J2388" t="s">
        <v>51</v>
      </c>
      <c r="K2388" t="s">
        <v>17</v>
      </c>
      <c r="L2388">
        <f>F2387*G2387*(1-H2387)</f>
        <v>4998</v>
      </c>
    </row>
    <row r="2389" spans="1:12">
      <c r="A2389" t="s">
        <v>3172</v>
      </c>
      <c r="B2389" s="1">
        <v>46073</v>
      </c>
      <c r="C2389" t="s">
        <v>235</v>
      </c>
      <c r="D2389" t="s">
        <v>20</v>
      </c>
      <c r="E2389" t="s">
        <v>35</v>
      </c>
      <c r="F2389">
        <v>4</v>
      </c>
      <c r="G2389">
        <v>7999</v>
      </c>
      <c r="H2389">
        <v>0.05</v>
      </c>
      <c r="I2389" t="s">
        <v>47</v>
      </c>
      <c r="J2389" t="s">
        <v>51</v>
      </c>
      <c r="K2389" t="s">
        <v>17</v>
      </c>
      <c r="L2389">
        <f>F2388*G2388*(1-H2388)</f>
        <v>8498.2999999999993</v>
      </c>
    </row>
    <row r="2390" spans="1:12">
      <c r="A2390" t="s">
        <v>3173</v>
      </c>
      <c r="B2390" s="1">
        <v>46080</v>
      </c>
      <c r="C2390" t="s">
        <v>302</v>
      </c>
      <c r="D2390" t="s">
        <v>71</v>
      </c>
      <c r="E2390" t="s">
        <v>21</v>
      </c>
      <c r="F2390">
        <v>1</v>
      </c>
      <c r="G2390">
        <v>2499</v>
      </c>
      <c r="H2390">
        <v>0</v>
      </c>
      <c r="I2390" t="s">
        <v>50</v>
      </c>
      <c r="J2390" t="s">
        <v>16</v>
      </c>
      <c r="K2390" t="s">
        <v>23</v>
      </c>
      <c r="L2390">
        <f>F2389*G2389*(1-H2389)</f>
        <v>30396.199999999997</v>
      </c>
    </row>
    <row r="2391" spans="1:12">
      <c r="A2391" t="s">
        <v>3174</v>
      </c>
      <c r="B2391" s="1">
        <v>46194</v>
      </c>
      <c r="C2391" t="s">
        <v>401</v>
      </c>
      <c r="D2391" t="s">
        <v>78</v>
      </c>
      <c r="E2391" t="s">
        <v>27</v>
      </c>
      <c r="F2391">
        <v>3</v>
      </c>
      <c r="G2391">
        <v>799</v>
      </c>
      <c r="H2391">
        <v>0</v>
      </c>
      <c r="I2391" t="s">
        <v>44</v>
      </c>
      <c r="J2391" t="s">
        <v>16</v>
      </c>
      <c r="K2391" t="s">
        <v>17</v>
      </c>
      <c r="L2391">
        <f>F2390*G2390*(1-H2390)</f>
        <v>2499</v>
      </c>
    </row>
    <row r="2392" spans="1:12">
      <c r="A2392" t="s">
        <v>3175</v>
      </c>
      <c r="B2392" s="1">
        <v>46137</v>
      </c>
      <c r="C2392" t="s">
        <v>42</v>
      </c>
      <c r="D2392" t="s">
        <v>20</v>
      </c>
      <c r="E2392" t="s">
        <v>40</v>
      </c>
      <c r="F2392">
        <v>4</v>
      </c>
      <c r="G2392">
        <v>7999</v>
      </c>
      <c r="H2392">
        <v>0.15</v>
      </c>
      <c r="I2392" t="s">
        <v>32</v>
      </c>
      <c r="J2392" t="s">
        <v>28</v>
      </c>
      <c r="K2392" t="s">
        <v>23</v>
      </c>
      <c r="L2392">
        <f>F2391*G2391*(1-H2391)</f>
        <v>2397</v>
      </c>
    </row>
    <row r="2393" spans="1:12">
      <c r="A2393" t="s">
        <v>3176</v>
      </c>
      <c r="B2393" s="1">
        <v>46186</v>
      </c>
      <c r="C2393" t="s">
        <v>172</v>
      </c>
      <c r="D2393" t="s">
        <v>62</v>
      </c>
      <c r="E2393" t="s">
        <v>21</v>
      </c>
      <c r="F2393">
        <v>3</v>
      </c>
      <c r="G2393">
        <v>4999</v>
      </c>
      <c r="H2393">
        <v>0.1</v>
      </c>
      <c r="I2393" t="s">
        <v>32</v>
      </c>
      <c r="J2393" t="s">
        <v>51</v>
      </c>
      <c r="K2393" t="s">
        <v>37</v>
      </c>
      <c r="L2393">
        <f>F2392*G2392*(1-H2392)</f>
        <v>27196.6</v>
      </c>
    </row>
    <row r="2394" spans="1:12">
      <c r="A2394" t="s">
        <v>3177</v>
      </c>
      <c r="B2394" s="1">
        <v>46212</v>
      </c>
      <c r="C2394" t="s">
        <v>2641</v>
      </c>
      <c r="D2394" t="s">
        <v>43</v>
      </c>
      <c r="E2394" t="s">
        <v>27</v>
      </c>
      <c r="F2394">
        <v>5</v>
      </c>
      <c r="G2394">
        <v>2499</v>
      </c>
      <c r="H2394">
        <v>0.15</v>
      </c>
      <c r="I2394" t="s">
        <v>32</v>
      </c>
      <c r="J2394" t="s">
        <v>51</v>
      </c>
      <c r="K2394" t="s">
        <v>17</v>
      </c>
      <c r="L2394">
        <f>F2393*G2393*(1-H2393)</f>
        <v>13497.300000000001</v>
      </c>
    </row>
    <row r="2395" spans="1:12">
      <c r="A2395" t="s">
        <v>3178</v>
      </c>
      <c r="B2395" s="1">
        <v>46250</v>
      </c>
      <c r="C2395" t="s">
        <v>2295</v>
      </c>
      <c r="D2395" t="s">
        <v>43</v>
      </c>
      <c r="E2395" t="s">
        <v>35</v>
      </c>
      <c r="F2395">
        <v>2</v>
      </c>
      <c r="G2395">
        <v>7999</v>
      </c>
      <c r="H2395">
        <v>0.15</v>
      </c>
      <c r="I2395" t="s">
        <v>32</v>
      </c>
      <c r="J2395" t="s">
        <v>28</v>
      </c>
      <c r="K2395" t="s">
        <v>37</v>
      </c>
      <c r="L2395">
        <f>F2394*G2394*(1-H2394)</f>
        <v>10620.75</v>
      </c>
    </row>
    <row r="2396" spans="1:12">
      <c r="A2396" t="s">
        <v>3179</v>
      </c>
      <c r="B2396" s="1">
        <v>46089</v>
      </c>
      <c r="C2396" t="s">
        <v>168</v>
      </c>
      <c r="D2396" t="s">
        <v>56</v>
      </c>
      <c r="E2396" t="s">
        <v>21</v>
      </c>
      <c r="F2396">
        <v>2</v>
      </c>
      <c r="G2396">
        <v>1299</v>
      </c>
      <c r="H2396">
        <v>0.15</v>
      </c>
      <c r="I2396" t="s">
        <v>32</v>
      </c>
      <c r="J2396" t="s">
        <v>28</v>
      </c>
      <c r="K2396" t="s">
        <v>17</v>
      </c>
      <c r="L2396">
        <f>F2395*G2395*(1-H2395)</f>
        <v>13598.3</v>
      </c>
    </row>
    <row r="2397" spans="1:12">
      <c r="A2397" t="s">
        <v>3180</v>
      </c>
      <c r="B2397" s="1">
        <v>46072</v>
      </c>
      <c r="C2397" t="s">
        <v>2034</v>
      </c>
      <c r="D2397" t="s">
        <v>62</v>
      </c>
      <c r="E2397" t="s">
        <v>40</v>
      </c>
      <c r="F2397">
        <v>3</v>
      </c>
      <c r="G2397">
        <v>999</v>
      </c>
      <c r="H2397">
        <v>0</v>
      </c>
      <c r="I2397" t="s">
        <v>15</v>
      </c>
      <c r="J2397" t="s">
        <v>36</v>
      </c>
      <c r="K2397" t="s">
        <v>23</v>
      </c>
      <c r="L2397">
        <f>F2396*G2396*(1-H2396)</f>
        <v>2208.2999999999997</v>
      </c>
    </row>
    <row r="2398" spans="1:12">
      <c r="A2398" t="s">
        <v>3181</v>
      </c>
      <c r="B2398" s="1">
        <v>46134</v>
      </c>
      <c r="C2398" t="s">
        <v>1611</v>
      </c>
      <c r="D2398" t="s">
        <v>71</v>
      </c>
      <c r="E2398" t="s">
        <v>21</v>
      </c>
      <c r="F2398">
        <v>3</v>
      </c>
      <c r="G2398">
        <v>4999</v>
      </c>
      <c r="H2398">
        <v>0</v>
      </c>
      <c r="I2398" t="s">
        <v>47</v>
      </c>
      <c r="J2398" t="s">
        <v>28</v>
      </c>
      <c r="K2398" t="s">
        <v>23</v>
      </c>
      <c r="L2398">
        <f>F2397*G2397*(1-H2397)</f>
        <v>2997</v>
      </c>
    </row>
    <row r="2399" spans="1:12">
      <c r="A2399" t="s">
        <v>3182</v>
      </c>
      <c r="B2399" s="1">
        <v>46238</v>
      </c>
      <c r="C2399" t="s">
        <v>711</v>
      </c>
      <c r="D2399" t="s">
        <v>56</v>
      </c>
      <c r="E2399" t="s">
        <v>14</v>
      </c>
      <c r="F2399">
        <v>3</v>
      </c>
      <c r="G2399">
        <v>7999</v>
      </c>
      <c r="H2399">
        <v>0.05</v>
      </c>
      <c r="I2399" t="s">
        <v>15</v>
      </c>
      <c r="J2399" t="s">
        <v>51</v>
      </c>
      <c r="K2399" t="s">
        <v>17</v>
      </c>
      <c r="L2399">
        <f>F2398*G2398*(1-H2398)</f>
        <v>14997</v>
      </c>
    </row>
    <row r="2400" spans="1:12">
      <c r="A2400" t="s">
        <v>3183</v>
      </c>
      <c r="B2400" s="1">
        <v>46102</v>
      </c>
      <c r="C2400" t="s">
        <v>154</v>
      </c>
      <c r="D2400" t="s">
        <v>78</v>
      </c>
      <c r="E2400" t="s">
        <v>35</v>
      </c>
      <c r="F2400">
        <v>5</v>
      </c>
      <c r="G2400">
        <v>1299</v>
      </c>
      <c r="H2400">
        <v>0</v>
      </c>
      <c r="I2400" t="s">
        <v>47</v>
      </c>
      <c r="J2400" t="s">
        <v>22</v>
      </c>
      <c r="K2400" t="s">
        <v>23</v>
      </c>
      <c r="L2400">
        <f>F2399*G2399*(1-H2399)</f>
        <v>22797.149999999998</v>
      </c>
    </row>
    <row r="2401" spans="1:12">
      <c r="A2401" t="s">
        <v>3184</v>
      </c>
      <c r="B2401" s="1">
        <v>46103</v>
      </c>
      <c r="C2401" t="s">
        <v>877</v>
      </c>
      <c r="D2401" t="s">
        <v>31</v>
      </c>
      <c r="E2401" t="s">
        <v>35</v>
      </c>
      <c r="F2401">
        <v>3</v>
      </c>
      <c r="G2401">
        <v>1499</v>
      </c>
      <c r="H2401">
        <v>0</v>
      </c>
      <c r="I2401" t="s">
        <v>47</v>
      </c>
      <c r="J2401" t="s">
        <v>36</v>
      </c>
      <c r="K2401" t="s">
        <v>17</v>
      </c>
      <c r="L2401">
        <f>F2400*G2400*(1-H2400)</f>
        <v>6495</v>
      </c>
    </row>
    <row r="2402" spans="1:12">
      <c r="A2402" t="s">
        <v>3185</v>
      </c>
      <c r="B2402" s="1">
        <v>46278</v>
      </c>
      <c r="C2402" t="s">
        <v>1276</v>
      </c>
      <c r="D2402" t="s">
        <v>26</v>
      </c>
      <c r="E2402" t="s">
        <v>40</v>
      </c>
      <c r="F2402">
        <v>2</v>
      </c>
      <c r="G2402">
        <v>1299</v>
      </c>
      <c r="H2402">
        <v>0</v>
      </c>
      <c r="I2402" t="s">
        <v>15</v>
      </c>
      <c r="J2402" t="s">
        <v>22</v>
      </c>
      <c r="K2402" t="s">
        <v>37</v>
      </c>
      <c r="L2402">
        <f>F2401*G2401*(1-H2401)</f>
        <v>4497</v>
      </c>
    </row>
    <row r="2403" spans="1:12">
      <c r="A2403" t="s">
        <v>3186</v>
      </c>
      <c r="B2403" s="1">
        <v>46274</v>
      </c>
      <c r="C2403" t="s">
        <v>2562</v>
      </c>
      <c r="D2403" t="s">
        <v>56</v>
      </c>
      <c r="E2403" t="s">
        <v>14</v>
      </c>
      <c r="F2403">
        <v>5</v>
      </c>
      <c r="G2403">
        <v>1499</v>
      </c>
      <c r="H2403">
        <v>0</v>
      </c>
      <c r="I2403" t="s">
        <v>44</v>
      </c>
      <c r="J2403" t="s">
        <v>51</v>
      </c>
      <c r="K2403" t="s">
        <v>37</v>
      </c>
      <c r="L2403">
        <f>F2402*G2402*(1-H2402)</f>
        <v>2598</v>
      </c>
    </row>
    <row r="2404" spans="1:12">
      <c r="A2404" t="s">
        <v>3187</v>
      </c>
      <c r="B2404" s="1">
        <v>46048</v>
      </c>
      <c r="C2404" t="s">
        <v>357</v>
      </c>
      <c r="D2404" t="s">
        <v>78</v>
      </c>
      <c r="E2404" t="s">
        <v>21</v>
      </c>
      <c r="F2404">
        <v>5</v>
      </c>
      <c r="G2404">
        <v>599</v>
      </c>
      <c r="H2404">
        <v>0.15</v>
      </c>
      <c r="I2404" t="s">
        <v>44</v>
      </c>
      <c r="J2404" t="s">
        <v>16</v>
      </c>
      <c r="K2404" t="s">
        <v>17</v>
      </c>
      <c r="L2404">
        <f>F2403*G2403*(1-H2403)</f>
        <v>7495</v>
      </c>
    </row>
    <row r="2405" spans="1:12">
      <c r="A2405" t="s">
        <v>3188</v>
      </c>
      <c r="B2405" s="1">
        <v>46274</v>
      </c>
      <c r="C2405" t="s">
        <v>1118</v>
      </c>
      <c r="D2405" t="s">
        <v>59</v>
      </c>
      <c r="E2405" t="s">
        <v>35</v>
      </c>
      <c r="F2405">
        <v>4</v>
      </c>
      <c r="G2405">
        <v>1499</v>
      </c>
      <c r="H2405">
        <v>0.05</v>
      </c>
      <c r="I2405" t="s">
        <v>44</v>
      </c>
      <c r="J2405" t="s">
        <v>16</v>
      </c>
      <c r="K2405" t="s">
        <v>17</v>
      </c>
      <c r="L2405">
        <f>F2404*G2404*(1-H2404)</f>
        <v>2545.75</v>
      </c>
    </row>
    <row r="2406" spans="1:12">
      <c r="A2406" t="s">
        <v>3189</v>
      </c>
      <c r="B2406" s="1">
        <v>46080</v>
      </c>
      <c r="C2406" t="s">
        <v>382</v>
      </c>
      <c r="D2406" t="s">
        <v>26</v>
      </c>
      <c r="E2406" t="s">
        <v>27</v>
      </c>
      <c r="F2406">
        <v>2</v>
      </c>
      <c r="G2406">
        <v>4999</v>
      </c>
      <c r="H2406">
        <v>0.05</v>
      </c>
      <c r="I2406" t="s">
        <v>32</v>
      </c>
      <c r="J2406" t="s">
        <v>22</v>
      </c>
      <c r="K2406" t="s">
        <v>37</v>
      </c>
      <c r="L2406">
        <f>F2405*G2405*(1-H2405)</f>
        <v>5696.2</v>
      </c>
    </row>
    <row r="2407" spans="1:12">
      <c r="A2407" t="s">
        <v>3190</v>
      </c>
      <c r="B2407" s="1">
        <v>46109</v>
      </c>
      <c r="C2407" t="s">
        <v>1652</v>
      </c>
      <c r="D2407" t="s">
        <v>56</v>
      </c>
      <c r="E2407" t="s">
        <v>27</v>
      </c>
      <c r="F2407">
        <v>1</v>
      </c>
      <c r="G2407">
        <v>1999</v>
      </c>
      <c r="H2407">
        <v>0.15</v>
      </c>
      <c r="I2407" t="s">
        <v>50</v>
      </c>
      <c r="J2407" t="s">
        <v>51</v>
      </c>
      <c r="K2407" t="s">
        <v>37</v>
      </c>
      <c r="L2407">
        <f>F2406*G2406*(1-H2406)</f>
        <v>9498.1</v>
      </c>
    </row>
    <row r="2408" spans="1:12">
      <c r="A2408" t="s">
        <v>3191</v>
      </c>
      <c r="B2408" s="1">
        <v>46093</v>
      </c>
      <c r="C2408" t="s">
        <v>1521</v>
      </c>
      <c r="D2408" t="s">
        <v>43</v>
      </c>
      <c r="E2408" t="s">
        <v>14</v>
      </c>
      <c r="F2408">
        <v>3</v>
      </c>
      <c r="G2408">
        <v>799</v>
      </c>
      <c r="H2408">
        <v>0</v>
      </c>
      <c r="I2408" t="s">
        <v>32</v>
      </c>
      <c r="J2408" t="s">
        <v>28</v>
      </c>
      <c r="K2408" t="s">
        <v>17</v>
      </c>
      <c r="L2408">
        <f>F2407*G2407*(1-H2407)</f>
        <v>1699.1499999999999</v>
      </c>
    </row>
    <row r="2409" spans="1:12">
      <c r="A2409" t="s">
        <v>3192</v>
      </c>
      <c r="B2409" s="1">
        <v>46044</v>
      </c>
      <c r="C2409" t="s">
        <v>746</v>
      </c>
      <c r="D2409" t="s">
        <v>13</v>
      </c>
      <c r="E2409" t="s">
        <v>35</v>
      </c>
      <c r="F2409">
        <v>1</v>
      </c>
      <c r="G2409">
        <v>2499</v>
      </c>
      <c r="H2409">
        <v>0.1</v>
      </c>
      <c r="I2409" t="s">
        <v>44</v>
      </c>
      <c r="J2409" t="s">
        <v>36</v>
      </c>
      <c r="K2409" t="s">
        <v>17</v>
      </c>
      <c r="L2409">
        <f>F2408*G2408*(1-H2408)</f>
        <v>2397</v>
      </c>
    </row>
    <row r="2410" spans="1:12">
      <c r="A2410" t="s">
        <v>3193</v>
      </c>
      <c r="B2410" s="1">
        <v>46293</v>
      </c>
      <c r="C2410" t="s">
        <v>380</v>
      </c>
      <c r="D2410" t="s">
        <v>43</v>
      </c>
      <c r="E2410" t="s">
        <v>21</v>
      </c>
      <c r="F2410">
        <v>4</v>
      </c>
      <c r="G2410">
        <v>7999</v>
      </c>
      <c r="H2410">
        <v>0.1</v>
      </c>
      <c r="I2410" t="s">
        <v>32</v>
      </c>
      <c r="J2410" t="s">
        <v>16</v>
      </c>
      <c r="K2410" t="s">
        <v>17</v>
      </c>
      <c r="L2410">
        <f>F2409*G2409*(1-H2409)</f>
        <v>2249.1</v>
      </c>
    </row>
    <row r="2411" spans="1:12">
      <c r="A2411" t="s">
        <v>3194</v>
      </c>
      <c r="B2411" s="1">
        <v>46092</v>
      </c>
      <c r="C2411" t="s">
        <v>1261</v>
      </c>
      <c r="D2411" t="s">
        <v>26</v>
      </c>
      <c r="E2411" t="s">
        <v>27</v>
      </c>
      <c r="F2411">
        <v>5</v>
      </c>
      <c r="G2411">
        <v>499</v>
      </c>
      <c r="H2411">
        <v>0.15</v>
      </c>
      <c r="I2411" t="s">
        <v>15</v>
      </c>
      <c r="J2411" t="s">
        <v>22</v>
      </c>
      <c r="K2411" t="s">
        <v>23</v>
      </c>
      <c r="L2411">
        <f>F2410*G2410*(1-H2410)</f>
        <v>28796.400000000001</v>
      </c>
    </row>
    <row r="2412" spans="1:12">
      <c r="A2412" t="s">
        <v>3195</v>
      </c>
      <c r="B2412" s="1">
        <v>46214</v>
      </c>
      <c r="C2412" t="s">
        <v>470</v>
      </c>
      <c r="D2412" t="s">
        <v>13</v>
      </c>
      <c r="E2412" t="s">
        <v>27</v>
      </c>
      <c r="F2412">
        <v>1</v>
      </c>
      <c r="G2412">
        <v>599</v>
      </c>
      <c r="H2412">
        <v>0.05</v>
      </c>
      <c r="I2412" t="s">
        <v>32</v>
      </c>
      <c r="J2412" t="s">
        <v>36</v>
      </c>
      <c r="K2412" t="s">
        <v>23</v>
      </c>
      <c r="L2412">
        <f>F2411*G2411*(1-H2411)</f>
        <v>2120.75</v>
      </c>
    </row>
    <row r="2413" spans="1:12">
      <c r="A2413" t="s">
        <v>3196</v>
      </c>
      <c r="B2413" s="1">
        <v>46092</v>
      </c>
      <c r="C2413" t="s">
        <v>1203</v>
      </c>
      <c r="D2413" t="s">
        <v>31</v>
      </c>
      <c r="E2413" t="s">
        <v>40</v>
      </c>
      <c r="F2413">
        <v>4</v>
      </c>
      <c r="G2413">
        <v>999</v>
      </c>
      <c r="H2413">
        <v>0.1</v>
      </c>
      <c r="I2413" t="s">
        <v>50</v>
      </c>
      <c r="J2413" t="s">
        <v>22</v>
      </c>
      <c r="K2413" t="s">
        <v>23</v>
      </c>
      <c r="L2413">
        <f>F2412*G2412*(1-H2412)</f>
        <v>569.04999999999995</v>
      </c>
    </row>
    <row r="2414" spans="1:12">
      <c r="A2414" t="s">
        <v>3197</v>
      </c>
      <c r="B2414" s="1">
        <v>46200</v>
      </c>
      <c r="C2414" t="s">
        <v>1112</v>
      </c>
      <c r="D2414" t="s">
        <v>56</v>
      </c>
      <c r="E2414" t="s">
        <v>35</v>
      </c>
      <c r="F2414">
        <v>4</v>
      </c>
      <c r="G2414">
        <v>799</v>
      </c>
      <c r="H2414">
        <v>0</v>
      </c>
      <c r="I2414" t="s">
        <v>15</v>
      </c>
      <c r="J2414" t="s">
        <v>16</v>
      </c>
      <c r="K2414" t="s">
        <v>17</v>
      </c>
      <c r="L2414">
        <f>F2413*G2413*(1-H2413)</f>
        <v>3596.4</v>
      </c>
    </row>
    <row r="2415" spans="1:12">
      <c r="A2415" t="s">
        <v>3198</v>
      </c>
      <c r="B2415" s="1">
        <v>46046</v>
      </c>
      <c r="C2415" t="s">
        <v>144</v>
      </c>
      <c r="D2415" t="s">
        <v>31</v>
      </c>
      <c r="E2415" t="s">
        <v>21</v>
      </c>
      <c r="F2415">
        <v>4</v>
      </c>
      <c r="G2415">
        <v>7999</v>
      </c>
      <c r="H2415">
        <v>0</v>
      </c>
      <c r="I2415" t="s">
        <v>44</v>
      </c>
      <c r="J2415" t="s">
        <v>36</v>
      </c>
      <c r="K2415" t="s">
        <v>17</v>
      </c>
      <c r="L2415">
        <f>F2414*G2414*(1-H2414)</f>
        <v>3196</v>
      </c>
    </row>
    <row r="2416" spans="1:12">
      <c r="A2416" t="s">
        <v>3199</v>
      </c>
      <c r="B2416" s="1">
        <v>46192</v>
      </c>
      <c r="C2416" t="s">
        <v>1856</v>
      </c>
      <c r="D2416" t="s">
        <v>78</v>
      </c>
      <c r="E2416" t="s">
        <v>21</v>
      </c>
      <c r="F2416">
        <v>2</v>
      </c>
      <c r="G2416">
        <v>7999</v>
      </c>
      <c r="H2416">
        <v>0</v>
      </c>
      <c r="I2416" t="s">
        <v>50</v>
      </c>
      <c r="J2416" t="s">
        <v>22</v>
      </c>
      <c r="K2416" t="s">
        <v>17</v>
      </c>
      <c r="L2416">
        <f>F2415*G2415*(1-H2415)</f>
        <v>31996</v>
      </c>
    </row>
    <row r="2417" spans="1:12">
      <c r="A2417" t="s">
        <v>3200</v>
      </c>
      <c r="B2417" s="1">
        <v>46229</v>
      </c>
      <c r="C2417" t="s">
        <v>1444</v>
      </c>
      <c r="D2417" t="s">
        <v>59</v>
      </c>
      <c r="E2417" t="s">
        <v>21</v>
      </c>
      <c r="F2417">
        <v>4</v>
      </c>
      <c r="G2417">
        <v>999</v>
      </c>
      <c r="H2417">
        <v>0.1</v>
      </c>
      <c r="I2417" t="s">
        <v>47</v>
      </c>
      <c r="J2417" t="s">
        <v>22</v>
      </c>
      <c r="K2417" t="s">
        <v>37</v>
      </c>
      <c r="L2417">
        <f>F2416*G2416*(1-H2416)</f>
        <v>15998</v>
      </c>
    </row>
    <row r="2418" spans="1:12">
      <c r="A2418" t="s">
        <v>3201</v>
      </c>
      <c r="B2418" s="1">
        <v>46172</v>
      </c>
      <c r="C2418" t="s">
        <v>1062</v>
      </c>
      <c r="D2418" t="s">
        <v>26</v>
      </c>
      <c r="E2418" t="s">
        <v>21</v>
      </c>
      <c r="F2418">
        <v>2</v>
      </c>
      <c r="G2418">
        <v>999</v>
      </c>
      <c r="H2418">
        <v>0.15</v>
      </c>
      <c r="I2418" t="s">
        <v>15</v>
      </c>
      <c r="J2418" t="s">
        <v>22</v>
      </c>
      <c r="K2418" t="s">
        <v>37</v>
      </c>
      <c r="L2418">
        <f>F2417*G2417*(1-H2417)</f>
        <v>3596.4</v>
      </c>
    </row>
    <row r="2419" spans="1:12">
      <c r="A2419" t="s">
        <v>3202</v>
      </c>
      <c r="B2419" s="1">
        <v>46271</v>
      </c>
      <c r="C2419" t="s">
        <v>846</v>
      </c>
      <c r="D2419" t="s">
        <v>56</v>
      </c>
      <c r="E2419" t="s">
        <v>40</v>
      </c>
      <c r="F2419">
        <v>5</v>
      </c>
      <c r="G2419">
        <v>1299</v>
      </c>
      <c r="H2419">
        <v>0</v>
      </c>
      <c r="I2419" t="s">
        <v>47</v>
      </c>
      <c r="J2419" t="s">
        <v>22</v>
      </c>
      <c r="K2419" t="s">
        <v>37</v>
      </c>
      <c r="L2419">
        <f>F2418*G2418*(1-H2418)</f>
        <v>1698.3</v>
      </c>
    </row>
    <row r="2420" spans="1:12">
      <c r="A2420" t="s">
        <v>3203</v>
      </c>
      <c r="B2420" s="1">
        <v>46037</v>
      </c>
      <c r="C2420" t="s">
        <v>3204</v>
      </c>
      <c r="D2420" t="s">
        <v>43</v>
      </c>
      <c r="E2420" t="s">
        <v>14</v>
      </c>
      <c r="F2420">
        <v>4</v>
      </c>
      <c r="G2420">
        <v>799</v>
      </c>
      <c r="H2420">
        <v>0.15</v>
      </c>
      <c r="I2420" t="s">
        <v>15</v>
      </c>
      <c r="J2420" t="s">
        <v>22</v>
      </c>
      <c r="K2420" t="s">
        <v>17</v>
      </c>
      <c r="L2420">
        <f>F2419*G2419*(1-H2419)</f>
        <v>6495</v>
      </c>
    </row>
    <row r="2421" spans="1:12">
      <c r="A2421" t="s">
        <v>3205</v>
      </c>
      <c r="B2421" s="1">
        <v>46279</v>
      </c>
      <c r="C2421" t="s">
        <v>1821</v>
      </c>
      <c r="D2421" t="s">
        <v>62</v>
      </c>
      <c r="E2421" t="s">
        <v>40</v>
      </c>
      <c r="F2421">
        <v>1</v>
      </c>
      <c r="G2421">
        <v>4999</v>
      </c>
      <c r="H2421">
        <v>0</v>
      </c>
      <c r="I2421" t="s">
        <v>44</v>
      </c>
      <c r="J2421" t="s">
        <v>28</v>
      </c>
      <c r="K2421" t="s">
        <v>17</v>
      </c>
      <c r="L2421">
        <f>F2420*G2420*(1-H2420)</f>
        <v>2716.6</v>
      </c>
    </row>
    <row r="2422" spans="1:12">
      <c r="A2422" t="s">
        <v>3206</v>
      </c>
      <c r="B2422" s="1">
        <v>46040</v>
      </c>
      <c r="C2422" t="s">
        <v>1036</v>
      </c>
      <c r="D2422" t="s">
        <v>56</v>
      </c>
      <c r="E2422" t="s">
        <v>35</v>
      </c>
      <c r="F2422">
        <v>5</v>
      </c>
      <c r="G2422">
        <v>599</v>
      </c>
      <c r="H2422">
        <v>0</v>
      </c>
      <c r="I2422" t="s">
        <v>44</v>
      </c>
      <c r="J2422" t="s">
        <v>36</v>
      </c>
      <c r="K2422" t="s">
        <v>23</v>
      </c>
      <c r="L2422">
        <f>F2421*G2421*(1-H2421)</f>
        <v>4999</v>
      </c>
    </row>
    <row r="2423" spans="1:12">
      <c r="A2423" t="s">
        <v>3207</v>
      </c>
      <c r="B2423" s="1">
        <v>46131</v>
      </c>
      <c r="C2423" t="s">
        <v>564</v>
      </c>
      <c r="D2423" t="s">
        <v>20</v>
      </c>
      <c r="E2423" t="s">
        <v>35</v>
      </c>
      <c r="F2423">
        <v>5</v>
      </c>
      <c r="G2423">
        <v>999</v>
      </c>
      <c r="H2423">
        <v>0.1</v>
      </c>
      <c r="I2423" t="s">
        <v>15</v>
      </c>
      <c r="J2423" t="s">
        <v>16</v>
      </c>
      <c r="K2423" t="s">
        <v>23</v>
      </c>
      <c r="L2423">
        <f>F2422*G2422*(1-H2422)</f>
        <v>2995</v>
      </c>
    </row>
    <row r="2424" spans="1:12">
      <c r="A2424" t="s">
        <v>3208</v>
      </c>
      <c r="B2424" s="1">
        <v>46103</v>
      </c>
      <c r="C2424" t="s">
        <v>651</v>
      </c>
      <c r="D2424" t="s">
        <v>56</v>
      </c>
      <c r="E2424" t="s">
        <v>14</v>
      </c>
      <c r="F2424">
        <v>1</v>
      </c>
      <c r="G2424">
        <v>1499</v>
      </c>
      <c r="H2424">
        <v>0.1</v>
      </c>
      <c r="I2424" t="s">
        <v>15</v>
      </c>
      <c r="J2424" t="s">
        <v>28</v>
      </c>
      <c r="K2424" t="s">
        <v>17</v>
      </c>
      <c r="L2424">
        <f>F2423*G2423*(1-H2423)</f>
        <v>4495.5</v>
      </c>
    </row>
    <row r="2425" spans="1:12">
      <c r="A2425" t="s">
        <v>3209</v>
      </c>
      <c r="B2425" s="1">
        <v>46066</v>
      </c>
      <c r="C2425" t="s">
        <v>49</v>
      </c>
      <c r="D2425" t="s">
        <v>56</v>
      </c>
      <c r="E2425" t="s">
        <v>35</v>
      </c>
      <c r="F2425">
        <v>2</v>
      </c>
      <c r="G2425">
        <v>999</v>
      </c>
      <c r="H2425">
        <v>0.05</v>
      </c>
      <c r="I2425" t="s">
        <v>47</v>
      </c>
      <c r="J2425" t="s">
        <v>36</v>
      </c>
      <c r="K2425" t="s">
        <v>17</v>
      </c>
      <c r="L2425">
        <f>F2424*G2424*(1-H2424)</f>
        <v>1349.1000000000001</v>
      </c>
    </row>
    <row r="2426" spans="1:12">
      <c r="A2426" t="s">
        <v>3210</v>
      </c>
      <c r="B2426" s="1">
        <v>46215</v>
      </c>
      <c r="C2426" t="s">
        <v>3211</v>
      </c>
      <c r="D2426" t="s">
        <v>20</v>
      </c>
      <c r="E2426" t="s">
        <v>35</v>
      </c>
      <c r="F2426">
        <v>3</v>
      </c>
      <c r="G2426">
        <v>2499</v>
      </c>
      <c r="H2426">
        <v>0</v>
      </c>
      <c r="I2426" t="s">
        <v>50</v>
      </c>
      <c r="J2426" t="s">
        <v>36</v>
      </c>
      <c r="K2426" t="s">
        <v>37</v>
      </c>
      <c r="L2426">
        <f>F2425*G2425*(1-H2425)</f>
        <v>1898.1</v>
      </c>
    </row>
    <row r="2427" spans="1:12">
      <c r="A2427" t="s">
        <v>3212</v>
      </c>
      <c r="B2427" s="1">
        <v>46229</v>
      </c>
      <c r="C2427" t="s">
        <v>923</v>
      </c>
      <c r="D2427" t="s">
        <v>31</v>
      </c>
      <c r="E2427" t="s">
        <v>40</v>
      </c>
      <c r="F2427">
        <v>5</v>
      </c>
      <c r="G2427">
        <v>499</v>
      </c>
      <c r="H2427">
        <v>0</v>
      </c>
      <c r="I2427" t="s">
        <v>47</v>
      </c>
      <c r="J2427" t="s">
        <v>51</v>
      </c>
      <c r="K2427" t="s">
        <v>17</v>
      </c>
      <c r="L2427">
        <f>F2426*G2426*(1-H2426)</f>
        <v>7497</v>
      </c>
    </row>
    <row r="2428" spans="1:12">
      <c r="A2428" t="s">
        <v>3213</v>
      </c>
      <c r="B2428" s="1">
        <v>46270</v>
      </c>
      <c r="C2428" t="s">
        <v>3214</v>
      </c>
      <c r="D2428" t="s">
        <v>59</v>
      </c>
      <c r="E2428" t="s">
        <v>14</v>
      </c>
      <c r="F2428">
        <v>4</v>
      </c>
      <c r="G2428">
        <v>1999</v>
      </c>
      <c r="H2428">
        <v>0.05</v>
      </c>
      <c r="I2428" t="s">
        <v>44</v>
      </c>
      <c r="J2428" t="s">
        <v>36</v>
      </c>
      <c r="K2428" t="s">
        <v>17</v>
      </c>
      <c r="L2428">
        <f>F2427*G2427*(1-H2427)</f>
        <v>2495</v>
      </c>
    </row>
    <row r="2429" spans="1:12">
      <c r="A2429" t="s">
        <v>3215</v>
      </c>
      <c r="B2429" s="1">
        <v>46177</v>
      </c>
      <c r="C2429" t="s">
        <v>142</v>
      </c>
      <c r="D2429" t="s">
        <v>31</v>
      </c>
      <c r="E2429" t="s">
        <v>21</v>
      </c>
      <c r="F2429">
        <v>3</v>
      </c>
      <c r="G2429">
        <v>599</v>
      </c>
      <c r="H2429">
        <v>0</v>
      </c>
      <c r="I2429" t="s">
        <v>15</v>
      </c>
      <c r="J2429" t="s">
        <v>51</v>
      </c>
      <c r="K2429" t="s">
        <v>17</v>
      </c>
      <c r="L2429">
        <f>F2428*G2428*(1-H2428)</f>
        <v>7596.2</v>
      </c>
    </row>
    <row r="2430" spans="1:12">
      <c r="A2430" t="s">
        <v>3216</v>
      </c>
      <c r="B2430" s="1">
        <v>46103</v>
      </c>
      <c r="C2430" t="s">
        <v>3217</v>
      </c>
      <c r="D2430" t="s">
        <v>56</v>
      </c>
      <c r="E2430" t="s">
        <v>27</v>
      </c>
      <c r="F2430">
        <v>3</v>
      </c>
      <c r="G2430">
        <v>999</v>
      </c>
      <c r="H2430">
        <v>0</v>
      </c>
      <c r="I2430" t="s">
        <v>32</v>
      </c>
      <c r="J2430" t="s">
        <v>16</v>
      </c>
      <c r="K2430" t="s">
        <v>37</v>
      </c>
      <c r="L2430">
        <f>F2429*G2429*(1-H2429)</f>
        <v>1797</v>
      </c>
    </row>
    <row r="2431" spans="1:12">
      <c r="A2431" t="s">
        <v>3218</v>
      </c>
      <c r="B2431" s="1">
        <v>46260</v>
      </c>
      <c r="C2431" t="s">
        <v>908</v>
      </c>
      <c r="D2431" t="s">
        <v>56</v>
      </c>
      <c r="E2431" t="s">
        <v>35</v>
      </c>
      <c r="F2431">
        <v>1</v>
      </c>
      <c r="G2431">
        <v>799</v>
      </c>
      <c r="H2431">
        <v>0.05</v>
      </c>
      <c r="I2431" t="s">
        <v>32</v>
      </c>
      <c r="J2431" t="s">
        <v>28</v>
      </c>
      <c r="K2431" t="s">
        <v>23</v>
      </c>
      <c r="L2431">
        <f>F2430*G2430*(1-H2430)</f>
        <v>2997</v>
      </c>
    </row>
    <row r="2432" spans="1:12">
      <c r="A2432" t="s">
        <v>3219</v>
      </c>
      <c r="B2432" s="1">
        <v>46090</v>
      </c>
      <c r="C2432" t="s">
        <v>1374</v>
      </c>
      <c r="D2432" t="s">
        <v>56</v>
      </c>
      <c r="E2432" t="s">
        <v>14</v>
      </c>
      <c r="F2432">
        <v>2</v>
      </c>
      <c r="G2432">
        <v>1999</v>
      </c>
      <c r="H2432">
        <v>0.05</v>
      </c>
      <c r="I2432" t="s">
        <v>44</v>
      </c>
      <c r="J2432" t="s">
        <v>16</v>
      </c>
      <c r="K2432" t="s">
        <v>17</v>
      </c>
      <c r="L2432">
        <f>F2431*G2431*(1-H2431)</f>
        <v>759.05</v>
      </c>
    </row>
    <row r="2433" spans="1:12">
      <c r="A2433" t="s">
        <v>3220</v>
      </c>
      <c r="B2433" s="1">
        <v>46038</v>
      </c>
      <c r="C2433" t="s">
        <v>1511</v>
      </c>
      <c r="D2433" t="s">
        <v>26</v>
      </c>
      <c r="E2433" t="s">
        <v>35</v>
      </c>
      <c r="F2433">
        <v>1</v>
      </c>
      <c r="G2433">
        <v>599</v>
      </c>
      <c r="H2433">
        <v>0</v>
      </c>
      <c r="I2433" t="s">
        <v>47</v>
      </c>
      <c r="J2433" t="s">
        <v>51</v>
      </c>
      <c r="K2433" t="s">
        <v>17</v>
      </c>
      <c r="L2433">
        <f>F2432*G2432*(1-H2432)</f>
        <v>3798.1</v>
      </c>
    </row>
    <row r="2434" spans="1:12">
      <c r="A2434" t="s">
        <v>3221</v>
      </c>
      <c r="B2434" s="1">
        <v>46249</v>
      </c>
      <c r="C2434" t="s">
        <v>504</v>
      </c>
      <c r="D2434" t="s">
        <v>56</v>
      </c>
      <c r="E2434" t="s">
        <v>27</v>
      </c>
      <c r="F2434">
        <v>3</v>
      </c>
      <c r="G2434">
        <v>999</v>
      </c>
      <c r="H2434">
        <v>0</v>
      </c>
      <c r="I2434" t="s">
        <v>50</v>
      </c>
      <c r="J2434" t="s">
        <v>22</v>
      </c>
      <c r="K2434" t="s">
        <v>23</v>
      </c>
      <c r="L2434">
        <f>F2433*G2433*(1-H2433)</f>
        <v>599</v>
      </c>
    </row>
    <row r="2435" spans="1:12">
      <c r="A2435" t="s">
        <v>3222</v>
      </c>
      <c r="B2435" s="1">
        <v>46032</v>
      </c>
      <c r="C2435" t="s">
        <v>759</v>
      </c>
      <c r="D2435" t="s">
        <v>26</v>
      </c>
      <c r="E2435" t="s">
        <v>27</v>
      </c>
      <c r="F2435">
        <v>1</v>
      </c>
      <c r="G2435">
        <v>599</v>
      </c>
      <c r="H2435">
        <v>0</v>
      </c>
      <c r="I2435" t="s">
        <v>44</v>
      </c>
      <c r="J2435" t="s">
        <v>22</v>
      </c>
      <c r="K2435" t="s">
        <v>37</v>
      </c>
      <c r="L2435">
        <f>F2434*G2434*(1-H2434)</f>
        <v>2997</v>
      </c>
    </row>
    <row r="2436" spans="1:12">
      <c r="A2436" t="s">
        <v>3223</v>
      </c>
      <c r="B2436" s="1">
        <v>46058</v>
      </c>
      <c r="C2436" t="s">
        <v>667</v>
      </c>
      <c r="D2436" t="s">
        <v>78</v>
      </c>
      <c r="E2436" t="s">
        <v>27</v>
      </c>
      <c r="F2436">
        <v>4</v>
      </c>
      <c r="G2436">
        <v>599</v>
      </c>
      <c r="H2436">
        <v>0</v>
      </c>
      <c r="I2436" t="s">
        <v>44</v>
      </c>
      <c r="J2436" t="s">
        <v>51</v>
      </c>
      <c r="K2436" t="s">
        <v>17</v>
      </c>
      <c r="L2436">
        <f>F2435*G2435*(1-H2435)</f>
        <v>599</v>
      </c>
    </row>
    <row r="2437" spans="1:12">
      <c r="A2437" t="s">
        <v>3224</v>
      </c>
      <c r="B2437" s="1">
        <v>46161</v>
      </c>
      <c r="C2437" t="s">
        <v>961</v>
      </c>
      <c r="D2437" t="s">
        <v>20</v>
      </c>
      <c r="E2437" t="s">
        <v>21</v>
      </c>
      <c r="F2437">
        <v>3</v>
      </c>
      <c r="G2437">
        <v>1999</v>
      </c>
      <c r="H2437">
        <v>0</v>
      </c>
      <c r="I2437" t="s">
        <v>32</v>
      </c>
      <c r="J2437" t="s">
        <v>22</v>
      </c>
      <c r="K2437" t="s">
        <v>37</v>
      </c>
      <c r="L2437">
        <f>F2436*G2436*(1-H2436)</f>
        <v>2396</v>
      </c>
    </row>
    <row r="2438" spans="1:12">
      <c r="A2438" t="s">
        <v>3225</v>
      </c>
      <c r="B2438" s="1">
        <v>46267</v>
      </c>
      <c r="C2438" t="s">
        <v>372</v>
      </c>
      <c r="D2438" t="s">
        <v>71</v>
      </c>
      <c r="E2438" t="s">
        <v>14</v>
      </c>
      <c r="F2438">
        <v>2</v>
      </c>
      <c r="G2438">
        <v>599</v>
      </c>
      <c r="H2438">
        <v>0</v>
      </c>
      <c r="I2438" t="s">
        <v>50</v>
      </c>
      <c r="J2438" t="s">
        <v>22</v>
      </c>
      <c r="K2438" t="s">
        <v>17</v>
      </c>
      <c r="L2438">
        <f>F2437*G2437*(1-H2437)</f>
        <v>5997</v>
      </c>
    </row>
    <row r="2439" spans="1:12">
      <c r="A2439" t="s">
        <v>3226</v>
      </c>
      <c r="B2439" s="1">
        <v>46290</v>
      </c>
      <c r="C2439" t="s">
        <v>3227</v>
      </c>
      <c r="D2439" t="s">
        <v>43</v>
      </c>
      <c r="E2439" t="s">
        <v>40</v>
      </c>
      <c r="F2439">
        <v>1</v>
      </c>
      <c r="G2439">
        <v>599</v>
      </c>
      <c r="H2439">
        <v>0</v>
      </c>
      <c r="I2439" t="s">
        <v>50</v>
      </c>
      <c r="J2439" t="s">
        <v>51</v>
      </c>
      <c r="K2439" t="s">
        <v>17</v>
      </c>
      <c r="L2439">
        <f>F2438*G2438*(1-H2438)</f>
        <v>1198</v>
      </c>
    </row>
    <row r="2440" spans="1:12">
      <c r="A2440" t="s">
        <v>3228</v>
      </c>
      <c r="B2440" s="1">
        <v>46081</v>
      </c>
      <c r="C2440" t="s">
        <v>102</v>
      </c>
      <c r="D2440" t="s">
        <v>20</v>
      </c>
      <c r="E2440" t="s">
        <v>40</v>
      </c>
      <c r="F2440">
        <v>1</v>
      </c>
      <c r="G2440">
        <v>999</v>
      </c>
      <c r="H2440">
        <v>0.1</v>
      </c>
      <c r="I2440" t="s">
        <v>15</v>
      </c>
      <c r="J2440" t="s">
        <v>28</v>
      </c>
      <c r="K2440" t="s">
        <v>17</v>
      </c>
      <c r="L2440">
        <f>F2439*G2439*(1-H2439)</f>
        <v>599</v>
      </c>
    </row>
    <row r="2441" spans="1:12">
      <c r="A2441" t="s">
        <v>3229</v>
      </c>
      <c r="B2441" s="1">
        <v>46073</v>
      </c>
      <c r="C2441" t="s">
        <v>1695</v>
      </c>
      <c r="D2441" t="s">
        <v>78</v>
      </c>
      <c r="E2441" t="s">
        <v>14</v>
      </c>
      <c r="F2441">
        <v>1</v>
      </c>
      <c r="G2441">
        <v>7999</v>
      </c>
      <c r="H2441">
        <v>0.05</v>
      </c>
      <c r="I2441" t="s">
        <v>32</v>
      </c>
      <c r="J2441" t="s">
        <v>28</v>
      </c>
      <c r="K2441" t="s">
        <v>23</v>
      </c>
      <c r="L2441">
        <f>F2440*G2440*(1-H2440)</f>
        <v>899.1</v>
      </c>
    </row>
    <row r="2442" spans="1:12">
      <c r="A2442" t="s">
        <v>3230</v>
      </c>
      <c r="B2442" s="1">
        <v>46210</v>
      </c>
      <c r="C2442" t="s">
        <v>2601</v>
      </c>
      <c r="D2442" t="s">
        <v>13</v>
      </c>
      <c r="E2442" t="s">
        <v>21</v>
      </c>
      <c r="F2442">
        <v>3</v>
      </c>
      <c r="G2442">
        <v>999</v>
      </c>
      <c r="H2442">
        <v>0</v>
      </c>
      <c r="I2442" t="s">
        <v>50</v>
      </c>
      <c r="J2442" t="s">
        <v>51</v>
      </c>
      <c r="K2442" t="s">
        <v>17</v>
      </c>
      <c r="L2442">
        <f>F2441*G2441*(1-H2441)</f>
        <v>7599.0499999999993</v>
      </c>
    </row>
    <row r="2443" spans="1:12">
      <c r="A2443" t="s">
        <v>3231</v>
      </c>
      <c r="B2443" s="1">
        <v>46043</v>
      </c>
      <c r="C2443" t="s">
        <v>1795</v>
      </c>
      <c r="D2443" t="s">
        <v>62</v>
      </c>
      <c r="E2443" t="s">
        <v>40</v>
      </c>
      <c r="F2443">
        <v>3</v>
      </c>
      <c r="G2443">
        <v>599</v>
      </c>
      <c r="H2443">
        <v>0</v>
      </c>
      <c r="I2443" t="s">
        <v>50</v>
      </c>
      <c r="J2443" t="s">
        <v>28</v>
      </c>
      <c r="K2443" t="s">
        <v>17</v>
      </c>
      <c r="L2443">
        <f>F2442*G2442*(1-H2442)</f>
        <v>2997</v>
      </c>
    </row>
    <row r="2444" spans="1:12">
      <c r="A2444" t="s">
        <v>3232</v>
      </c>
      <c r="B2444" s="1">
        <v>46047</v>
      </c>
      <c r="C2444" t="s">
        <v>1320</v>
      </c>
      <c r="D2444" t="s">
        <v>71</v>
      </c>
      <c r="E2444" t="s">
        <v>14</v>
      </c>
      <c r="F2444">
        <v>1</v>
      </c>
      <c r="G2444">
        <v>1299</v>
      </c>
      <c r="H2444">
        <v>0</v>
      </c>
      <c r="I2444" t="s">
        <v>15</v>
      </c>
      <c r="J2444" t="s">
        <v>28</v>
      </c>
      <c r="K2444" t="s">
        <v>17</v>
      </c>
      <c r="L2444">
        <f>F2443*G2443*(1-H2443)</f>
        <v>1797</v>
      </c>
    </row>
    <row r="2445" spans="1:12">
      <c r="A2445" t="s">
        <v>3233</v>
      </c>
      <c r="B2445" s="1">
        <v>46048</v>
      </c>
      <c r="C2445" t="s">
        <v>1363</v>
      </c>
      <c r="D2445" t="s">
        <v>71</v>
      </c>
      <c r="E2445" t="s">
        <v>35</v>
      </c>
      <c r="F2445">
        <v>3</v>
      </c>
      <c r="G2445">
        <v>1499</v>
      </c>
      <c r="H2445">
        <v>0.05</v>
      </c>
      <c r="I2445" t="s">
        <v>44</v>
      </c>
      <c r="J2445" t="s">
        <v>22</v>
      </c>
      <c r="K2445" t="s">
        <v>17</v>
      </c>
      <c r="L2445">
        <f>F2444*G2444*(1-H2444)</f>
        <v>1299</v>
      </c>
    </row>
    <row r="2446" spans="1:12">
      <c r="A2446" t="s">
        <v>3234</v>
      </c>
      <c r="B2446" s="1">
        <v>46124</v>
      </c>
      <c r="C2446" t="s">
        <v>615</v>
      </c>
      <c r="D2446" t="s">
        <v>62</v>
      </c>
      <c r="E2446" t="s">
        <v>14</v>
      </c>
      <c r="F2446">
        <v>5</v>
      </c>
      <c r="G2446">
        <v>1499</v>
      </c>
      <c r="H2446">
        <v>0.15</v>
      </c>
      <c r="I2446" t="s">
        <v>32</v>
      </c>
      <c r="J2446" t="s">
        <v>16</v>
      </c>
      <c r="K2446" t="s">
        <v>17</v>
      </c>
      <c r="L2446">
        <f>F2445*G2445*(1-H2445)</f>
        <v>4272.1499999999996</v>
      </c>
    </row>
    <row r="2447" spans="1:12">
      <c r="A2447" t="s">
        <v>3235</v>
      </c>
      <c r="B2447" s="1">
        <v>46057</v>
      </c>
      <c r="C2447" t="s">
        <v>1130</v>
      </c>
      <c r="D2447" t="s">
        <v>31</v>
      </c>
      <c r="E2447" t="s">
        <v>27</v>
      </c>
      <c r="F2447">
        <v>1</v>
      </c>
      <c r="G2447">
        <v>499</v>
      </c>
      <c r="H2447">
        <v>0</v>
      </c>
      <c r="I2447" t="s">
        <v>50</v>
      </c>
      <c r="J2447" t="s">
        <v>51</v>
      </c>
      <c r="K2447" t="s">
        <v>17</v>
      </c>
      <c r="L2447">
        <f>F2446*G2446*(1-H2446)</f>
        <v>6370.75</v>
      </c>
    </row>
    <row r="2448" spans="1:12">
      <c r="A2448" t="s">
        <v>3236</v>
      </c>
      <c r="B2448" s="1">
        <v>46225</v>
      </c>
      <c r="C2448" t="s">
        <v>1856</v>
      </c>
      <c r="D2448" t="s">
        <v>20</v>
      </c>
      <c r="E2448" t="s">
        <v>27</v>
      </c>
      <c r="F2448">
        <v>4</v>
      </c>
      <c r="G2448">
        <v>799</v>
      </c>
      <c r="H2448">
        <v>0</v>
      </c>
      <c r="I2448" t="s">
        <v>15</v>
      </c>
      <c r="J2448" t="s">
        <v>51</v>
      </c>
      <c r="K2448" t="s">
        <v>17</v>
      </c>
      <c r="L2448">
        <f>F2447*G2447*(1-H2447)</f>
        <v>499</v>
      </c>
    </row>
    <row r="2449" spans="1:12">
      <c r="A2449" t="s">
        <v>3237</v>
      </c>
      <c r="B2449" s="1">
        <v>46062</v>
      </c>
      <c r="C2449" t="s">
        <v>3238</v>
      </c>
      <c r="D2449" t="s">
        <v>59</v>
      </c>
      <c r="E2449" t="s">
        <v>35</v>
      </c>
      <c r="F2449">
        <v>4</v>
      </c>
      <c r="G2449">
        <v>1299</v>
      </c>
      <c r="H2449">
        <v>0.15</v>
      </c>
      <c r="I2449" t="s">
        <v>44</v>
      </c>
      <c r="J2449" t="s">
        <v>51</v>
      </c>
      <c r="K2449" t="s">
        <v>17</v>
      </c>
      <c r="L2449">
        <f>F2448*G2448*(1-H2448)</f>
        <v>3196</v>
      </c>
    </row>
    <row r="2450" spans="1:12">
      <c r="A2450" t="s">
        <v>3239</v>
      </c>
      <c r="B2450" s="1">
        <v>46271</v>
      </c>
      <c r="C2450" t="s">
        <v>2103</v>
      </c>
      <c r="D2450" t="s">
        <v>26</v>
      </c>
      <c r="E2450" t="s">
        <v>35</v>
      </c>
      <c r="F2450">
        <v>1</v>
      </c>
      <c r="G2450">
        <v>1299</v>
      </c>
      <c r="H2450">
        <v>0.15</v>
      </c>
      <c r="I2450" t="s">
        <v>47</v>
      </c>
      <c r="J2450" t="s">
        <v>16</v>
      </c>
      <c r="K2450" t="s">
        <v>23</v>
      </c>
      <c r="L2450">
        <f>F2449*G2449*(1-H2449)</f>
        <v>4416.5999999999995</v>
      </c>
    </row>
    <row r="2451" spans="1:12">
      <c r="A2451" t="s">
        <v>3240</v>
      </c>
      <c r="B2451" s="1">
        <v>46169</v>
      </c>
      <c r="C2451" t="s">
        <v>1382</v>
      </c>
      <c r="D2451" t="s">
        <v>26</v>
      </c>
      <c r="E2451" t="s">
        <v>27</v>
      </c>
      <c r="F2451">
        <v>1</v>
      </c>
      <c r="G2451">
        <v>7999</v>
      </c>
      <c r="H2451">
        <v>0</v>
      </c>
      <c r="I2451" t="s">
        <v>44</v>
      </c>
      <c r="J2451" t="s">
        <v>28</v>
      </c>
      <c r="K2451" t="s">
        <v>23</v>
      </c>
      <c r="L2451">
        <f>F2450*G2450*(1-H2450)</f>
        <v>1104.1499999999999</v>
      </c>
    </row>
    <row r="2452" spans="1:12">
      <c r="A2452" t="s">
        <v>3241</v>
      </c>
      <c r="B2452" s="1">
        <v>46087</v>
      </c>
      <c r="C2452" t="s">
        <v>273</v>
      </c>
      <c r="D2452" t="s">
        <v>71</v>
      </c>
      <c r="E2452" t="s">
        <v>14</v>
      </c>
      <c r="F2452">
        <v>1</v>
      </c>
      <c r="G2452">
        <v>499</v>
      </c>
      <c r="H2452">
        <v>0.15</v>
      </c>
      <c r="I2452" t="s">
        <v>44</v>
      </c>
      <c r="J2452" t="s">
        <v>16</v>
      </c>
      <c r="K2452" t="s">
        <v>23</v>
      </c>
      <c r="L2452">
        <f>F2451*G2451*(1-H2451)</f>
        <v>7999</v>
      </c>
    </row>
    <row r="2453" spans="1:12">
      <c r="A2453" t="s">
        <v>3242</v>
      </c>
      <c r="B2453" s="1">
        <v>46195</v>
      </c>
      <c r="C2453" t="s">
        <v>1568</v>
      </c>
      <c r="D2453" t="s">
        <v>62</v>
      </c>
      <c r="E2453" t="s">
        <v>21</v>
      </c>
      <c r="F2453">
        <v>4</v>
      </c>
      <c r="G2453">
        <v>2499</v>
      </c>
      <c r="H2453">
        <v>0</v>
      </c>
      <c r="I2453" t="s">
        <v>47</v>
      </c>
      <c r="J2453" t="s">
        <v>22</v>
      </c>
      <c r="K2453" t="s">
        <v>17</v>
      </c>
      <c r="L2453">
        <f>F2452*G2452*(1-H2452)</f>
        <v>424.15</v>
      </c>
    </row>
    <row r="2454" spans="1:12">
      <c r="A2454" t="s">
        <v>3243</v>
      </c>
      <c r="B2454" s="1">
        <v>46219</v>
      </c>
      <c r="C2454" t="s">
        <v>235</v>
      </c>
      <c r="D2454" t="s">
        <v>78</v>
      </c>
      <c r="E2454" t="s">
        <v>21</v>
      </c>
      <c r="F2454">
        <v>1</v>
      </c>
      <c r="G2454">
        <v>4999</v>
      </c>
      <c r="H2454">
        <v>0.15</v>
      </c>
      <c r="I2454" t="s">
        <v>44</v>
      </c>
      <c r="J2454" t="s">
        <v>36</v>
      </c>
      <c r="K2454" t="s">
        <v>17</v>
      </c>
      <c r="L2454">
        <f>F2453*G2453*(1-H2453)</f>
        <v>9996</v>
      </c>
    </row>
    <row r="2455" spans="1:12">
      <c r="A2455" t="s">
        <v>3244</v>
      </c>
      <c r="B2455" s="1">
        <v>46264</v>
      </c>
      <c r="C2455" t="s">
        <v>1700</v>
      </c>
      <c r="D2455" t="s">
        <v>62</v>
      </c>
      <c r="E2455" t="s">
        <v>14</v>
      </c>
      <c r="F2455">
        <v>4</v>
      </c>
      <c r="G2455">
        <v>2499</v>
      </c>
      <c r="H2455">
        <v>0.15</v>
      </c>
      <c r="I2455" t="s">
        <v>47</v>
      </c>
      <c r="J2455" t="s">
        <v>51</v>
      </c>
      <c r="K2455" t="s">
        <v>17</v>
      </c>
      <c r="L2455">
        <f>F2454*G2454*(1-H2454)</f>
        <v>4249.1499999999996</v>
      </c>
    </row>
    <row r="2456" spans="1:12">
      <c r="A2456" t="s">
        <v>3245</v>
      </c>
      <c r="B2456" s="1">
        <v>46272</v>
      </c>
      <c r="C2456" t="s">
        <v>61</v>
      </c>
      <c r="D2456" t="s">
        <v>78</v>
      </c>
      <c r="E2456" t="s">
        <v>14</v>
      </c>
      <c r="F2456">
        <v>2</v>
      </c>
      <c r="G2456">
        <v>1999</v>
      </c>
      <c r="H2456">
        <v>0.05</v>
      </c>
      <c r="I2456" t="s">
        <v>50</v>
      </c>
      <c r="J2456" t="s">
        <v>36</v>
      </c>
      <c r="K2456" t="s">
        <v>17</v>
      </c>
      <c r="L2456">
        <f>F2455*G2455*(1-H2455)</f>
        <v>8496.6</v>
      </c>
    </row>
    <row r="2457" spans="1:12">
      <c r="A2457" t="s">
        <v>3246</v>
      </c>
      <c r="B2457" s="1">
        <v>46132</v>
      </c>
      <c r="C2457" t="s">
        <v>130</v>
      </c>
      <c r="D2457" t="s">
        <v>62</v>
      </c>
      <c r="E2457" t="s">
        <v>14</v>
      </c>
      <c r="F2457">
        <v>1</v>
      </c>
      <c r="G2457">
        <v>499</v>
      </c>
      <c r="H2457">
        <v>0</v>
      </c>
      <c r="I2457" t="s">
        <v>44</v>
      </c>
      <c r="J2457" t="s">
        <v>22</v>
      </c>
      <c r="K2457" t="s">
        <v>37</v>
      </c>
      <c r="L2457">
        <f>F2456*G2456*(1-H2456)</f>
        <v>3798.1</v>
      </c>
    </row>
    <row r="2458" spans="1:12">
      <c r="A2458" t="s">
        <v>3247</v>
      </c>
      <c r="B2458" s="1">
        <v>46153</v>
      </c>
      <c r="C2458" t="s">
        <v>1559</v>
      </c>
      <c r="D2458" t="s">
        <v>62</v>
      </c>
      <c r="E2458" t="s">
        <v>14</v>
      </c>
      <c r="F2458">
        <v>5</v>
      </c>
      <c r="G2458">
        <v>1299</v>
      </c>
      <c r="H2458">
        <v>0.1</v>
      </c>
      <c r="I2458" t="s">
        <v>47</v>
      </c>
      <c r="J2458" t="s">
        <v>28</v>
      </c>
      <c r="K2458" t="s">
        <v>17</v>
      </c>
      <c r="L2458">
        <f>F2457*G2457*(1-H2457)</f>
        <v>499</v>
      </c>
    </row>
    <row r="2459" spans="1:12">
      <c r="A2459" t="s">
        <v>3248</v>
      </c>
      <c r="B2459" s="1">
        <v>46244</v>
      </c>
      <c r="C2459" t="s">
        <v>1981</v>
      </c>
      <c r="D2459" t="s">
        <v>59</v>
      </c>
      <c r="E2459" t="s">
        <v>21</v>
      </c>
      <c r="F2459">
        <v>2</v>
      </c>
      <c r="G2459">
        <v>499</v>
      </c>
      <c r="H2459">
        <v>0.05</v>
      </c>
      <c r="I2459" t="s">
        <v>15</v>
      </c>
      <c r="J2459" t="s">
        <v>22</v>
      </c>
      <c r="K2459" t="s">
        <v>17</v>
      </c>
      <c r="L2459">
        <f>F2458*G2458*(1-H2458)</f>
        <v>5845.5</v>
      </c>
    </row>
    <row r="2460" spans="1:12">
      <c r="A2460" t="s">
        <v>3249</v>
      </c>
      <c r="B2460" s="1">
        <v>46068</v>
      </c>
      <c r="C2460" t="s">
        <v>2701</v>
      </c>
      <c r="D2460" t="s">
        <v>20</v>
      </c>
      <c r="E2460" t="s">
        <v>27</v>
      </c>
      <c r="F2460">
        <v>5</v>
      </c>
      <c r="G2460">
        <v>2499</v>
      </c>
      <c r="H2460">
        <v>0.05</v>
      </c>
      <c r="I2460" t="s">
        <v>47</v>
      </c>
      <c r="J2460" t="s">
        <v>51</v>
      </c>
      <c r="K2460" t="s">
        <v>37</v>
      </c>
      <c r="L2460">
        <f>F2459*G2459*(1-H2459)</f>
        <v>948.09999999999991</v>
      </c>
    </row>
    <row r="2461" spans="1:12">
      <c r="A2461" t="s">
        <v>3250</v>
      </c>
      <c r="B2461" s="1">
        <v>46259</v>
      </c>
      <c r="C2461" t="s">
        <v>2295</v>
      </c>
      <c r="D2461" t="s">
        <v>26</v>
      </c>
      <c r="E2461" t="s">
        <v>21</v>
      </c>
      <c r="F2461">
        <v>5</v>
      </c>
      <c r="G2461">
        <v>1299</v>
      </c>
      <c r="H2461">
        <v>0</v>
      </c>
      <c r="I2461" t="s">
        <v>15</v>
      </c>
      <c r="J2461" t="s">
        <v>22</v>
      </c>
      <c r="K2461" t="s">
        <v>37</v>
      </c>
      <c r="L2461">
        <f>F2460*G2460*(1-H2460)</f>
        <v>11870.25</v>
      </c>
    </row>
    <row r="2462" spans="1:12">
      <c r="A2462" t="s">
        <v>3251</v>
      </c>
      <c r="B2462" s="1">
        <v>46172</v>
      </c>
      <c r="C2462" t="s">
        <v>3252</v>
      </c>
      <c r="D2462" t="s">
        <v>59</v>
      </c>
      <c r="E2462" t="s">
        <v>35</v>
      </c>
      <c r="F2462">
        <v>2</v>
      </c>
      <c r="G2462">
        <v>599</v>
      </c>
      <c r="H2462">
        <v>0.15</v>
      </c>
      <c r="I2462" t="s">
        <v>15</v>
      </c>
      <c r="J2462" t="s">
        <v>22</v>
      </c>
      <c r="K2462" t="s">
        <v>17</v>
      </c>
      <c r="L2462">
        <f>F2461*G2461*(1-H2461)</f>
        <v>6495</v>
      </c>
    </row>
    <row r="2463" spans="1:12">
      <c r="A2463" t="s">
        <v>3253</v>
      </c>
      <c r="B2463" s="1">
        <v>46194</v>
      </c>
      <c r="C2463" t="s">
        <v>237</v>
      </c>
      <c r="D2463" t="s">
        <v>31</v>
      </c>
      <c r="E2463" t="s">
        <v>27</v>
      </c>
      <c r="F2463">
        <v>1</v>
      </c>
      <c r="G2463">
        <v>499</v>
      </c>
      <c r="H2463">
        <v>0.15</v>
      </c>
      <c r="I2463" t="s">
        <v>15</v>
      </c>
      <c r="J2463" t="s">
        <v>22</v>
      </c>
      <c r="K2463" t="s">
        <v>17</v>
      </c>
      <c r="L2463">
        <f>F2462*G2462*(1-H2462)</f>
        <v>1018.3</v>
      </c>
    </row>
    <row r="2464" spans="1:12">
      <c r="A2464" t="s">
        <v>3254</v>
      </c>
      <c r="B2464" s="1">
        <v>46195</v>
      </c>
      <c r="C2464" t="s">
        <v>1353</v>
      </c>
      <c r="D2464" t="s">
        <v>31</v>
      </c>
      <c r="E2464" t="s">
        <v>35</v>
      </c>
      <c r="F2464">
        <v>1</v>
      </c>
      <c r="G2464">
        <v>7999</v>
      </c>
      <c r="H2464">
        <v>0.05</v>
      </c>
      <c r="I2464" t="s">
        <v>44</v>
      </c>
      <c r="J2464" t="s">
        <v>36</v>
      </c>
      <c r="K2464" t="s">
        <v>17</v>
      </c>
      <c r="L2464">
        <f>F2463*G2463*(1-H2463)</f>
        <v>424.15</v>
      </c>
    </row>
    <row r="2465" spans="1:12">
      <c r="A2465" t="s">
        <v>3255</v>
      </c>
      <c r="B2465" s="1">
        <v>46165</v>
      </c>
      <c r="C2465" t="s">
        <v>209</v>
      </c>
      <c r="D2465" t="s">
        <v>13</v>
      </c>
      <c r="E2465" t="s">
        <v>35</v>
      </c>
      <c r="F2465">
        <v>4</v>
      </c>
      <c r="G2465">
        <v>4999</v>
      </c>
      <c r="H2465">
        <v>0</v>
      </c>
      <c r="I2465" t="s">
        <v>50</v>
      </c>
      <c r="J2465" t="s">
        <v>22</v>
      </c>
      <c r="K2465" t="s">
        <v>17</v>
      </c>
      <c r="L2465">
        <f>F2464*G2464*(1-H2464)</f>
        <v>7599.0499999999993</v>
      </c>
    </row>
    <row r="2466" spans="1:12">
      <c r="A2466" t="s">
        <v>3256</v>
      </c>
      <c r="B2466" s="1">
        <v>46139</v>
      </c>
      <c r="C2466" t="s">
        <v>1090</v>
      </c>
      <c r="D2466" t="s">
        <v>71</v>
      </c>
      <c r="E2466" t="s">
        <v>21</v>
      </c>
      <c r="F2466">
        <v>1</v>
      </c>
      <c r="G2466">
        <v>7999</v>
      </c>
      <c r="H2466">
        <v>0</v>
      </c>
      <c r="I2466" t="s">
        <v>44</v>
      </c>
      <c r="J2466" t="s">
        <v>51</v>
      </c>
      <c r="K2466" t="s">
        <v>23</v>
      </c>
      <c r="L2466">
        <f>F2465*G2465*(1-H2465)</f>
        <v>19996</v>
      </c>
    </row>
    <row r="2467" spans="1:12">
      <c r="A2467" t="s">
        <v>3257</v>
      </c>
      <c r="B2467" s="1">
        <v>46049</v>
      </c>
      <c r="C2467" t="s">
        <v>442</v>
      </c>
      <c r="D2467" t="s">
        <v>26</v>
      </c>
      <c r="E2467" t="s">
        <v>14</v>
      </c>
      <c r="F2467">
        <v>4</v>
      </c>
      <c r="G2467">
        <v>2499</v>
      </c>
      <c r="H2467">
        <v>0</v>
      </c>
      <c r="I2467" t="s">
        <v>44</v>
      </c>
      <c r="J2467" t="s">
        <v>28</v>
      </c>
      <c r="K2467" t="s">
        <v>17</v>
      </c>
      <c r="L2467">
        <f>F2466*G2466*(1-H2466)</f>
        <v>7999</v>
      </c>
    </row>
    <row r="2468" spans="1:12">
      <c r="A2468" t="s">
        <v>3258</v>
      </c>
      <c r="B2468" s="1">
        <v>46048</v>
      </c>
      <c r="C2468" t="s">
        <v>2320</v>
      </c>
      <c r="D2468" t="s">
        <v>43</v>
      </c>
      <c r="E2468" t="s">
        <v>14</v>
      </c>
      <c r="F2468">
        <v>2</v>
      </c>
      <c r="G2468">
        <v>1999</v>
      </c>
      <c r="H2468">
        <v>0.1</v>
      </c>
      <c r="I2468" t="s">
        <v>44</v>
      </c>
      <c r="J2468" t="s">
        <v>36</v>
      </c>
      <c r="K2468" t="s">
        <v>17</v>
      </c>
      <c r="L2468">
        <f>F2467*G2467*(1-H2467)</f>
        <v>9996</v>
      </c>
    </row>
    <row r="2469" spans="1:12">
      <c r="A2469" t="s">
        <v>3259</v>
      </c>
      <c r="B2469" s="1">
        <v>46079</v>
      </c>
      <c r="C2469" t="s">
        <v>2111</v>
      </c>
      <c r="D2469" t="s">
        <v>78</v>
      </c>
      <c r="E2469" t="s">
        <v>40</v>
      </c>
      <c r="F2469">
        <v>3</v>
      </c>
      <c r="G2469">
        <v>4999</v>
      </c>
      <c r="H2469">
        <v>0</v>
      </c>
      <c r="I2469" t="s">
        <v>44</v>
      </c>
      <c r="J2469" t="s">
        <v>22</v>
      </c>
      <c r="K2469" t="s">
        <v>17</v>
      </c>
      <c r="L2469">
        <f>F2468*G2468*(1-H2468)</f>
        <v>3598.2000000000003</v>
      </c>
    </row>
    <row r="2470" spans="1:12">
      <c r="A2470" t="s">
        <v>3260</v>
      </c>
      <c r="B2470" s="1">
        <v>46150</v>
      </c>
      <c r="C2470" t="s">
        <v>789</v>
      </c>
      <c r="D2470" t="s">
        <v>20</v>
      </c>
      <c r="E2470" t="s">
        <v>21</v>
      </c>
      <c r="F2470">
        <v>1</v>
      </c>
      <c r="G2470">
        <v>799</v>
      </c>
      <c r="H2470">
        <v>0.1</v>
      </c>
      <c r="I2470" t="s">
        <v>15</v>
      </c>
      <c r="J2470" t="s">
        <v>36</v>
      </c>
      <c r="K2470" t="s">
        <v>17</v>
      </c>
      <c r="L2470">
        <f>F2469*G2469*(1-H2469)</f>
        <v>14997</v>
      </c>
    </row>
    <row r="2471" spans="1:12">
      <c r="A2471" t="s">
        <v>3261</v>
      </c>
      <c r="B2471" s="1">
        <v>46255</v>
      </c>
      <c r="C2471" t="s">
        <v>1845</v>
      </c>
      <c r="D2471" t="s">
        <v>59</v>
      </c>
      <c r="E2471" t="s">
        <v>27</v>
      </c>
      <c r="F2471">
        <v>5</v>
      </c>
      <c r="G2471">
        <v>599</v>
      </c>
      <c r="H2471">
        <v>0.1</v>
      </c>
      <c r="I2471" t="s">
        <v>47</v>
      </c>
      <c r="J2471" t="s">
        <v>28</v>
      </c>
      <c r="K2471" t="s">
        <v>37</v>
      </c>
      <c r="L2471">
        <f>F2470*G2470*(1-H2470)</f>
        <v>719.1</v>
      </c>
    </row>
    <row r="2472" spans="1:12">
      <c r="A2472" t="s">
        <v>3262</v>
      </c>
      <c r="B2472" s="1">
        <v>46259</v>
      </c>
      <c r="C2472" t="s">
        <v>1085</v>
      </c>
      <c r="D2472" t="s">
        <v>26</v>
      </c>
      <c r="E2472" t="s">
        <v>14</v>
      </c>
      <c r="F2472">
        <v>2</v>
      </c>
      <c r="G2472">
        <v>1499</v>
      </c>
      <c r="H2472">
        <v>0.05</v>
      </c>
      <c r="I2472" t="s">
        <v>47</v>
      </c>
      <c r="J2472" t="s">
        <v>36</v>
      </c>
      <c r="K2472" t="s">
        <v>23</v>
      </c>
      <c r="L2472">
        <f>F2471*G2471*(1-H2471)</f>
        <v>2695.5</v>
      </c>
    </row>
    <row r="2473" spans="1:12">
      <c r="A2473" t="s">
        <v>3263</v>
      </c>
      <c r="B2473" s="1">
        <v>46191</v>
      </c>
      <c r="C2473" t="s">
        <v>1151</v>
      </c>
      <c r="D2473" t="s">
        <v>56</v>
      </c>
      <c r="E2473" t="s">
        <v>40</v>
      </c>
      <c r="F2473">
        <v>5</v>
      </c>
      <c r="G2473">
        <v>1299</v>
      </c>
      <c r="H2473">
        <v>0.1</v>
      </c>
      <c r="I2473" t="s">
        <v>32</v>
      </c>
      <c r="J2473" t="s">
        <v>36</v>
      </c>
      <c r="K2473" t="s">
        <v>17</v>
      </c>
      <c r="L2473">
        <f>F2472*G2472*(1-H2472)</f>
        <v>2848.1</v>
      </c>
    </row>
    <row r="2474" spans="1:12">
      <c r="A2474" t="s">
        <v>3264</v>
      </c>
      <c r="B2474" s="1">
        <v>46066</v>
      </c>
      <c r="C2474" t="s">
        <v>517</v>
      </c>
      <c r="D2474" t="s">
        <v>59</v>
      </c>
      <c r="E2474" t="s">
        <v>21</v>
      </c>
      <c r="F2474">
        <v>3</v>
      </c>
      <c r="G2474">
        <v>7999</v>
      </c>
      <c r="H2474">
        <v>0.05</v>
      </c>
      <c r="I2474" t="s">
        <v>44</v>
      </c>
      <c r="J2474" t="s">
        <v>36</v>
      </c>
      <c r="K2474" t="s">
        <v>37</v>
      </c>
      <c r="L2474">
        <f>F2473*G2473*(1-H2473)</f>
        <v>5845.5</v>
      </c>
    </row>
    <row r="2475" spans="1:12">
      <c r="A2475" t="s">
        <v>3265</v>
      </c>
      <c r="B2475" s="1">
        <v>46182</v>
      </c>
      <c r="C2475" t="s">
        <v>1288</v>
      </c>
      <c r="D2475" t="s">
        <v>59</v>
      </c>
      <c r="E2475" t="s">
        <v>14</v>
      </c>
      <c r="F2475">
        <v>5</v>
      </c>
      <c r="G2475">
        <v>7999</v>
      </c>
      <c r="H2475">
        <v>0.1</v>
      </c>
      <c r="I2475" t="s">
        <v>47</v>
      </c>
      <c r="J2475" t="s">
        <v>51</v>
      </c>
      <c r="K2475" t="s">
        <v>17</v>
      </c>
      <c r="L2475">
        <f>F2474*G2474*(1-H2474)</f>
        <v>22797.149999999998</v>
      </c>
    </row>
    <row r="2476" spans="1:12">
      <c r="A2476" t="s">
        <v>3266</v>
      </c>
      <c r="B2476" s="1">
        <v>46158</v>
      </c>
      <c r="C2476" t="s">
        <v>1934</v>
      </c>
      <c r="D2476" t="s">
        <v>26</v>
      </c>
      <c r="E2476" t="s">
        <v>40</v>
      </c>
      <c r="F2476">
        <v>1</v>
      </c>
      <c r="G2476">
        <v>999</v>
      </c>
      <c r="H2476">
        <v>0</v>
      </c>
      <c r="I2476" t="s">
        <v>32</v>
      </c>
      <c r="J2476" t="s">
        <v>16</v>
      </c>
      <c r="K2476" t="s">
        <v>17</v>
      </c>
      <c r="L2476">
        <f>F2475*G2475*(1-H2475)</f>
        <v>35995.5</v>
      </c>
    </row>
    <row r="2477" spans="1:12">
      <c r="A2477" t="s">
        <v>3267</v>
      </c>
      <c r="B2477" s="1">
        <v>46245</v>
      </c>
      <c r="C2477" t="s">
        <v>848</v>
      </c>
      <c r="D2477" t="s">
        <v>56</v>
      </c>
      <c r="E2477" t="s">
        <v>40</v>
      </c>
      <c r="F2477">
        <v>4</v>
      </c>
      <c r="G2477">
        <v>2499</v>
      </c>
      <c r="H2477">
        <v>0.05</v>
      </c>
      <c r="I2477" t="s">
        <v>15</v>
      </c>
      <c r="J2477" t="s">
        <v>28</v>
      </c>
      <c r="K2477" t="s">
        <v>23</v>
      </c>
      <c r="L2477">
        <f>F2476*G2476*(1-H2476)</f>
        <v>999</v>
      </c>
    </row>
    <row r="2478" spans="1:12">
      <c r="A2478" t="s">
        <v>3268</v>
      </c>
      <c r="B2478" s="1">
        <v>46194</v>
      </c>
      <c r="C2478" t="s">
        <v>1812</v>
      </c>
      <c r="D2478" t="s">
        <v>62</v>
      </c>
      <c r="E2478" t="s">
        <v>21</v>
      </c>
      <c r="F2478">
        <v>2</v>
      </c>
      <c r="G2478">
        <v>599</v>
      </c>
      <c r="H2478">
        <v>0</v>
      </c>
      <c r="I2478" t="s">
        <v>32</v>
      </c>
      <c r="J2478" t="s">
        <v>22</v>
      </c>
      <c r="K2478" t="s">
        <v>17</v>
      </c>
      <c r="L2478">
        <f>F2477*G2477*(1-H2477)</f>
        <v>9496.1999999999989</v>
      </c>
    </row>
    <row r="2479" spans="1:12">
      <c r="A2479" t="s">
        <v>3269</v>
      </c>
      <c r="B2479" s="1">
        <v>46275</v>
      </c>
      <c r="C2479" t="s">
        <v>450</v>
      </c>
      <c r="D2479" t="s">
        <v>56</v>
      </c>
      <c r="E2479" t="s">
        <v>21</v>
      </c>
      <c r="F2479">
        <v>4</v>
      </c>
      <c r="G2479">
        <v>799</v>
      </c>
      <c r="H2479">
        <v>0.05</v>
      </c>
      <c r="I2479" t="s">
        <v>44</v>
      </c>
      <c r="J2479" t="s">
        <v>16</v>
      </c>
      <c r="K2479" t="s">
        <v>17</v>
      </c>
      <c r="L2479">
        <f>F2478*G2478*(1-H2478)</f>
        <v>1198</v>
      </c>
    </row>
    <row r="2480" spans="1:12">
      <c r="A2480" t="s">
        <v>3270</v>
      </c>
      <c r="B2480" s="1">
        <v>46152</v>
      </c>
      <c r="C2480" t="s">
        <v>767</v>
      </c>
      <c r="D2480" t="s">
        <v>26</v>
      </c>
      <c r="E2480" t="s">
        <v>40</v>
      </c>
      <c r="F2480">
        <v>1</v>
      </c>
      <c r="G2480">
        <v>1299</v>
      </c>
      <c r="H2480">
        <v>0.15</v>
      </c>
      <c r="I2480" t="s">
        <v>44</v>
      </c>
      <c r="J2480" t="s">
        <v>51</v>
      </c>
      <c r="K2480" t="s">
        <v>17</v>
      </c>
      <c r="L2480">
        <f>F2479*G2479*(1-H2479)</f>
        <v>3036.2</v>
      </c>
    </row>
    <row r="2481" spans="1:12">
      <c r="A2481" t="s">
        <v>3271</v>
      </c>
      <c r="B2481" s="1">
        <v>46035</v>
      </c>
      <c r="C2481" t="s">
        <v>2408</v>
      </c>
      <c r="D2481" t="s">
        <v>31</v>
      </c>
      <c r="E2481" t="s">
        <v>21</v>
      </c>
      <c r="F2481">
        <v>3</v>
      </c>
      <c r="G2481">
        <v>499</v>
      </c>
      <c r="H2481">
        <v>0</v>
      </c>
      <c r="I2481" t="s">
        <v>32</v>
      </c>
      <c r="J2481" t="s">
        <v>28</v>
      </c>
      <c r="K2481" t="s">
        <v>17</v>
      </c>
      <c r="L2481">
        <f>F2480*G2480*(1-H2480)</f>
        <v>1104.1499999999999</v>
      </c>
    </row>
    <row r="2482" spans="1:12">
      <c r="A2482" t="s">
        <v>3272</v>
      </c>
      <c r="B2482" s="1">
        <v>46138</v>
      </c>
      <c r="C2482" t="s">
        <v>412</v>
      </c>
      <c r="D2482" t="s">
        <v>31</v>
      </c>
      <c r="E2482" t="s">
        <v>14</v>
      </c>
      <c r="F2482">
        <v>3</v>
      </c>
      <c r="G2482">
        <v>999</v>
      </c>
      <c r="H2482">
        <v>0.1</v>
      </c>
      <c r="I2482" t="s">
        <v>50</v>
      </c>
      <c r="J2482" t="s">
        <v>16</v>
      </c>
      <c r="K2482" t="s">
        <v>17</v>
      </c>
      <c r="L2482">
        <f>F2481*G2481*(1-H2481)</f>
        <v>1497</v>
      </c>
    </row>
    <row r="2483" spans="1:12">
      <c r="A2483" t="s">
        <v>3273</v>
      </c>
      <c r="B2483" s="1">
        <v>46110</v>
      </c>
      <c r="C2483" t="s">
        <v>2887</v>
      </c>
      <c r="D2483" t="s">
        <v>59</v>
      </c>
      <c r="E2483" t="s">
        <v>27</v>
      </c>
      <c r="F2483">
        <v>5</v>
      </c>
      <c r="G2483">
        <v>2499</v>
      </c>
      <c r="H2483">
        <v>0.05</v>
      </c>
      <c r="I2483" t="s">
        <v>47</v>
      </c>
      <c r="J2483" t="s">
        <v>36</v>
      </c>
      <c r="K2483" t="s">
        <v>17</v>
      </c>
      <c r="L2483">
        <f>F2482*G2482*(1-H2482)</f>
        <v>2697.3</v>
      </c>
    </row>
    <row r="2484" spans="1:12">
      <c r="A2484" t="s">
        <v>3274</v>
      </c>
      <c r="B2484" s="1">
        <v>46255</v>
      </c>
      <c r="C2484" t="s">
        <v>3275</v>
      </c>
      <c r="D2484" t="s">
        <v>31</v>
      </c>
      <c r="E2484" t="s">
        <v>40</v>
      </c>
      <c r="F2484">
        <v>5</v>
      </c>
      <c r="G2484">
        <v>599</v>
      </c>
      <c r="H2484">
        <v>0.1</v>
      </c>
      <c r="I2484" t="s">
        <v>50</v>
      </c>
      <c r="J2484" t="s">
        <v>36</v>
      </c>
      <c r="K2484" t="s">
        <v>23</v>
      </c>
      <c r="L2484">
        <f>F2483*G2483*(1-H2483)</f>
        <v>11870.25</v>
      </c>
    </row>
    <row r="2485" spans="1:12">
      <c r="A2485" t="s">
        <v>3276</v>
      </c>
      <c r="B2485" s="1">
        <v>46137</v>
      </c>
      <c r="C2485" t="s">
        <v>1983</v>
      </c>
      <c r="D2485" t="s">
        <v>31</v>
      </c>
      <c r="E2485" t="s">
        <v>21</v>
      </c>
      <c r="F2485">
        <v>1</v>
      </c>
      <c r="G2485">
        <v>1499</v>
      </c>
      <c r="H2485">
        <v>0</v>
      </c>
      <c r="I2485" t="s">
        <v>44</v>
      </c>
      <c r="J2485" t="s">
        <v>22</v>
      </c>
      <c r="K2485" t="s">
        <v>17</v>
      </c>
      <c r="L2485">
        <f>F2484*G2484*(1-H2484)</f>
        <v>2695.5</v>
      </c>
    </row>
    <row r="2486" spans="1:12">
      <c r="A2486" t="s">
        <v>3277</v>
      </c>
      <c r="B2486" s="1">
        <v>46059</v>
      </c>
      <c r="C2486" t="s">
        <v>1244</v>
      </c>
      <c r="D2486" t="s">
        <v>13</v>
      </c>
      <c r="E2486" t="s">
        <v>21</v>
      </c>
      <c r="F2486">
        <v>4</v>
      </c>
      <c r="G2486">
        <v>599</v>
      </c>
      <c r="H2486">
        <v>0</v>
      </c>
      <c r="I2486" t="s">
        <v>15</v>
      </c>
      <c r="J2486" t="s">
        <v>51</v>
      </c>
      <c r="K2486" t="s">
        <v>23</v>
      </c>
      <c r="L2486">
        <f>F2485*G2485*(1-H2485)</f>
        <v>1499</v>
      </c>
    </row>
    <row r="2487" spans="1:12">
      <c r="A2487" t="s">
        <v>3278</v>
      </c>
      <c r="B2487" s="1">
        <v>46210</v>
      </c>
      <c r="C2487" t="s">
        <v>3279</v>
      </c>
      <c r="D2487" t="s">
        <v>26</v>
      </c>
      <c r="E2487" t="s">
        <v>40</v>
      </c>
      <c r="F2487">
        <v>4</v>
      </c>
      <c r="G2487">
        <v>599</v>
      </c>
      <c r="H2487">
        <v>0.05</v>
      </c>
      <c r="I2487" t="s">
        <v>50</v>
      </c>
      <c r="J2487" t="s">
        <v>28</v>
      </c>
      <c r="K2487" t="s">
        <v>37</v>
      </c>
      <c r="L2487">
        <f>F2486*G2486*(1-H2486)</f>
        <v>2396</v>
      </c>
    </row>
    <row r="2488" spans="1:12">
      <c r="A2488" t="s">
        <v>3280</v>
      </c>
      <c r="B2488" s="1">
        <v>46070</v>
      </c>
      <c r="C2488" t="s">
        <v>2601</v>
      </c>
      <c r="D2488" t="s">
        <v>31</v>
      </c>
      <c r="E2488" t="s">
        <v>27</v>
      </c>
      <c r="F2488">
        <v>1</v>
      </c>
      <c r="G2488">
        <v>1299</v>
      </c>
      <c r="H2488">
        <v>0.1</v>
      </c>
      <c r="I2488" t="s">
        <v>50</v>
      </c>
      <c r="J2488" t="s">
        <v>36</v>
      </c>
      <c r="K2488" t="s">
        <v>37</v>
      </c>
      <c r="L2488">
        <f>F2487*G2487*(1-H2487)</f>
        <v>2276.1999999999998</v>
      </c>
    </row>
    <row r="2489" spans="1:12">
      <c r="A2489" t="s">
        <v>3281</v>
      </c>
      <c r="B2489" s="1">
        <v>46031</v>
      </c>
      <c r="C2489" t="s">
        <v>34</v>
      </c>
      <c r="D2489" t="s">
        <v>43</v>
      </c>
      <c r="E2489" t="s">
        <v>14</v>
      </c>
      <c r="F2489">
        <v>5</v>
      </c>
      <c r="G2489">
        <v>1299</v>
      </c>
      <c r="H2489">
        <v>0.1</v>
      </c>
      <c r="I2489" t="s">
        <v>15</v>
      </c>
      <c r="J2489" t="s">
        <v>28</v>
      </c>
      <c r="K2489" t="s">
        <v>17</v>
      </c>
      <c r="L2489">
        <f>F2488*G2488*(1-H2488)</f>
        <v>1169.1000000000001</v>
      </c>
    </row>
    <row r="2490" spans="1:12">
      <c r="A2490" t="s">
        <v>3282</v>
      </c>
      <c r="B2490" s="1">
        <v>46185</v>
      </c>
      <c r="C2490" t="s">
        <v>2634</v>
      </c>
      <c r="D2490" t="s">
        <v>43</v>
      </c>
      <c r="E2490" t="s">
        <v>14</v>
      </c>
      <c r="F2490">
        <v>1</v>
      </c>
      <c r="G2490">
        <v>4999</v>
      </c>
      <c r="H2490">
        <v>0.15</v>
      </c>
      <c r="I2490" t="s">
        <v>15</v>
      </c>
      <c r="J2490" t="s">
        <v>51</v>
      </c>
      <c r="K2490" t="s">
        <v>37</v>
      </c>
      <c r="L2490">
        <f>F2489*G2489*(1-H2489)</f>
        <v>5845.5</v>
      </c>
    </row>
    <row r="2491" spans="1:12">
      <c r="A2491" t="s">
        <v>3283</v>
      </c>
      <c r="B2491" s="1">
        <v>46032</v>
      </c>
      <c r="C2491" t="s">
        <v>921</v>
      </c>
      <c r="D2491" t="s">
        <v>56</v>
      </c>
      <c r="E2491" t="s">
        <v>21</v>
      </c>
      <c r="F2491">
        <v>1</v>
      </c>
      <c r="G2491">
        <v>1299</v>
      </c>
      <c r="H2491">
        <v>0</v>
      </c>
      <c r="I2491" t="s">
        <v>50</v>
      </c>
      <c r="J2491" t="s">
        <v>22</v>
      </c>
      <c r="K2491" t="s">
        <v>23</v>
      </c>
      <c r="L2491">
        <f>F2490*G2490*(1-H2490)</f>
        <v>4249.1499999999996</v>
      </c>
    </row>
    <row r="2492" spans="1:12">
      <c r="A2492" t="s">
        <v>3284</v>
      </c>
      <c r="B2492" s="1">
        <v>46032</v>
      </c>
      <c r="C2492" t="s">
        <v>42</v>
      </c>
      <c r="D2492" t="s">
        <v>13</v>
      </c>
      <c r="E2492" t="s">
        <v>40</v>
      </c>
      <c r="F2492">
        <v>3</v>
      </c>
      <c r="G2492">
        <v>599</v>
      </c>
      <c r="H2492">
        <v>0.15</v>
      </c>
      <c r="I2492" t="s">
        <v>50</v>
      </c>
      <c r="J2492" t="s">
        <v>16</v>
      </c>
      <c r="K2492" t="s">
        <v>37</v>
      </c>
      <c r="L2492">
        <f>F2491*G2491*(1-H2491)</f>
        <v>1299</v>
      </c>
    </row>
    <row r="2493" spans="1:12">
      <c r="A2493" t="s">
        <v>3285</v>
      </c>
      <c r="B2493" s="1">
        <v>46120</v>
      </c>
      <c r="C2493" t="s">
        <v>156</v>
      </c>
      <c r="D2493" t="s">
        <v>31</v>
      </c>
      <c r="E2493" t="s">
        <v>40</v>
      </c>
      <c r="F2493">
        <v>1</v>
      </c>
      <c r="G2493">
        <v>799</v>
      </c>
      <c r="H2493">
        <v>0.1</v>
      </c>
      <c r="I2493" t="s">
        <v>15</v>
      </c>
      <c r="J2493" t="s">
        <v>51</v>
      </c>
      <c r="K2493" t="s">
        <v>17</v>
      </c>
      <c r="L2493">
        <f>F2492*G2492*(1-H2492)</f>
        <v>1527.45</v>
      </c>
    </row>
    <row r="2494" spans="1:12">
      <c r="A2494" t="s">
        <v>3286</v>
      </c>
      <c r="B2494" s="1">
        <v>46023</v>
      </c>
      <c r="C2494" t="s">
        <v>1559</v>
      </c>
      <c r="D2494" t="s">
        <v>62</v>
      </c>
      <c r="E2494" t="s">
        <v>35</v>
      </c>
      <c r="F2494">
        <v>2</v>
      </c>
      <c r="G2494">
        <v>1299</v>
      </c>
      <c r="H2494">
        <v>0.1</v>
      </c>
      <c r="I2494" t="s">
        <v>47</v>
      </c>
      <c r="J2494" t="s">
        <v>51</v>
      </c>
      <c r="K2494" t="s">
        <v>17</v>
      </c>
      <c r="L2494">
        <f>F2493*G2493*(1-H2493)</f>
        <v>719.1</v>
      </c>
    </row>
    <row r="2495" spans="1:12">
      <c r="A2495" t="s">
        <v>3287</v>
      </c>
      <c r="B2495" s="1">
        <v>46132</v>
      </c>
      <c r="C2495" t="s">
        <v>271</v>
      </c>
      <c r="D2495" t="s">
        <v>31</v>
      </c>
      <c r="E2495" t="s">
        <v>35</v>
      </c>
      <c r="F2495">
        <v>5</v>
      </c>
      <c r="G2495">
        <v>1299</v>
      </c>
      <c r="H2495">
        <v>0</v>
      </c>
      <c r="I2495" t="s">
        <v>47</v>
      </c>
      <c r="J2495" t="s">
        <v>36</v>
      </c>
      <c r="K2495" t="s">
        <v>23</v>
      </c>
      <c r="L2495">
        <f>F2494*G2494*(1-H2494)</f>
        <v>2338.2000000000003</v>
      </c>
    </row>
    <row r="2496" spans="1:12">
      <c r="A2496" t="s">
        <v>3288</v>
      </c>
      <c r="B2496" s="1">
        <v>46254</v>
      </c>
      <c r="C2496" t="s">
        <v>19</v>
      </c>
      <c r="D2496" t="s">
        <v>59</v>
      </c>
      <c r="E2496" t="s">
        <v>35</v>
      </c>
      <c r="F2496">
        <v>2</v>
      </c>
      <c r="G2496">
        <v>1999</v>
      </c>
      <c r="H2496">
        <v>0.05</v>
      </c>
      <c r="I2496" t="s">
        <v>44</v>
      </c>
      <c r="J2496" t="s">
        <v>28</v>
      </c>
      <c r="K2496" t="s">
        <v>17</v>
      </c>
      <c r="L2496">
        <f>F2495*G2495*(1-H2495)</f>
        <v>6495</v>
      </c>
    </row>
    <row r="2497" spans="1:12">
      <c r="A2497" t="s">
        <v>3289</v>
      </c>
      <c r="B2497" s="1">
        <v>46143</v>
      </c>
      <c r="C2497" t="s">
        <v>1353</v>
      </c>
      <c r="D2497" t="s">
        <v>13</v>
      </c>
      <c r="E2497" t="s">
        <v>35</v>
      </c>
      <c r="F2497">
        <v>5</v>
      </c>
      <c r="G2497">
        <v>599</v>
      </c>
      <c r="H2497">
        <v>0.15</v>
      </c>
      <c r="I2497" t="s">
        <v>47</v>
      </c>
      <c r="J2497" t="s">
        <v>51</v>
      </c>
      <c r="K2497" t="s">
        <v>37</v>
      </c>
      <c r="L2497">
        <f>F2496*G2496*(1-H2496)</f>
        <v>3798.1</v>
      </c>
    </row>
    <row r="2498" spans="1:12">
      <c r="A2498" t="s">
        <v>3290</v>
      </c>
      <c r="B2498" s="1">
        <v>46272</v>
      </c>
      <c r="C2498" t="s">
        <v>606</v>
      </c>
      <c r="D2498" t="s">
        <v>71</v>
      </c>
      <c r="E2498" t="s">
        <v>21</v>
      </c>
      <c r="F2498">
        <v>5</v>
      </c>
      <c r="G2498">
        <v>7999</v>
      </c>
      <c r="H2498">
        <v>0.1</v>
      </c>
      <c r="I2498" t="s">
        <v>47</v>
      </c>
      <c r="J2498" t="s">
        <v>28</v>
      </c>
      <c r="K2498" t="s">
        <v>17</v>
      </c>
      <c r="L2498">
        <f>F2497*G2497*(1-H2497)</f>
        <v>2545.75</v>
      </c>
    </row>
    <row r="2499" spans="1:12">
      <c r="A2499" t="s">
        <v>3291</v>
      </c>
      <c r="B2499" s="1">
        <v>46123</v>
      </c>
      <c r="C2499" t="s">
        <v>265</v>
      </c>
      <c r="D2499" t="s">
        <v>26</v>
      </c>
      <c r="E2499" t="s">
        <v>27</v>
      </c>
      <c r="F2499">
        <v>2</v>
      </c>
      <c r="G2499">
        <v>999</v>
      </c>
      <c r="H2499">
        <v>0.05</v>
      </c>
      <c r="I2499" t="s">
        <v>44</v>
      </c>
      <c r="J2499" t="s">
        <v>51</v>
      </c>
      <c r="K2499" t="s">
        <v>17</v>
      </c>
      <c r="L2499">
        <f>F2498*G2498*(1-H2498)</f>
        <v>35995.5</v>
      </c>
    </row>
    <row r="2500" spans="1:12">
      <c r="A2500" t="s">
        <v>3292</v>
      </c>
      <c r="B2500" s="1">
        <v>46047</v>
      </c>
      <c r="C2500" t="s">
        <v>322</v>
      </c>
      <c r="D2500" t="s">
        <v>62</v>
      </c>
      <c r="E2500" t="s">
        <v>27</v>
      </c>
      <c r="F2500">
        <v>4</v>
      </c>
      <c r="G2500">
        <v>4999</v>
      </c>
      <c r="H2500">
        <v>0</v>
      </c>
      <c r="I2500" t="s">
        <v>50</v>
      </c>
      <c r="J2500" t="s">
        <v>28</v>
      </c>
      <c r="K2500" t="s">
        <v>37</v>
      </c>
      <c r="L2500">
        <f>F2499*G2499*(1-H2499)</f>
        <v>1898.1</v>
      </c>
    </row>
    <row r="2501" spans="1:12">
      <c r="A2501" t="s">
        <v>3293</v>
      </c>
      <c r="B2501" s="1">
        <v>46097</v>
      </c>
      <c r="C2501" t="s">
        <v>306</v>
      </c>
      <c r="D2501" t="s">
        <v>43</v>
      </c>
      <c r="E2501" t="s">
        <v>35</v>
      </c>
      <c r="F2501">
        <v>5</v>
      </c>
      <c r="G2501">
        <v>1999</v>
      </c>
      <c r="H2501">
        <v>0.1</v>
      </c>
      <c r="I2501" t="s">
        <v>32</v>
      </c>
      <c r="J2501" t="s">
        <v>28</v>
      </c>
      <c r="K2501" t="s">
        <v>17</v>
      </c>
      <c r="L2501">
        <f>F2500*G2500*(1-H2500)</f>
        <v>19996</v>
      </c>
    </row>
    <row r="2502" spans="1:12">
      <c r="A2502" t="s">
        <v>3294</v>
      </c>
      <c r="B2502" s="1">
        <v>46243</v>
      </c>
      <c r="C2502" t="s">
        <v>1355</v>
      </c>
      <c r="D2502" t="s">
        <v>62</v>
      </c>
      <c r="E2502" t="s">
        <v>21</v>
      </c>
      <c r="F2502">
        <v>1</v>
      </c>
      <c r="G2502">
        <v>999</v>
      </c>
      <c r="H2502">
        <v>0.15</v>
      </c>
      <c r="I2502" t="s">
        <v>50</v>
      </c>
      <c r="J2502" t="s">
        <v>16</v>
      </c>
      <c r="K2502" t="s">
        <v>17</v>
      </c>
      <c r="L2502">
        <f>F2501*G2501*(1-H2501)</f>
        <v>8995.5</v>
      </c>
    </row>
    <row r="2503" spans="1:12">
      <c r="A2503" t="s">
        <v>3295</v>
      </c>
      <c r="B2503" s="1">
        <v>46219</v>
      </c>
      <c r="C2503" t="s">
        <v>620</v>
      </c>
      <c r="D2503" t="s">
        <v>59</v>
      </c>
      <c r="E2503" t="s">
        <v>40</v>
      </c>
      <c r="F2503">
        <v>1</v>
      </c>
      <c r="G2503">
        <v>599</v>
      </c>
      <c r="H2503">
        <v>0</v>
      </c>
      <c r="I2503" t="s">
        <v>15</v>
      </c>
      <c r="J2503" t="s">
        <v>16</v>
      </c>
      <c r="K2503" t="s">
        <v>23</v>
      </c>
      <c r="L2503">
        <f>F2502*G2502*(1-H2502)</f>
        <v>849.15</v>
      </c>
    </row>
    <row r="2504" spans="1:12">
      <c r="A2504" t="s">
        <v>3296</v>
      </c>
      <c r="B2504" s="1">
        <v>46202</v>
      </c>
      <c r="C2504" t="s">
        <v>1563</v>
      </c>
      <c r="D2504" t="s">
        <v>43</v>
      </c>
      <c r="E2504" t="s">
        <v>40</v>
      </c>
      <c r="F2504">
        <v>1</v>
      </c>
      <c r="G2504">
        <v>4999</v>
      </c>
      <c r="H2504">
        <v>0.15</v>
      </c>
      <c r="I2504" t="s">
        <v>47</v>
      </c>
      <c r="J2504" t="s">
        <v>36</v>
      </c>
      <c r="K2504" t="s">
        <v>17</v>
      </c>
      <c r="L2504">
        <f>F2503*G2503*(1-H2503)</f>
        <v>599</v>
      </c>
    </row>
    <row r="2505" spans="1:12">
      <c r="A2505" t="s">
        <v>3297</v>
      </c>
      <c r="B2505" s="1">
        <v>46113</v>
      </c>
      <c r="C2505" t="s">
        <v>380</v>
      </c>
      <c r="D2505" t="s">
        <v>31</v>
      </c>
      <c r="E2505" t="s">
        <v>35</v>
      </c>
      <c r="F2505">
        <v>3</v>
      </c>
      <c r="G2505">
        <v>2499</v>
      </c>
      <c r="H2505">
        <v>0</v>
      </c>
      <c r="I2505" t="s">
        <v>15</v>
      </c>
      <c r="J2505" t="s">
        <v>51</v>
      </c>
      <c r="K2505" t="s">
        <v>37</v>
      </c>
      <c r="L2505">
        <f>F2504*G2504*(1-H2504)</f>
        <v>4249.1499999999996</v>
      </c>
    </row>
    <row r="2506" spans="1:12">
      <c r="A2506" t="s">
        <v>3298</v>
      </c>
      <c r="B2506" s="1">
        <v>46275</v>
      </c>
      <c r="C2506" t="s">
        <v>2005</v>
      </c>
      <c r="D2506" t="s">
        <v>31</v>
      </c>
      <c r="E2506" t="s">
        <v>40</v>
      </c>
      <c r="F2506">
        <v>2</v>
      </c>
      <c r="G2506">
        <v>999</v>
      </c>
      <c r="H2506">
        <v>0</v>
      </c>
      <c r="I2506" t="s">
        <v>15</v>
      </c>
      <c r="J2506" t="s">
        <v>22</v>
      </c>
      <c r="K2506" t="s">
        <v>17</v>
      </c>
      <c r="L2506">
        <f>F2505*G2505*(1-H2505)</f>
        <v>7497</v>
      </c>
    </row>
    <row r="2507" spans="1:12">
      <c r="A2507" t="s">
        <v>3299</v>
      </c>
      <c r="B2507" s="1">
        <v>46194</v>
      </c>
      <c r="C2507" t="s">
        <v>1316</v>
      </c>
      <c r="D2507" t="s">
        <v>71</v>
      </c>
      <c r="E2507" t="s">
        <v>21</v>
      </c>
      <c r="F2507">
        <v>1</v>
      </c>
      <c r="G2507">
        <v>599</v>
      </c>
      <c r="H2507">
        <v>0</v>
      </c>
      <c r="I2507" t="s">
        <v>32</v>
      </c>
      <c r="J2507" t="s">
        <v>28</v>
      </c>
      <c r="K2507" t="s">
        <v>17</v>
      </c>
      <c r="L2507">
        <f>F2506*G2506*(1-H2506)</f>
        <v>1998</v>
      </c>
    </row>
    <row r="2508" spans="1:12">
      <c r="A2508" t="s">
        <v>3300</v>
      </c>
      <c r="B2508" s="1">
        <v>46293</v>
      </c>
      <c r="C2508" t="s">
        <v>1132</v>
      </c>
      <c r="D2508" t="s">
        <v>43</v>
      </c>
      <c r="E2508" t="s">
        <v>35</v>
      </c>
      <c r="F2508">
        <v>4</v>
      </c>
      <c r="G2508">
        <v>999</v>
      </c>
      <c r="H2508">
        <v>0.05</v>
      </c>
      <c r="I2508" t="s">
        <v>32</v>
      </c>
      <c r="J2508" t="s">
        <v>36</v>
      </c>
      <c r="K2508" t="s">
        <v>37</v>
      </c>
      <c r="L2508">
        <f>F2507*G2507*(1-H2507)</f>
        <v>599</v>
      </c>
    </row>
    <row r="2509" spans="1:12">
      <c r="A2509" t="s">
        <v>3301</v>
      </c>
      <c r="B2509" s="1">
        <v>46225</v>
      </c>
      <c r="C2509" t="s">
        <v>468</v>
      </c>
      <c r="D2509" t="s">
        <v>43</v>
      </c>
      <c r="E2509" t="s">
        <v>35</v>
      </c>
      <c r="F2509">
        <v>5</v>
      </c>
      <c r="G2509">
        <v>499</v>
      </c>
      <c r="H2509">
        <v>0.15</v>
      </c>
      <c r="I2509" t="s">
        <v>44</v>
      </c>
      <c r="J2509" t="s">
        <v>16</v>
      </c>
      <c r="K2509" t="s">
        <v>23</v>
      </c>
      <c r="L2509">
        <f>F2508*G2508*(1-H2508)</f>
        <v>3796.2</v>
      </c>
    </row>
    <row r="2510" spans="1:12">
      <c r="A2510" t="s">
        <v>3302</v>
      </c>
      <c r="B2510" s="1">
        <v>46023</v>
      </c>
      <c r="C2510" t="s">
        <v>1340</v>
      </c>
      <c r="D2510" t="s">
        <v>56</v>
      </c>
      <c r="E2510" t="s">
        <v>27</v>
      </c>
      <c r="F2510">
        <v>5</v>
      </c>
      <c r="G2510">
        <v>599</v>
      </c>
      <c r="H2510">
        <v>0</v>
      </c>
      <c r="I2510" t="s">
        <v>47</v>
      </c>
      <c r="J2510" t="s">
        <v>28</v>
      </c>
      <c r="K2510" t="s">
        <v>17</v>
      </c>
      <c r="L2510">
        <f>F2509*G2509*(1-H2509)</f>
        <v>2120.75</v>
      </c>
    </row>
    <row r="2511" spans="1:12">
      <c r="A2511" t="s">
        <v>3303</v>
      </c>
      <c r="B2511" s="1">
        <v>46065</v>
      </c>
      <c r="C2511" t="s">
        <v>172</v>
      </c>
      <c r="D2511" t="s">
        <v>71</v>
      </c>
      <c r="E2511" t="s">
        <v>35</v>
      </c>
      <c r="F2511">
        <v>2</v>
      </c>
      <c r="G2511">
        <v>7999</v>
      </c>
      <c r="H2511">
        <v>0.15</v>
      </c>
      <c r="I2511" t="s">
        <v>32</v>
      </c>
      <c r="J2511" t="s">
        <v>28</v>
      </c>
      <c r="K2511" t="s">
        <v>23</v>
      </c>
      <c r="L2511">
        <f>F2510*G2510*(1-H2510)</f>
        <v>2995</v>
      </c>
    </row>
    <row r="2512" spans="1:12">
      <c r="A2512" t="s">
        <v>3304</v>
      </c>
      <c r="B2512" s="1">
        <v>46135</v>
      </c>
      <c r="C2512" t="s">
        <v>1118</v>
      </c>
      <c r="D2512" t="s">
        <v>56</v>
      </c>
      <c r="E2512" t="s">
        <v>14</v>
      </c>
      <c r="F2512">
        <v>5</v>
      </c>
      <c r="G2512">
        <v>1299</v>
      </c>
      <c r="H2512">
        <v>0.05</v>
      </c>
      <c r="I2512" t="s">
        <v>50</v>
      </c>
      <c r="J2512" t="s">
        <v>36</v>
      </c>
      <c r="K2512" t="s">
        <v>17</v>
      </c>
      <c r="L2512">
        <f>F2511*G2511*(1-H2511)</f>
        <v>13598.3</v>
      </c>
    </row>
    <row r="2513" spans="1:12">
      <c r="A2513" t="s">
        <v>3305</v>
      </c>
      <c r="B2513" s="1">
        <v>46068</v>
      </c>
      <c r="C2513" t="s">
        <v>2036</v>
      </c>
      <c r="D2513" t="s">
        <v>43</v>
      </c>
      <c r="E2513" t="s">
        <v>14</v>
      </c>
      <c r="F2513">
        <v>4</v>
      </c>
      <c r="G2513">
        <v>4999</v>
      </c>
      <c r="H2513">
        <v>0</v>
      </c>
      <c r="I2513" t="s">
        <v>15</v>
      </c>
      <c r="J2513" t="s">
        <v>28</v>
      </c>
      <c r="K2513" t="s">
        <v>17</v>
      </c>
      <c r="L2513">
        <f>F2512*G2512*(1-H2512)</f>
        <v>6170.25</v>
      </c>
    </row>
    <row r="2514" spans="1:12">
      <c r="A2514" t="s">
        <v>3306</v>
      </c>
      <c r="B2514" s="1">
        <v>46148</v>
      </c>
      <c r="C2514" t="s">
        <v>1763</v>
      </c>
      <c r="D2514" t="s">
        <v>13</v>
      </c>
      <c r="E2514" t="s">
        <v>35</v>
      </c>
      <c r="F2514">
        <v>2</v>
      </c>
      <c r="G2514">
        <v>999</v>
      </c>
      <c r="H2514">
        <v>0.15</v>
      </c>
      <c r="I2514" t="s">
        <v>32</v>
      </c>
      <c r="J2514" t="s">
        <v>36</v>
      </c>
      <c r="K2514" t="s">
        <v>17</v>
      </c>
      <c r="L2514">
        <f>F2513*G2513*(1-H2513)</f>
        <v>19996</v>
      </c>
    </row>
    <row r="2515" spans="1:12">
      <c r="A2515" t="s">
        <v>3307</v>
      </c>
      <c r="B2515" s="1">
        <v>46205</v>
      </c>
      <c r="C2515" t="s">
        <v>872</v>
      </c>
      <c r="D2515" t="s">
        <v>13</v>
      </c>
      <c r="E2515" t="s">
        <v>27</v>
      </c>
      <c r="F2515">
        <v>5</v>
      </c>
      <c r="G2515">
        <v>599</v>
      </c>
      <c r="H2515">
        <v>0.15</v>
      </c>
      <c r="I2515" t="s">
        <v>32</v>
      </c>
      <c r="J2515" t="s">
        <v>36</v>
      </c>
      <c r="K2515" t="s">
        <v>17</v>
      </c>
      <c r="L2515">
        <f>F2514*G2514*(1-H2514)</f>
        <v>1698.3</v>
      </c>
    </row>
    <row r="2516" spans="1:12">
      <c r="A2516" t="s">
        <v>3308</v>
      </c>
      <c r="B2516" s="1">
        <v>46118</v>
      </c>
      <c r="C2516" t="s">
        <v>146</v>
      </c>
      <c r="D2516" t="s">
        <v>26</v>
      </c>
      <c r="E2516" t="s">
        <v>27</v>
      </c>
      <c r="F2516">
        <v>1</v>
      </c>
      <c r="G2516">
        <v>4999</v>
      </c>
      <c r="H2516">
        <v>0.1</v>
      </c>
      <c r="I2516" t="s">
        <v>50</v>
      </c>
      <c r="J2516" t="s">
        <v>16</v>
      </c>
      <c r="K2516" t="s">
        <v>17</v>
      </c>
      <c r="L2516">
        <f>F2515*G2515*(1-H2515)</f>
        <v>2545.75</v>
      </c>
    </row>
    <row r="2517" spans="1:12">
      <c r="A2517" t="s">
        <v>3309</v>
      </c>
      <c r="B2517" s="1">
        <v>46142</v>
      </c>
      <c r="C2517" t="s">
        <v>2080</v>
      </c>
      <c r="D2517" t="s">
        <v>43</v>
      </c>
      <c r="E2517" t="s">
        <v>40</v>
      </c>
      <c r="F2517">
        <v>2</v>
      </c>
      <c r="G2517">
        <v>7999</v>
      </c>
      <c r="H2517">
        <v>0.15</v>
      </c>
      <c r="I2517" t="s">
        <v>15</v>
      </c>
      <c r="J2517" t="s">
        <v>28</v>
      </c>
      <c r="K2517" t="s">
        <v>17</v>
      </c>
      <c r="L2517">
        <f>F2516*G2516*(1-H2516)</f>
        <v>4499.1000000000004</v>
      </c>
    </row>
    <row r="2518" spans="1:12">
      <c r="A2518" t="s">
        <v>3310</v>
      </c>
      <c r="B2518" s="1">
        <v>46222</v>
      </c>
      <c r="C2518" t="s">
        <v>725</v>
      </c>
      <c r="D2518" t="s">
        <v>71</v>
      </c>
      <c r="E2518" t="s">
        <v>27</v>
      </c>
      <c r="F2518">
        <v>1</v>
      </c>
      <c r="G2518">
        <v>599</v>
      </c>
      <c r="H2518">
        <v>0</v>
      </c>
      <c r="I2518" t="s">
        <v>44</v>
      </c>
      <c r="J2518" t="s">
        <v>51</v>
      </c>
      <c r="K2518" t="s">
        <v>17</v>
      </c>
      <c r="L2518">
        <f>F2517*G2517*(1-H2517)</f>
        <v>13598.3</v>
      </c>
    </row>
    <row r="2519" spans="1:12">
      <c r="A2519" t="s">
        <v>3311</v>
      </c>
      <c r="B2519" s="1">
        <v>46029</v>
      </c>
      <c r="C2519" t="s">
        <v>1724</v>
      </c>
      <c r="D2519" t="s">
        <v>26</v>
      </c>
      <c r="E2519" t="s">
        <v>14</v>
      </c>
      <c r="F2519">
        <v>5</v>
      </c>
      <c r="G2519">
        <v>499</v>
      </c>
      <c r="H2519">
        <v>0</v>
      </c>
      <c r="I2519" t="s">
        <v>47</v>
      </c>
      <c r="J2519" t="s">
        <v>28</v>
      </c>
      <c r="K2519" t="s">
        <v>23</v>
      </c>
      <c r="L2519">
        <f>F2518*G2518*(1-H2518)</f>
        <v>599</v>
      </c>
    </row>
    <row r="2520" spans="1:12">
      <c r="A2520" t="s">
        <v>3312</v>
      </c>
      <c r="B2520" s="1">
        <v>46217</v>
      </c>
      <c r="C2520" t="s">
        <v>1889</v>
      </c>
      <c r="D2520" t="s">
        <v>56</v>
      </c>
      <c r="E2520" t="s">
        <v>27</v>
      </c>
      <c r="F2520">
        <v>4</v>
      </c>
      <c r="G2520">
        <v>799</v>
      </c>
      <c r="H2520">
        <v>0.1</v>
      </c>
      <c r="I2520" t="s">
        <v>44</v>
      </c>
      <c r="J2520" t="s">
        <v>22</v>
      </c>
      <c r="K2520" t="s">
        <v>17</v>
      </c>
      <c r="L2520">
        <f>F2519*G2519*(1-H2519)</f>
        <v>2495</v>
      </c>
    </row>
    <row r="2521" spans="1:12">
      <c r="A2521" t="s">
        <v>3313</v>
      </c>
      <c r="B2521" s="1">
        <v>46123</v>
      </c>
      <c r="C2521" t="s">
        <v>2429</v>
      </c>
      <c r="D2521" t="s">
        <v>43</v>
      </c>
      <c r="E2521" t="s">
        <v>27</v>
      </c>
      <c r="F2521">
        <v>5</v>
      </c>
      <c r="G2521">
        <v>2499</v>
      </c>
      <c r="H2521">
        <v>0</v>
      </c>
      <c r="I2521" t="s">
        <v>32</v>
      </c>
      <c r="J2521" t="s">
        <v>22</v>
      </c>
      <c r="K2521" t="s">
        <v>37</v>
      </c>
      <c r="L2521">
        <f>F2520*G2520*(1-H2520)</f>
        <v>2876.4</v>
      </c>
    </row>
    <row r="2522" spans="1:12">
      <c r="A2522" t="s">
        <v>3314</v>
      </c>
      <c r="B2522" s="1">
        <v>46026</v>
      </c>
      <c r="C2522" t="s">
        <v>991</v>
      </c>
      <c r="D2522" t="s">
        <v>62</v>
      </c>
      <c r="E2522" t="s">
        <v>35</v>
      </c>
      <c r="F2522">
        <v>3</v>
      </c>
      <c r="G2522">
        <v>999</v>
      </c>
      <c r="H2522">
        <v>0</v>
      </c>
      <c r="I2522" t="s">
        <v>44</v>
      </c>
      <c r="J2522" t="s">
        <v>51</v>
      </c>
      <c r="K2522" t="s">
        <v>37</v>
      </c>
      <c r="L2522">
        <f>F2521*G2521*(1-H2521)</f>
        <v>12495</v>
      </c>
    </row>
    <row r="2523" spans="1:12">
      <c r="A2523" t="s">
        <v>3315</v>
      </c>
      <c r="B2523" s="1">
        <v>46214</v>
      </c>
      <c r="C2523" t="s">
        <v>2799</v>
      </c>
      <c r="D2523" t="s">
        <v>26</v>
      </c>
      <c r="E2523" t="s">
        <v>14</v>
      </c>
      <c r="F2523">
        <v>2</v>
      </c>
      <c r="G2523">
        <v>2499</v>
      </c>
      <c r="H2523">
        <v>0.15</v>
      </c>
      <c r="I2523" t="s">
        <v>44</v>
      </c>
      <c r="J2523" t="s">
        <v>28</v>
      </c>
      <c r="K2523" t="s">
        <v>23</v>
      </c>
      <c r="L2523">
        <f>F2522*G2522*(1-H2522)</f>
        <v>2997</v>
      </c>
    </row>
    <row r="2524" spans="1:12">
      <c r="A2524" t="s">
        <v>3316</v>
      </c>
      <c r="B2524" s="1">
        <v>46075</v>
      </c>
      <c r="C2524" t="s">
        <v>3317</v>
      </c>
      <c r="D2524" t="s">
        <v>13</v>
      </c>
      <c r="E2524" t="s">
        <v>35</v>
      </c>
      <c r="F2524">
        <v>3</v>
      </c>
      <c r="G2524">
        <v>499</v>
      </c>
      <c r="H2524">
        <v>0.05</v>
      </c>
      <c r="I2524" t="s">
        <v>47</v>
      </c>
      <c r="J2524" t="s">
        <v>51</v>
      </c>
      <c r="K2524" t="s">
        <v>17</v>
      </c>
      <c r="L2524">
        <f>F2523*G2523*(1-H2523)</f>
        <v>4248.3</v>
      </c>
    </row>
    <row r="2525" spans="1:12">
      <c r="A2525" t="s">
        <v>3318</v>
      </c>
      <c r="B2525" s="1">
        <v>46215</v>
      </c>
      <c r="C2525" t="s">
        <v>1898</v>
      </c>
      <c r="D2525" t="s">
        <v>26</v>
      </c>
      <c r="E2525" t="s">
        <v>14</v>
      </c>
      <c r="F2525">
        <v>3</v>
      </c>
      <c r="G2525">
        <v>1999</v>
      </c>
      <c r="H2525">
        <v>0.1</v>
      </c>
      <c r="I2525" t="s">
        <v>50</v>
      </c>
      <c r="J2525" t="s">
        <v>28</v>
      </c>
      <c r="K2525" t="s">
        <v>17</v>
      </c>
      <c r="L2525">
        <f>F2524*G2524*(1-H2524)</f>
        <v>1422.1499999999999</v>
      </c>
    </row>
    <row r="2526" spans="1:12">
      <c r="A2526" t="s">
        <v>3319</v>
      </c>
      <c r="B2526" s="1">
        <v>46151</v>
      </c>
      <c r="C2526" t="s">
        <v>3135</v>
      </c>
      <c r="D2526" t="s">
        <v>13</v>
      </c>
      <c r="E2526" t="s">
        <v>40</v>
      </c>
      <c r="F2526">
        <v>3</v>
      </c>
      <c r="G2526">
        <v>1299</v>
      </c>
      <c r="H2526">
        <v>0.15</v>
      </c>
      <c r="I2526" t="s">
        <v>15</v>
      </c>
      <c r="J2526" t="s">
        <v>51</v>
      </c>
      <c r="K2526" t="s">
        <v>17</v>
      </c>
      <c r="L2526">
        <f>F2525*G2525*(1-H2525)</f>
        <v>5397.3</v>
      </c>
    </row>
    <row r="2527" spans="1:12">
      <c r="A2527" t="s">
        <v>3320</v>
      </c>
      <c r="B2527" s="1">
        <v>46253</v>
      </c>
      <c r="C2527" t="s">
        <v>1235</v>
      </c>
      <c r="D2527" t="s">
        <v>43</v>
      </c>
      <c r="E2527" t="s">
        <v>35</v>
      </c>
      <c r="F2527">
        <v>1</v>
      </c>
      <c r="G2527">
        <v>999</v>
      </c>
      <c r="H2527">
        <v>0</v>
      </c>
      <c r="I2527" t="s">
        <v>50</v>
      </c>
      <c r="J2527" t="s">
        <v>16</v>
      </c>
      <c r="K2527" t="s">
        <v>37</v>
      </c>
      <c r="L2527">
        <f>F2526*G2526*(1-H2526)</f>
        <v>3312.45</v>
      </c>
    </row>
    <row r="2528" spans="1:12">
      <c r="A2528" t="s">
        <v>3321</v>
      </c>
      <c r="B2528" s="1">
        <v>46058</v>
      </c>
      <c r="C2528" t="s">
        <v>839</v>
      </c>
      <c r="D2528" t="s">
        <v>56</v>
      </c>
      <c r="E2528" t="s">
        <v>35</v>
      </c>
      <c r="F2528">
        <v>3</v>
      </c>
      <c r="G2528">
        <v>599</v>
      </c>
      <c r="H2528">
        <v>0</v>
      </c>
      <c r="I2528" t="s">
        <v>32</v>
      </c>
      <c r="J2528" t="s">
        <v>16</v>
      </c>
      <c r="K2528" t="s">
        <v>37</v>
      </c>
      <c r="L2528">
        <f>F2527*G2527*(1-H2527)</f>
        <v>999</v>
      </c>
    </row>
    <row r="2529" spans="1:12">
      <c r="A2529" t="s">
        <v>3322</v>
      </c>
      <c r="B2529" s="1">
        <v>46089</v>
      </c>
      <c r="C2529" t="s">
        <v>846</v>
      </c>
      <c r="D2529" t="s">
        <v>31</v>
      </c>
      <c r="E2529" t="s">
        <v>21</v>
      </c>
      <c r="F2529">
        <v>3</v>
      </c>
      <c r="G2529">
        <v>799</v>
      </c>
      <c r="H2529">
        <v>0</v>
      </c>
      <c r="I2529" t="s">
        <v>32</v>
      </c>
      <c r="J2529" t="s">
        <v>16</v>
      </c>
      <c r="K2529" t="s">
        <v>37</v>
      </c>
      <c r="L2529">
        <f>F2528*G2528*(1-H2528)</f>
        <v>1797</v>
      </c>
    </row>
    <row r="2530" spans="1:12">
      <c r="A2530" t="s">
        <v>3323</v>
      </c>
      <c r="B2530" s="1">
        <v>46156</v>
      </c>
      <c r="C2530" t="s">
        <v>1028</v>
      </c>
      <c r="D2530" t="s">
        <v>43</v>
      </c>
      <c r="E2530" t="s">
        <v>40</v>
      </c>
      <c r="F2530">
        <v>1</v>
      </c>
      <c r="G2530">
        <v>2499</v>
      </c>
      <c r="H2530">
        <v>0</v>
      </c>
      <c r="I2530" t="s">
        <v>32</v>
      </c>
      <c r="J2530" t="s">
        <v>22</v>
      </c>
      <c r="K2530" t="s">
        <v>17</v>
      </c>
      <c r="L2530">
        <f>F2529*G2529*(1-H2529)</f>
        <v>2397</v>
      </c>
    </row>
    <row r="2531" spans="1:12">
      <c r="A2531" t="s">
        <v>3324</v>
      </c>
      <c r="B2531" s="1">
        <v>46200</v>
      </c>
      <c r="C2531" t="s">
        <v>80</v>
      </c>
      <c r="D2531" t="s">
        <v>59</v>
      </c>
      <c r="E2531" t="s">
        <v>35</v>
      </c>
      <c r="F2531">
        <v>1</v>
      </c>
      <c r="G2531">
        <v>2499</v>
      </c>
      <c r="H2531">
        <v>0</v>
      </c>
      <c r="I2531" t="s">
        <v>32</v>
      </c>
      <c r="J2531" t="s">
        <v>51</v>
      </c>
      <c r="K2531" t="s">
        <v>37</v>
      </c>
      <c r="L2531">
        <f>F2530*G2530*(1-H2530)</f>
        <v>2499</v>
      </c>
    </row>
    <row r="2532" spans="1:12">
      <c r="A2532" t="s">
        <v>3325</v>
      </c>
      <c r="B2532" s="1">
        <v>46073</v>
      </c>
      <c r="C2532" t="s">
        <v>1353</v>
      </c>
      <c r="D2532" t="s">
        <v>62</v>
      </c>
      <c r="E2532" t="s">
        <v>35</v>
      </c>
      <c r="F2532">
        <v>2</v>
      </c>
      <c r="G2532">
        <v>499</v>
      </c>
      <c r="H2532">
        <v>0</v>
      </c>
      <c r="I2532" t="s">
        <v>44</v>
      </c>
      <c r="J2532" t="s">
        <v>16</v>
      </c>
      <c r="K2532" t="s">
        <v>17</v>
      </c>
      <c r="L2532">
        <f>F2531*G2531*(1-H2531)</f>
        <v>2499</v>
      </c>
    </row>
    <row r="2533" spans="1:12">
      <c r="A2533" t="s">
        <v>3326</v>
      </c>
      <c r="B2533" s="1">
        <v>46260</v>
      </c>
      <c r="C2533" t="s">
        <v>1211</v>
      </c>
      <c r="D2533" t="s">
        <v>71</v>
      </c>
      <c r="E2533" t="s">
        <v>27</v>
      </c>
      <c r="F2533">
        <v>5</v>
      </c>
      <c r="G2533">
        <v>1499</v>
      </c>
      <c r="H2533">
        <v>0.15</v>
      </c>
      <c r="I2533" t="s">
        <v>44</v>
      </c>
      <c r="J2533" t="s">
        <v>36</v>
      </c>
      <c r="K2533" t="s">
        <v>17</v>
      </c>
      <c r="L2533">
        <f>F2532*G2532*(1-H2532)</f>
        <v>998</v>
      </c>
    </row>
    <row r="2534" spans="1:12">
      <c r="A2534" t="s">
        <v>3327</v>
      </c>
      <c r="B2534" s="1">
        <v>46283</v>
      </c>
      <c r="C2534" t="s">
        <v>1728</v>
      </c>
      <c r="D2534" t="s">
        <v>62</v>
      </c>
      <c r="E2534" t="s">
        <v>40</v>
      </c>
      <c r="F2534">
        <v>4</v>
      </c>
      <c r="G2534">
        <v>7999</v>
      </c>
      <c r="H2534">
        <v>0.05</v>
      </c>
      <c r="I2534" t="s">
        <v>44</v>
      </c>
      <c r="J2534" t="s">
        <v>16</v>
      </c>
      <c r="K2534" t="s">
        <v>23</v>
      </c>
      <c r="L2534">
        <f>F2533*G2533*(1-H2533)</f>
        <v>6370.75</v>
      </c>
    </row>
    <row r="2535" spans="1:12">
      <c r="A2535" t="s">
        <v>3328</v>
      </c>
      <c r="B2535" s="1">
        <v>46239</v>
      </c>
      <c r="C2535" t="s">
        <v>327</v>
      </c>
      <c r="D2535" t="s">
        <v>43</v>
      </c>
      <c r="E2535" t="s">
        <v>27</v>
      </c>
      <c r="F2535">
        <v>2</v>
      </c>
      <c r="G2535">
        <v>1299</v>
      </c>
      <c r="H2535">
        <v>0</v>
      </c>
      <c r="I2535" t="s">
        <v>15</v>
      </c>
      <c r="J2535" t="s">
        <v>36</v>
      </c>
      <c r="K2535" t="s">
        <v>23</v>
      </c>
      <c r="L2535">
        <f>F2534*G2534*(1-H2534)</f>
        <v>30396.199999999997</v>
      </c>
    </row>
    <row r="2536" spans="1:12">
      <c r="A2536" t="s">
        <v>3329</v>
      </c>
      <c r="B2536" s="1">
        <v>46094</v>
      </c>
      <c r="C2536" t="s">
        <v>100</v>
      </c>
      <c r="D2536" t="s">
        <v>20</v>
      </c>
      <c r="E2536" t="s">
        <v>27</v>
      </c>
      <c r="F2536">
        <v>5</v>
      </c>
      <c r="G2536">
        <v>799</v>
      </c>
      <c r="H2536">
        <v>0.15</v>
      </c>
      <c r="I2536" t="s">
        <v>44</v>
      </c>
      <c r="J2536" t="s">
        <v>36</v>
      </c>
      <c r="K2536" t="s">
        <v>23</v>
      </c>
      <c r="L2536">
        <f>F2535*G2535*(1-H2535)</f>
        <v>2598</v>
      </c>
    </row>
    <row r="2537" spans="1:12">
      <c r="A2537" t="s">
        <v>3330</v>
      </c>
      <c r="B2537" s="1">
        <v>46092</v>
      </c>
      <c r="C2537" t="s">
        <v>891</v>
      </c>
      <c r="D2537" t="s">
        <v>56</v>
      </c>
      <c r="E2537" t="s">
        <v>21</v>
      </c>
      <c r="F2537">
        <v>1</v>
      </c>
      <c r="G2537">
        <v>2499</v>
      </c>
      <c r="H2537">
        <v>0</v>
      </c>
      <c r="I2537" t="s">
        <v>44</v>
      </c>
      <c r="J2537" t="s">
        <v>51</v>
      </c>
      <c r="K2537" t="s">
        <v>17</v>
      </c>
      <c r="L2537">
        <f>F2536*G2536*(1-H2536)</f>
        <v>3395.75</v>
      </c>
    </row>
    <row r="2538" spans="1:12">
      <c r="A2538" t="s">
        <v>3331</v>
      </c>
      <c r="B2538" s="1">
        <v>46196</v>
      </c>
      <c r="C2538" t="s">
        <v>448</v>
      </c>
      <c r="D2538" t="s">
        <v>20</v>
      </c>
      <c r="E2538" t="s">
        <v>40</v>
      </c>
      <c r="F2538">
        <v>1</v>
      </c>
      <c r="G2538">
        <v>2499</v>
      </c>
      <c r="H2538">
        <v>0</v>
      </c>
      <c r="I2538" t="s">
        <v>15</v>
      </c>
      <c r="J2538" t="s">
        <v>22</v>
      </c>
      <c r="K2538" t="s">
        <v>23</v>
      </c>
      <c r="L2538">
        <f>F2537*G2537*(1-H2537)</f>
        <v>2499</v>
      </c>
    </row>
    <row r="2539" spans="1:12">
      <c r="A2539" t="s">
        <v>3332</v>
      </c>
      <c r="B2539" s="1">
        <v>46157</v>
      </c>
      <c r="C2539" t="s">
        <v>1471</v>
      </c>
      <c r="D2539" t="s">
        <v>71</v>
      </c>
      <c r="E2539" t="s">
        <v>21</v>
      </c>
      <c r="F2539">
        <v>4</v>
      </c>
      <c r="G2539">
        <v>1999</v>
      </c>
      <c r="H2539">
        <v>0.1</v>
      </c>
      <c r="I2539" t="s">
        <v>47</v>
      </c>
      <c r="J2539" t="s">
        <v>28</v>
      </c>
      <c r="K2539" t="s">
        <v>17</v>
      </c>
      <c r="L2539">
        <f>F2538*G2538*(1-H2538)</f>
        <v>2499</v>
      </c>
    </row>
    <row r="2540" spans="1:12">
      <c r="A2540" t="s">
        <v>3333</v>
      </c>
      <c r="B2540" s="1">
        <v>46207</v>
      </c>
      <c r="C2540" t="s">
        <v>439</v>
      </c>
      <c r="D2540" t="s">
        <v>56</v>
      </c>
      <c r="E2540" t="s">
        <v>35</v>
      </c>
      <c r="F2540">
        <v>3</v>
      </c>
      <c r="G2540">
        <v>799</v>
      </c>
      <c r="H2540">
        <v>0</v>
      </c>
      <c r="I2540" t="s">
        <v>15</v>
      </c>
      <c r="J2540" t="s">
        <v>16</v>
      </c>
      <c r="K2540" t="s">
        <v>23</v>
      </c>
      <c r="L2540">
        <f>F2539*G2539*(1-H2539)</f>
        <v>7196.4000000000005</v>
      </c>
    </row>
    <row r="2541" spans="1:12">
      <c r="A2541" t="s">
        <v>3334</v>
      </c>
      <c r="B2541" s="1">
        <v>46180</v>
      </c>
      <c r="C2541" t="s">
        <v>1675</v>
      </c>
      <c r="D2541" t="s">
        <v>62</v>
      </c>
      <c r="E2541" t="s">
        <v>21</v>
      </c>
      <c r="F2541">
        <v>5</v>
      </c>
      <c r="G2541">
        <v>799</v>
      </c>
      <c r="H2541">
        <v>0</v>
      </c>
      <c r="I2541" t="s">
        <v>50</v>
      </c>
      <c r="J2541" t="s">
        <v>16</v>
      </c>
      <c r="K2541" t="s">
        <v>17</v>
      </c>
      <c r="L2541">
        <f>F2540*G2540*(1-H2540)</f>
        <v>2397</v>
      </c>
    </row>
    <row r="2542" spans="1:12">
      <c r="A2542" t="s">
        <v>3335</v>
      </c>
      <c r="B2542" s="1">
        <v>46094</v>
      </c>
      <c r="C2542" t="s">
        <v>3336</v>
      </c>
      <c r="D2542" t="s">
        <v>31</v>
      </c>
      <c r="E2542" t="s">
        <v>35</v>
      </c>
      <c r="F2542">
        <v>5</v>
      </c>
      <c r="G2542">
        <v>1499</v>
      </c>
      <c r="H2542">
        <v>0.1</v>
      </c>
      <c r="I2542" t="s">
        <v>32</v>
      </c>
      <c r="J2542" t="s">
        <v>51</v>
      </c>
      <c r="K2542" t="s">
        <v>17</v>
      </c>
      <c r="L2542">
        <f>F2541*G2541*(1-H2541)</f>
        <v>3995</v>
      </c>
    </row>
    <row r="2543" spans="1:12">
      <c r="A2543" t="s">
        <v>3337</v>
      </c>
      <c r="B2543" s="1">
        <v>46029</v>
      </c>
      <c r="C2543" t="s">
        <v>1804</v>
      </c>
      <c r="D2543" t="s">
        <v>26</v>
      </c>
      <c r="E2543" t="s">
        <v>27</v>
      </c>
      <c r="F2543">
        <v>5</v>
      </c>
      <c r="G2543">
        <v>499</v>
      </c>
      <c r="H2543">
        <v>0.05</v>
      </c>
      <c r="I2543" t="s">
        <v>47</v>
      </c>
      <c r="J2543" t="s">
        <v>36</v>
      </c>
      <c r="K2543" t="s">
        <v>17</v>
      </c>
      <c r="L2543">
        <f>F2542*G2542*(1-H2542)</f>
        <v>6745.5</v>
      </c>
    </row>
    <row r="2544" spans="1:12">
      <c r="A2544" t="s">
        <v>3338</v>
      </c>
      <c r="B2544" s="1">
        <v>46037</v>
      </c>
      <c r="C2544" t="s">
        <v>226</v>
      </c>
      <c r="D2544" t="s">
        <v>43</v>
      </c>
      <c r="E2544" t="s">
        <v>35</v>
      </c>
      <c r="F2544">
        <v>5</v>
      </c>
      <c r="G2544">
        <v>1499</v>
      </c>
      <c r="H2544">
        <v>0</v>
      </c>
      <c r="I2544" t="s">
        <v>50</v>
      </c>
      <c r="J2544" t="s">
        <v>36</v>
      </c>
      <c r="K2544" t="s">
        <v>17</v>
      </c>
      <c r="L2544">
        <f>F2543*G2543*(1-H2543)</f>
        <v>2370.25</v>
      </c>
    </row>
    <row r="2545" spans="1:12">
      <c r="A2545" t="s">
        <v>3339</v>
      </c>
      <c r="B2545" s="1">
        <v>46041</v>
      </c>
      <c r="C2545" t="s">
        <v>703</v>
      </c>
      <c r="D2545" t="s">
        <v>13</v>
      </c>
      <c r="E2545" t="s">
        <v>27</v>
      </c>
      <c r="F2545">
        <v>4</v>
      </c>
      <c r="G2545">
        <v>499</v>
      </c>
      <c r="H2545">
        <v>0.05</v>
      </c>
      <c r="I2545" t="s">
        <v>32</v>
      </c>
      <c r="J2545" t="s">
        <v>51</v>
      </c>
      <c r="K2545" t="s">
        <v>17</v>
      </c>
      <c r="L2545">
        <f>F2544*G2544*(1-H2544)</f>
        <v>7495</v>
      </c>
    </row>
    <row r="2546" spans="1:12">
      <c r="A2546" t="s">
        <v>3340</v>
      </c>
      <c r="B2546" s="1">
        <v>46150</v>
      </c>
      <c r="C2546" t="s">
        <v>239</v>
      </c>
      <c r="D2546" t="s">
        <v>26</v>
      </c>
      <c r="E2546" t="s">
        <v>40</v>
      </c>
      <c r="F2546">
        <v>3</v>
      </c>
      <c r="G2546">
        <v>1299</v>
      </c>
      <c r="H2546">
        <v>0.1</v>
      </c>
      <c r="I2546" t="s">
        <v>44</v>
      </c>
      <c r="J2546" t="s">
        <v>16</v>
      </c>
      <c r="K2546" t="s">
        <v>17</v>
      </c>
      <c r="L2546">
        <f>F2545*G2545*(1-H2545)</f>
        <v>1896.1999999999998</v>
      </c>
    </row>
    <row r="2547" spans="1:12">
      <c r="A2547" t="s">
        <v>3341</v>
      </c>
      <c r="B2547" s="1">
        <v>46159</v>
      </c>
      <c r="C2547" t="s">
        <v>1533</v>
      </c>
      <c r="D2547" t="s">
        <v>62</v>
      </c>
      <c r="E2547" t="s">
        <v>14</v>
      </c>
      <c r="F2547">
        <v>4</v>
      </c>
      <c r="G2547">
        <v>1299</v>
      </c>
      <c r="H2547">
        <v>0.15</v>
      </c>
      <c r="I2547" t="s">
        <v>15</v>
      </c>
      <c r="J2547" t="s">
        <v>16</v>
      </c>
      <c r="K2547" t="s">
        <v>17</v>
      </c>
      <c r="L2547">
        <f>F2546*G2546*(1-H2546)</f>
        <v>3507.3</v>
      </c>
    </row>
    <row r="2548" spans="1:12">
      <c r="A2548" t="s">
        <v>3342</v>
      </c>
      <c r="B2548" s="1">
        <v>46293</v>
      </c>
      <c r="C2548" t="s">
        <v>1363</v>
      </c>
      <c r="D2548" t="s">
        <v>20</v>
      </c>
      <c r="E2548" t="s">
        <v>35</v>
      </c>
      <c r="F2548">
        <v>2</v>
      </c>
      <c r="G2548">
        <v>999</v>
      </c>
      <c r="H2548">
        <v>0.15</v>
      </c>
      <c r="I2548" t="s">
        <v>50</v>
      </c>
      <c r="J2548" t="s">
        <v>51</v>
      </c>
      <c r="K2548" t="s">
        <v>17</v>
      </c>
      <c r="L2548">
        <f>F2547*G2547*(1-H2547)</f>
        <v>4416.5999999999995</v>
      </c>
    </row>
    <row r="2549" spans="1:12">
      <c r="A2549" t="s">
        <v>3343</v>
      </c>
      <c r="B2549" s="1">
        <v>46189</v>
      </c>
      <c r="C2549" t="s">
        <v>633</v>
      </c>
      <c r="D2549" t="s">
        <v>26</v>
      </c>
      <c r="E2549" t="s">
        <v>35</v>
      </c>
      <c r="F2549">
        <v>3</v>
      </c>
      <c r="G2549">
        <v>499</v>
      </c>
      <c r="H2549">
        <v>0.05</v>
      </c>
      <c r="I2549" t="s">
        <v>50</v>
      </c>
      <c r="J2549" t="s">
        <v>16</v>
      </c>
      <c r="K2549" t="s">
        <v>17</v>
      </c>
      <c r="L2549">
        <f>F2548*G2548*(1-H2548)</f>
        <v>1698.3</v>
      </c>
    </row>
    <row r="2550" spans="1:12">
      <c r="A2550" t="s">
        <v>3344</v>
      </c>
      <c r="B2550" s="1">
        <v>46071</v>
      </c>
      <c r="C2550" t="s">
        <v>1318</v>
      </c>
      <c r="D2550" t="s">
        <v>78</v>
      </c>
      <c r="E2550" t="s">
        <v>27</v>
      </c>
      <c r="F2550">
        <v>3</v>
      </c>
      <c r="G2550">
        <v>1299</v>
      </c>
      <c r="H2550">
        <v>0.05</v>
      </c>
      <c r="I2550" t="s">
        <v>47</v>
      </c>
      <c r="J2550" t="s">
        <v>22</v>
      </c>
      <c r="K2550" t="s">
        <v>17</v>
      </c>
      <c r="L2550">
        <f>F2549*G2549*(1-H2549)</f>
        <v>1422.1499999999999</v>
      </c>
    </row>
    <row r="2551" spans="1:12">
      <c r="A2551" t="s">
        <v>3345</v>
      </c>
      <c r="B2551" s="1">
        <v>46148</v>
      </c>
      <c r="C2551" t="s">
        <v>1363</v>
      </c>
      <c r="D2551" t="s">
        <v>78</v>
      </c>
      <c r="E2551" t="s">
        <v>35</v>
      </c>
      <c r="F2551">
        <v>2</v>
      </c>
      <c r="G2551">
        <v>4999</v>
      </c>
      <c r="H2551">
        <v>0</v>
      </c>
      <c r="I2551" t="s">
        <v>50</v>
      </c>
      <c r="J2551" t="s">
        <v>22</v>
      </c>
      <c r="K2551" t="s">
        <v>17</v>
      </c>
      <c r="L2551">
        <f>F2550*G2550*(1-H2550)</f>
        <v>3702.1499999999996</v>
      </c>
    </row>
    <row r="2552" spans="1:12">
      <c r="A2552" t="s">
        <v>3346</v>
      </c>
      <c r="B2552" s="1">
        <v>46153</v>
      </c>
      <c r="C2552" t="s">
        <v>633</v>
      </c>
      <c r="D2552" t="s">
        <v>43</v>
      </c>
      <c r="E2552" t="s">
        <v>40</v>
      </c>
      <c r="F2552">
        <v>3</v>
      </c>
      <c r="G2552">
        <v>4999</v>
      </c>
      <c r="H2552">
        <v>0</v>
      </c>
      <c r="I2552" t="s">
        <v>50</v>
      </c>
      <c r="J2552" t="s">
        <v>22</v>
      </c>
      <c r="K2552" t="s">
        <v>37</v>
      </c>
      <c r="L2552">
        <f>F2551*G2551*(1-H2551)</f>
        <v>9998</v>
      </c>
    </row>
    <row r="2553" spans="1:12">
      <c r="A2553" t="s">
        <v>3347</v>
      </c>
      <c r="B2553" s="1">
        <v>46218</v>
      </c>
      <c r="C2553" t="s">
        <v>846</v>
      </c>
      <c r="D2553" t="s">
        <v>59</v>
      </c>
      <c r="E2553" t="s">
        <v>14</v>
      </c>
      <c r="F2553">
        <v>3</v>
      </c>
      <c r="G2553">
        <v>999</v>
      </c>
      <c r="H2553">
        <v>0.05</v>
      </c>
      <c r="I2553" t="s">
        <v>44</v>
      </c>
      <c r="J2553" t="s">
        <v>36</v>
      </c>
      <c r="K2553" t="s">
        <v>17</v>
      </c>
      <c r="L2553">
        <f>F2552*G2552*(1-H2552)</f>
        <v>14997</v>
      </c>
    </row>
    <row r="2554" spans="1:12">
      <c r="A2554" t="s">
        <v>3348</v>
      </c>
      <c r="B2554" s="1">
        <v>46152</v>
      </c>
      <c r="C2554" t="s">
        <v>2429</v>
      </c>
      <c r="D2554" t="s">
        <v>62</v>
      </c>
      <c r="E2554" t="s">
        <v>21</v>
      </c>
      <c r="F2554">
        <v>4</v>
      </c>
      <c r="G2554">
        <v>599</v>
      </c>
      <c r="H2554">
        <v>0.1</v>
      </c>
      <c r="I2554" t="s">
        <v>32</v>
      </c>
      <c r="J2554" t="s">
        <v>22</v>
      </c>
      <c r="K2554" t="s">
        <v>17</v>
      </c>
      <c r="L2554">
        <f>F2553*G2553*(1-H2553)</f>
        <v>2847.15</v>
      </c>
    </row>
    <row r="2555" spans="1:12">
      <c r="A2555" t="s">
        <v>3349</v>
      </c>
      <c r="B2555" s="1">
        <v>46262</v>
      </c>
      <c r="C2555" t="s">
        <v>265</v>
      </c>
      <c r="D2555" t="s">
        <v>59</v>
      </c>
      <c r="E2555" t="s">
        <v>21</v>
      </c>
      <c r="F2555">
        <v>2</v>
      </c>
      <c r="G2555">
        <v>499</v>
      </c>
      <c r="H2555">
        <v>0</v>
      </c>
      <c r="I2555" t="s">
        <v>32</v>
      </c>
      <c r="J2555" t="s">
        <v>22</v>
      </c>
      <c r="K2555" t="s">
        <v>37</v>
      </c>
      <c r="L2555">
        <f>F2554*G2554*(1-H2554)</f>
        <v>2156.4</v>
      </c>
    </row>
    <row r="2556" spans="1:12">
      <c r="A2556" t="s">
        <v>3350</v>
      </c>
      <c r="B2556" s="1">
        <v>46252</v>
      </c>
      <c r="C2556" t="s">
        <v>848</v>
      </c>
      <c r="D2556" t="s">
        <v>20</v>
      </c>
      <c r="E2556" t="s">
        <v>21</v>
      </c>
      <c r="F2556">
        <v>5</v>
      </c>
      <c r="G2556">
        <v>1299</v>
      </c>
      <c r="H2556">
        <v>0</v>
      </c>
      <c r="I2556" t="s">
        <v>47</v>
      </c>
      <c r="J2556" t="s">
        <v>28</v>
      </c>
      <c r="K2556" t="s">
        <v>17</v>
      </c>
      <c r="L2556">
        <f>F2555*G2555*(1-H2555)</f>
        <v>998</v>
      </c>
    </row>
    <row r="2557" spans="1:12">
      <c r="A2557" t="s">
        <v>3351</v>
      </c>
      <c r="B2557" s="1">
        <v>46239</v>
      </c>
      <c r="C2557" t="s">
        <v>302</v>
      </c>
      <c r="D2557" t="s">
        <v>78</v>
      </c>
      <c r="E2557" t="s">
        <v>35</v>
      </c>
      <c r="F2557">
        <v>3</v>
      </c>
      <c r="G2557">
        <v>599</v>
      </c>
      <c r="H2557">
        <v>0</v>
      </c>
      <c r="I2557" t="s">
        <v>32</v>
      </c>
      <c r="J2557" t="s">
        <v>22</v>
      </c>
      <c r="K2557" t="s">
        <v>17</v>
      </c>
      <c r="L2557">
        <f>F2556*G2556*(1-H2556)</f>
        <v>6495</v>
      </c>
    </row>
    <row r="2558" spans="1:12">
      <c r="A2558" t="s">
        <v>3352</v>
      </c>
      <c r="B2558" s="1">
        <v>46162</v>
      </c>
      <c r="C2558" t="s">
        <v>108</v>
      </c>
      <c r="D2558" t="s">
        <v>71</v>
      </c>
      <c r="E2558" t="s">
        <v>40</v>
      </c>
      <c r="F2558">
        <v>1</v>
      </c>
      <c r="G2558">
        <v>4999</v>
      </c>
      <c r="H2558">
        <v>0.15</v>
      </c>
      <c r="I2558" t="s">
        <v>15</v>
      </c>
      <c r="J2558" t="s">
        <v>16</v>
      </c>
      <c r="K2558" t="s">
        <v>37</v>
      </c>
      <c r="L2558">
        <f>F2557*G2557*(1-H2557)</f>
        <v>1797</v>
      </c>
    </row>
    <row r="2559" spans="1:12">
      <c r="A2559" t="s">
        <v>3353</v>
      </c>
      <c r="B2559" s="1">
        <v>46113</v>
      </c>
      <c r="C2559" t="s">
        <v>944</v>
      </c>
      <c r="D2559" t="s">
        <v>78</v>
      </c>
      <c r="E2559" t="s">
        <v>27</v>
      </c>
      <c r="F2559">
        <v>5</v>
      </c>
      <c r="G2559">
        <v>599</v>
      </c>
      <c r="H2559">
        <v>0.05</v>
      </c>
      <c r="I2559" t="s">
        <v>15</v>
      </c>
      <c r="J2559" t="s">
        <v>51</v>
      </c>
      <c r="K2559" t="s">
        <v>17</v>
      </c>
      <c r="L2559">
        <f>F2558*G2558*(1-H2558)</f>
        <v>4249.1499999999996</v>
      </c>
    </row>
    <row r="2560" spans="1:12">
      <c r="A2560" t="s">
        <v>3354</v>
      </c>
      <c r="B2560" s="1">
        <v>46085</v>
      </c>
      <c r="C2560" t="s">
        <v>792</v>
      </c>
      <c r="D2560" t="s">
        <v>71</v>
      </c>
      <c r="E2560" t="s">
        <v>35</v>
      </c>
      <c r="F2560">
        <v>2</v>
      </c>
      <c r="G2560">
        <v>4999</v>
      </c>
      <c r="H2560">
        <v>0.15</v>
      </c>
      <c r="I2560" t="s">
        <v>47</v>
      </c>
      <c r="J2560" t="s">
        <v>16</v>
      </c>
      <c r="K2560" t="s">
        <v>23</v>
      </c>
      <c r="L2560">
        <f>F2559*G2559*(1-H2559)</f>
        <v>2845.25</v>
      </c>
    </row>
    <row r="2561" spans="1:12">
      <c r="A2561" t="s">
        <v>3355</v>
      </c>
      <c r="B2561" s="1">
        <v>46023</v>
      </c>
      <c r="C2561" t="s">
        <v>675</v>
      </c>
      <c r="D2561" t="s">
        <v>56</v>
      </c>
      <c r="E2561" t="s">
        <v>35</v>
      </c>
      <c r="F2561">
        <v>3</v>
      </c>
      <c r="G2561">
        <v>1999</v>
      </c>
      <c r="H2561">
        <v>0.05</v>
      </c>
      <c r="I2561" t="s">
        <v>47</v>
      </c>
      <c r="J2561" t="s">
        <v>36</v>
      </c>
      <c r="K2561" t="s">
        <v>37</v>
      </c>
      <c r="L2561">
        <f>F2560*G2560*(1-H2560)</f>
        <v>8498.2999999999993</v>
      </c>
    </row>
    <row r="2562" spans="1:12">
      <c r="A2562" t="s">
        <v>3356</v>
      </c>
      <c r="B2562" s="1">
        <v>46294</v>
      </c>
      <c r="C2562" t="s">
        <v>1004</v>
      </c>
      <c r="D2562" t="s">
        <v>71</v>
      </c>
      <c r="E2562" t="s">
        <v>27</v>
      </c>
      <c r="F2562">
        <v>3</v>
      </c>
      <c r="G2562">
        <v>1299</v>
      </c>
      <c r="H2562">
        <v>0</v>
      </c>
      <c r="I2562" t="s">
        <v>44</v>
      </c>
      <c r="J2562" t="s">
        <v>22</v>
      </c>
      <c r="K2562" t="s">
        <v>17</v>
      </c>
      <c r="L2562">
        <f>F2561*G2561*(1-H2561)</f>
        <v>5697.15</v>
      </c>
    </row>
    <row r="2563" spans="1:12">
      <c r="A2563" t="s">
        <v>3357</v>
      </c>
      <c r="B2563" s="1">
        <v>46093</v>
      </c>
      <c r="C2563" t="s">
        <v>1038</v>
      </c>
      <c r="D2563" t="s">
        <v>26</v>
      </c>
      <c r="E2563" t="s">
        <v>35</v>
      </c>
      <c r="F2563">
        <v>5</v>
      </c>
      <c r="G2563">
        <v>7999</v>
      </c>
      <c r="H2563">
        <v>0</v>
      </c>
      <c r="I2563" t="s">
        <v>50</v>
      </c>
      <c r="J2563" t="s">
        <v>16</v>
      </c>
      <c r="K2563" t="s">
        <v>17</v>
      </c>
      <c r="L2563">
        <f>F2562*G2562*(1-H2562)</f>
        <v>3897</v>
      </c>
    </row>
    <row r="2564" spans="1:12">
      <c r="A2564" t="s">
        <v>3358</v>
      </c>
      <c r="B2564" s="1">
        <v>46180</v>
      </c>
      <c r="C2564" t="s">
        <v>1359</v>
      </c>
      <c r="D2564" t="s">
        <v>56</v>
      </c>
      <c r="E2564" t="s">
        <v>27</v>
      </c>
      <c r="F2564">
        <v>4</v>
      </c>
      <c r="G2564">
        <v>799</v>
      </c>
      <c r="H2564">
        <v>0.15</v>
      </c>
      <c r="I2564" t="s">
        <v>32</v>
      </c>
      <c r="J2564" t="s">
        <v>28</v>
      </c>
      <c r="K2564" t="s">
        <v>17</v>
      </c>
      <c r="L2564">
        <f>F2563*G2563*(1-H2563)</f>
        <v>39995</v>
      </c>
    </row>
    <row r="2565" spans="1:12">
      <c r="A2565" t="s">
        <v>3359</v>
      </c>
      <c r="B2565" s="1">
        <v>46291</v>
      </c>
      <c r="C2565" t="s">
        <v>2644</v>
      </c>
      <c r="D2565" t="s">
        <v>62</v>
      </c>
      <c r="E2565" t="s">
        <v>14</v>
      </c>
      <c r="F2565">
        <v>5</v>
      </c>
      <c r="G2565">
        <v>1299</v>
      </c>
      <c r="H2565">
        <v>0</v>
      </c>
      <c r="I2565" t="s">
        <v>15</v>
      </c>
      <c r="J2565" t="s">
        <v>28</v>
      </c>
      <c r="K2565" t="s">
        <v>23</v>
      </c>
      <c r="L2565">
        <f>F2564*G2564*(1-H2564)</f>
        <v>2716.6</v>
      </c>
    </row>
    <row r="2566" spans="1:12">
      <c r="A2566" t="s">
        <v>3360</v>
      </c>
      <c r="B2566" s="1">
        <v>46135</v>
      </c>
      <c r="C2566" t="s">
        <v>3361</v>
      </c>
      <c r="D2566" t="s">
        <v>26</v>
      </c>
      <c r="E2566" t="s">
        <v>35</v>
      </c>
      <c r="F2566">
        <v>3</v>
      </c>
      <c r="G2566">
        <v>1499</v>
      </c>
      <c r="H2566">
        <v>0.15</v>
      </c>
      <c r="I2566" t="s">
        <v>50</v>
      </c>
      <c r="J2566" t="s">
        <v>22</v>
      </c>
      <c r="K2566" t="s">
        <v>17</v>
      </c>
      <c r="L2566">
        <f>F2565*G2565*(1-H2565)</f>
        <v>6495</v>
      </c>
    </row>
    <row r="2567" spans="1:12">
      <c r="A2567" t="s">
        <v>3362</v>
      </c>
      <c r="B2567" s="1">
        <v>46043</v>
      </c>
      <c r="C2567" t="s">
        <v>1454</v>
      </c>
      <c r="D2567" t="s">
        <v>59</v>
      </c>
      <c r="E2567" t="s">
        <v>40</v>
      </c>
      <c r="F2567">
        <v>1</v>
      </c>
      <c r="G2567">
        <v>499</v>
      </c>
      <c r="H2567">
        <v>0.05</v>
      </c>
      <c r="I2567" t="s">
        <v>47</v>
      </c>
      <c r="J2567" t="s">
        <v>36</v>
      </c>
      <c r="K2567" t="s">
        <v>23</v>
      </c>
      <c r="L2567">
        <f>F2566*G2566*(1-H2566)</f>
        <v>3822.45</v>
      </c>
    </row>
    <row r="2568" spans="1:12">
      <c r="A2568" t="s">
        <v>3363</v>
      </c>
      <c r="B2568" s="1">
        <v>46049</v>
      </c>
      <c r="C2568" t="s">
        <v>1268</v>
      </c>
      <c r="D2568" t="s">
        <v>71</v>
      </c>
      <c r="E2568" t="s">
        <v>40</v>
      </c>
      <c r="F2568">
        <v>5</v>
      </c>
      <c r="G2568">
        <v>999</v>
      </c>
      <c r="H2568">
        <v>0.15</v>
      </c>
      <c r="I2568" t="s">
        <v>15</v>
      </c>
      <c r="J2568" t="s">
        <v>36</v>
      </c>
      <c r="K2568" t="s">
        <v>17</v>
      </c>
      <c r="L2568">
        <f>F2567*G2567*(1-H2567)</f>
        <v>474.04999999999995</v>
      </c>
    </row>
    <row r="2569" spans="1:12">
      <c r="A2569" t="s">
        <v>3364</v>
      </c>
      <c r="B2569" s="1">
        <v>46102</v>
      </c>
      <c r="C2569" t="s">
        <v>2763</v>
      </c>
      <c r="D2569" t="s">
        <v>26</v>
      </c>
      <c r="E2569" t="s">
        <v>40</v>
      </c>
      <c r="F2569">
        <v>2</v>
      </c>
      <c r="G2569">
        <v>7999</v>
      </c>
      <c r="H2569">
        <v>0</v>
      </c>
      <c r="I2569" t="s">
        <v>15</v>
      </c>
      <c r="J2569" t="s">
        <v>22</v>
      </c>
      <c r="K2569" t="s">
        <v>17</v>
      </c>
      <c r="L2569">
        <f>F2568*G2568*(1-H2568)</f>
        <v>4245.75</v>
      </c>
    </row>
    <row r="2570" spans="1:12">
      <c r="A2570" t="s">
        <v>3365</v>
      </c>
      <c r="B2570" s="1">
        <v>46164</v>
      </c>
      <c r="C2570" t="s">
        <v>1297</v>
      </c>
      <c r="D2570" t="s">
        <v>71</v>
      </c>
      <c r="E2570" t="s">
        <v>40</v>
      </c>
      <c r="F2570">
        <v>2</v>
      </c>
      <c r="G2570">
        <v>7999</v>
      </c>
      <c r="H2570">
        <v>0.05</v>
      </c>
      <c r="I2570" t="s">
        <v>47</v>
      </c>
      <c r="J2570" t="s">
        <v>36</v>
      </c>
      <c r="K2570" t="s">
        <v>17</v>
      </c>
      <c r="L2570">
        <f>F2569*G2569*(1-H2569)</f>
        <v>15998</v>
      </c>
    </row>
    <row r="2571" spans="1:12">
      <c r="A2571" t="s">
        <v>3366</v>
      </c>
      <c r="B2571" s="1">
        <v>46114</v>
      </c>
      <c r="C2571" t="s">
        <v>273</v>
      </c>
      <c r="D2571" t="s">
        <v>71</v>
      </c>
      <c r="E2571" t="s">
        <v>14</v>
      </c>
      <c r="F2571">
        <v>2</v>
      </c>
      <c r="G2571">
        <v>1499</v>
      </c>
      <c r="H2571">
        <v>0.15</v>
      </c>
      <c r="I2571" t="s">
        <v>50</v>
      </c>
      <c r="J2571" t="s">
        <v>36</v>
      </c>
      <c r="K2571" t="s">
        <v>37</v>
      </c>
      <c r="L2571">
        <f>F2570*G2570*(1-H2570)</f>
        <v>15198.099999999999</v>
      </c>
    </row>
    <row r="2572" spans="1:12">
      <c r="A2572" t="s">
        <v>3367</v>
      </c>
      <c r="B2572" s="1">
        <v>46244</v>
      </c>
      <c r="C2572" t="s">
        <v>1344</v>
      </c>
      <c r="D2572" t="s">
        <v>13</v>
      </c>
      <c r="E2572" t="s">
        <v>27</v>
      </c>
      <c r="F2572">
        <v>5</v>
      </c>
      <c r="G2572">
        <v>499</v>
      </c>
      <c r="H2572">
        <v>0</v>
      </c>
      <c r="I2572" t="s">
        <v>47</v>
      </c>
      <c r="J2572" t="s">
        <v>22</v>
      </c>
      <c r="K2572" t="s">
        <v>17</v>
      </c>
      <c r="L2572">
        <f>F2571*G2571*(1-H2571)</f>
        <v>2548.2999999999997</v>
      </c>
    </row>
    <row r="2573" spans="1:12">
      <c r="A2573" t="s">
        <v>3368</v>
      </c>
      <c r="B2573" s="1">
        <v>46204</v>
      </c>
      <c r="C2573" t="s">
        <v>1493</v>
      </c>
      <c r="D2573" t="s">
        <v>43</v>
      </c>
      <c r="E2573" t="s">
        <v>14</v>
      </c>
      <c r="F2573">
        <v>5</v>
      </c>
      <c r="G2573">
        <v>7999</v>
      </c>
      <c r="H2573">
        <v>0.15</v>
      </c>
      <c r="I2573" t="s">
        <v>15</v>
      </c>
      <c r="J2573" t="s">
        <v>16</v>
      </c>
      <c r="K2573" t="s">
        <v>17</v>
      </c>
      <c r="L2573">
        <f>F2572*G2572*(1-H2572)</f>
        <v>2495</v>
      </c>
    </row>
    <row r="2574" spans="1:12">
      <c r="A2574" t="s">
        <v>3369</v>
      </c>
      <c r="B2574" s="1">
        <v>46186</v>
      </c>
      <c r="C2574" t="s">
        <v>961</v>
      </c>
      <c r="D2574" t="s">
        <v>13</v>
      </c>
      <c r="E2574" t="s">
        <v>21</v>
      </c>
      <c r="F2574">
        <v>3</v>
      </c>
      <c r="G2574">
        <v>1999</v>
      </c>
      <c r="H2574">
        <v>0.05</v>
      </c>
      <c r="I2574" t="s">
        <v>32</v>
      </c>
      <c r="J2574" t="s">
        <v>28</v>
      </c>
      <c r="K2574" t="s">
        <v>37</v>
      </c>
      <c r="L2574">
        <f>F2573*G2573*(1-H2573)</f>
        <v>33995.75</v>
      </c>
    </row>
    <row r="2575" spans="1:12">
      <c r="A2575" t="s">
        <v>3370</v>
      </c>
      <c r="B2575" s="1">
        <v>46023</v>
      </c>
      <c r="C2575" t="s">
        <v>2023</v>
      </c>
      <c r="D2575" t="s">
        <v>59</v>
      </c>
      <c r="E2575" t="s">
        <v>21</v>
      </c>
      <c r="F2575">
        <v>3</v>
      </c>
      <c r="G2575">
        <v>499</v>
      </c>
      <c r="H2575">
        <v>0.05</v>
      </c>
      <c r="I2575" t="s">
        <v>50</v>
      </c>
      <c r="J2575" t="s">
        <v>16</v>
      </c>
      <c r="K2575" t="s">
        <v>17</v>
      </c>
      <c r="L2575">
        <f>F2574*G2574*(1-H2574)</f>
        <v>5697.15</v>
      </c>
    </row>
    <row r="2576" spans="1:12">
      <c r="A2576" t="s">
        <v>3371</v>
      </c>
      <c r="B2576" s="1">
        <v>46286</v>
      </c>
      <c r="C2576" t="s">
        <v>306</v>
      </c>
      <c r="D2576" t="s">
        <v>62</v>
      </c>
      <c r="E2576" t="s">
        <v>27</v>
      </c>
      <c r="F2576">
        <v>1</v>
      </c>
      <c r="G2576">
        <v>1299</v>
      </c>
      <c r="H2576">
        <v>0.05</v>
      </c>
      <c r="I2576" t="s">
        <v>47</v>
      </c>
      <c r="J2576" t="s">
        <v>16</v>
      </c>
      <c r="K2576" t="s">
        <v>17</v>
      </c>
      <c r="L2576">
        <f>F2575*G2575*(1-H2575)</f>
        <v>1422.1499999999999</v>
      </c>
    </row>
    <row r="2577" spans="1:12">
      <c r="A2577" t="s">
        <v>3372</v>
      </c>
      <c r="B2577" s="1">
        <v>46023</v>
      </c>
      <c r="C2577" t="s">
        <v>1173</v>
      </c>
      <c r="D2577" t="s">
        <v>20</v>
      </c>
      <c r="E2577" t="s">
        <v>40</v>
      </c>
      <c r="F2577">
        <v>3</v>
      </c>
      <c r="G2577">
        <v>4999</v>
      </c>
      <c r="H2577">
        <v>0.05</v>
      </c>
      <c r="I2577" t="s">
        <v>32</v>
      </c>
      <c r="J2577" t="s">
        <v>28</v>
      </c>
      <c r="K2577" t="s">
        <v>17</v>
      </c>
      <c r="L2577">
        <f>F2576*G2576*(1-H2576)</f>
        <v>1234.05</v>
      </c>
    </row>
    <row r="2578" spans="1:12">
      <c r="A2578" t="s">
        <v>3373</v>
      </c>
      <c r="B2578" s="1">
        <v>46204</v>
      </c>
      <c r="C2578" t="s">
        <v>3000</v>
      </c>
      <c r="D2578" t="s">
        <v>13</v>
      </c>
      <c r="E2578" t="s">
        <v>27</v>
      </c>
      <c r="F2578">
        <v>2</v>
      </c>
      <c r="G2578">
        <v>4999</v>
      </c>
      <c r="H2578">
        <v>0.1</v>
      </c>
      <c r="I2578" t="s">
        <v>44</v>
      </c>
      <c r="J2578" t="s">
        <v>16</v>
      </c>
      <c r="K2578" t="s">
        <v>23</v>
      </c>
      <c r="L2578">
        <f>F2577*G2577*(1-H2577)</f>
        <v>14247.15</v>
      </c>
    </row>
    <row r="2579" spans="1:12">
      <c r="A2579" t="s">
        <v>3374</v>
      </c>
      <c r="B2579" s="1">
        <v>46293</v>
      </c>
      <c r="C2579" t="s">
        <v>472</v>
      </c>
      <c r="D2579" t="s">
        <v>62</v>
      </c>
      <c r="E2579" t="s">
        <v>21</v>
      </c>
      <c r="F2579">
        <v>5</v>
      </c>
      <c r="G2579">
        <v>799</v>
      </c>
      <c r="H2579">
        <v>0</v>
      </c>
      <c r="I2579" t="s">
        <v>32</v>
      </c>
      <c r="J2579" t="s">
        <v>36</v>
      </c>
      <c r="K2579" t="s">
        <v>37</v>
      </c>
      <c r="L2579">
        <f>F2578*G2578*(1-H2578)</f>
        <v>8998.2000000000007</v>
      </c>
    </row>
    <row r="2580" spans="1:12">
      <c r="A2580" t="s">
        <v>3375</v>
      </c>
      <c r="B2580" s="1">
        <v>46212</v>
      </c>
      <c r="C2580" t="s">
        <v>1225</v>
      </c>
      <c r="D2580" t="s">
        <v>20</v>
      </c>
      <c r="E2580" t="s">
        <v>21</v>
      </c>
      <c r="F2580">
        <v>5</v>
      </c>
      <c r="G2580">
        <v>999</v>
      </c>
      <c r="H2580">
        <v>0.15</v>
      </c>
      <c r="I2580" t="s">
        <v>50</v>
      </c>
      <c r="J2580" t="s">
        <v>51</v>
      </c>
      <c r="K2580" t="s">
        <v>17</v>
      </c>
      <c r="L2580">
        <f>F2579*G2579*(1-H2579)</f>
        <v>3995</v>
      </c>
    </row>
    <row r="2581" spans="1:12">
      <c r="A2581" t="s">
        <v>3376</v>
      </c>
      <c r="B2581" s="1">
        <v>46052</v>
      </c>
      <c r="C2581" t="s">
        <v>1359</v>
      </c>
      <c r="D2581" t="s">
        <v>26</v>
      </c>
      <c r="E2581" t="s">
        <v>14</v>
      </c>
      <c r="F2581">
        <v>3</v>
      </c>
      <c r="G2581">
        <v>799</v>
      </c>
      <c r="H2581">
        <v>0</v>
      </c>
      <c r="I2581" t="s">
        <v>32</v>
      </c>
      <c r="J2581" t="s">
        <v>36</v>
      </c>
      <c r="K2581" t="s">
        <v>17</v>
      </c>
      <c r="L2581">
        <f>F2580*G2580*(1-H2580)</f>
        <v>4245.75</v>
      </c>
    </row>
    <row r="2582" spans="1:12">
      <c r="A2582" t="s">
        <v>3377</v>
      </c>
      <c r="B2582" s="1">
        <v>46281</v>
      </c>
      <c r="C2582" t="s">
        <v>187</v>
      </c>
      <c r="D2582" t="s">
        <v>13</v>
      </c>
      <c r="E2582" t="s">
        <v>21</v>
      </c>
      <c r="F2582">
        <v>4</v>
      </c>
      <c r="G2582">
        <v>7999</v>
      </c>
      <c r="H2582">
        <v>0</v>
      </c>
      <c r="I2582" t="s">
        <v>47</v>
      </c>
      <c r="J2582" t="s">
        <v>51</v>
      </c>
      <c r="K2582" t="s">
        <v>17</v>
      </c>
      <c r="L2582">
        <f>F2581*G2581*(1-H2581)</f>
        <v>2397</v>
      </c>
    </row>
    <row r="2583" spans="1:12">
      <c r="A2583" t="s">
        <v>3378</v>
      </c>
      <c r="B2583" s="1">
        <v>46049</v>
      </c>
      <c r="C2583" t="s">
        <v>195</v>
      </c>
      <c r="D2583" t="s">
        <v>78</v>
      </c>
      <c r="E2583" t="s">
        <v>35</v>
      </c>
      <c r="F2583">
        <v>3</v>
      </c>
      <c r="G2583">
        <v>499</v>
      </c>
      <c r="H2583">
        <v>0.15</v>
      </c>
      <c r="I2583" t="s">
        <v>32</v>
      </c>
      <c r="J2583" t="s">
        <v>51</v>
      </c>
      <c r="K2583" t="s">
        <v>37</v>
      </c>
      <c r="L2583">
        <f>F2582*G2582*(1-H2582)</f>
        <v>31996</v>
      </c>
    </row>
    <row r="2584" spans="1:12">
      <c r="A2584" t="s">
        <v>3379</v>
      </c>
      <c r="B2584" s="1">
        <v>46283</v>
      </c>
      <c r="C2584" t="s">
        <v>1895</v>
      </c>
      <c r="D2584" t="s">
        <v>13</v>
      </c>
      <c r="E2584" t="s">
        <v>40</v>
      </c>
      <c r="F2584">
        <v>4</v>
      </c>
      <c r="G2584">
        <v>1299</v>
      </c>
      <c r="H2584">
        <v>0.15</v>
      </c>
      <c r="I2584" t="s">
        <v>44</v>
      </c>
      <c r="J2584" t="s">
        <v>36</v>
      </c>
      <c r="K2584" t="s">
        <v>17</v>
      </c>
      <c r="L2584">
        <f>F2583*G2583*(1-H2583)</f>
        <v>1272.45</v>
      </c>
    </row>
    <row r="2585" spans="1:12">
      <c r="A2585" t="s">
        <v>3380</v>
      </c>
      <c r="B2585" s="1">
        <v>46240</v>
      </c>
      <c r="C2585" t="s">
        <v>75</v>
      </c>
      <c r="D2585" t="s">
        <v>78</v>
      </c>
      <c r="E2585" t="s">
        <v>40</v>
      </c>
      <c r="F2585">
        <v>2</v>
      </c>
      <c r="G2585">
        <v>2499</v>
      </c>
      <c r="H2585">
        <v>0</v>
      </c>
      <c r="I2585" t="s">
        <v>44</v>
      </c>
      <c r="J2585" t="s">
        <v>22</v>
      </c>
      <c r="K2585" t="s">
        <v>17</v>
      </c>
      <c r="L2585">
        <f>F2584*G2584*(1-H2584)</f>
        <v>4416.5999999999995</v>
      </c>
    </row>
    <row r="2586" spans="1:12">
      <c r="A2586" t="s">
        <v>3381</v>
      </c>
      <c r="B2586" s="1">
        <v>46256</v>
      </c>
      <c r="C2586" t="s">
        <v>1968</v>
      </c>
      <c r="D2586" t="s">
        <v>59</v>
      </c>
      <c r="E2586" t="s">
        <v>35</v>
      </c>
      <c r="F2586">
        <v>3</v>
      </c>
      <c r="G2586">
        <v>599</v>
      </c>
      <c r="H2586">
        <v>0.05</v>
      </c>
      <c r="I2586" t="s">
        <v>15</v>
      </c>
      <c r="J2586" t="s">
        <v>36</v>
      </c>
      <c r="K2586" t="s">
        <v>17</v>
      </c>
      <c r="L2586">
        <f>F2585*G2585*(1-H2585)</f>
        <v>4998</v>
      </c>
    </row>
    <row r="2587" spans="1:12">
      <c r="A2587" t="s">
        <v>3382</v>
      </c>
      <c r="B2587" s="1">
        <v>46275</v>
      </c>
      <c r="C2587" t="s">
        <v>417</v>
      </c>
      <c r="D2587" t="s">
        <v>31</v>
      </c>
      <c r="E2587" t="s">
        <v>40</v>
      </c>
      <c r="F2587">
        <v>4</v>
      </c>
      <c r="G2587">
        <v>1499</v>
      </c>
      <c r="H2587">
        <v>0.05</v>
      </c>
      <c r="I2587" t="s">
        <v>50</v>
      </c>
      <c r="J2587" t="s">
        <v>28</v>
      </c>
      <c r="K2587" t="s">
        <v>23</v>
      </c>
      <c r="L2587">
        <f>F2586*G2586*(1-H2586)</f>
        <v>1707.1499999999999</v>
      </c>
    </row>
    <row r="2588" spans="1:12">
      <c r="A2588" t="s">
        <v>3383</v>
      </c>
      <c r="B2588" s="1">
        <v>46161</v>
      </c>
      <c r="C2588" t="s">
        <v>3384</v>
      </c>
      <c r="D2588" t="s">
        <v>62</v>
      </c>
      <c r="E2588" t="s">
        <v>14</v>
      </c>
      <c r="F2588">
        <v>1</v>
      </c>
      <c r="G2588">
        <v>799</v>
      </c>
      <c r="H2588">
        <v>0.05</v>
      </c>
      <c r="I2588" t="s">
        <v>32</v>
      </c>
      <c r="J2588" t="s">
        <v>28</v>
      </c>
      <c r="K2588" t="s">
        <v>17</v>
      </c>
      <c r="L2588">
        <f>F2587*G2587*(1-H2587)</f>
        <v>5696.2</v>
      </c>
    </row>
    <row r="2589" spans="1:12">
      <c r="A2589" t="s">
        <v>3385</v>
      </c>
      <c r="B2589" s="1">
        <v>46061</v>
      </c>
      <c r="C2589" t="s">
        <v>312</v>
      </c>
      <c r="D2589" t="s">
        <v>31</v>
      </c>
      <c r="E2589" t="s">
        <v>14</v>
      </c>
      <c r="F2589">
        <v>2</v>
      </c>
      <c r="G2589">
        <v>799</v>
      </c>
      <c r="H2589">
        <v>0</v>
      </c>
      <c r="I2589" t="s">
        <v>15</v>
      </c>
      <c r="J2589" t="s">
        <v>36</v>
      </c>
      <c r="K2589" t="s">
        <v>17</v>
      </c>
      <c r="L2589">
        <f>F2588*G2588*(1-H2588)</f>
        <v>759.05</v>
      </c>
    </row>
    <row r="2590" spans="1:12">
      <c r="A2590" t="s">
        <v>3386</v>
      </c>
      <c r="B2590" s="1">
        <v>46153</v>
      </c>
      <c r="C2590" t="s">
        <v>1393</v>
      </c>
      <c r="D2590" t="s">
        <v>62</v>
      </c>
      <c r="E2590" t="s">
        <v>27</v>
      </c>
      <c r="F2590">
        <v>1</v>
      </c>
      <c r="G2590">
        <v>1299</v>
      </c>
      <c r="H2590">
        <v>0.15</v>
      </c>
      <c r="I2590" t="s">
        <v>44</v>
      </c>
      <c r="J2590" t="s">
        <v>22</v>
      </c>
      <c r="K2590" t="s">
        <v>17</v>
      </c>
      <c r="L2590">
        <f>F2589*G2589*(1-H2589)</f>
        <v>1598</v>
      </c>
    </row>
    <row r="2591" spans="1:12">
      <c r="A2591" t="s">
        <v>3387</v>
      </c>
      <c r="B2591" s="1">
        <v>46252</v>
      </c>
      <c r="C2591" t="s">
        <v>820</v>
      </c>
      <c r="D2591" t="s">
        <v>56</v>
      </c>
      <c r="E2591" t="s">
        <v>21</v>
      </c>
      <c r="F2591">
        <v>1</v>
      </c>
      <c r="G2591">
        <v>2499</v>
      </c>
      <c r="H2591">
        <v>0.05</v>
      </c>
      <c r="I2591" t="s">
        <v>44</v>
      </c>
      <c r="J2591" t="s">
        <v>22</v>
      </c>
      <c r="K2591" t="s">
        <v>17</v>
      </c>
      <c r="L2591">
        <f>F2590*G2590*(1-H2590)</f>
        <v>1104.1499999999999</v>
      </c>
    </row>
    <row r="2592" spans="1:12">
      <c r="A2592" t="s">
        <v>3388</v>
      </c>
      <c r="B2592" s="1">
        <v>46145</v>
      </c>
      <c r="C2592" t="s">
        <v>2057</v>
      </c>
      <c r="D2592" t="s">
        <v>78</v>
      </c>
      <c r="E2592" t="s">
        <v>14</v>
      </c>
      <c r="F2592">
        <v>4</v>
      </c>
      <c r="G2592">
        <v>2499</v>
      </c>
      <c r="H2592">
        <v>0.05</v>
      </c>
      <c r="I2592" t="s">
        <v>15</v>
      </c>
      <c r="J2592" t="s">
        <v>36</v>
      </c>
      <c r="K2592" t="s">
        <v>17</v>
      </c>
      <c r="L2592">
        <f>F2591*G2591*(1-H2591)</f>
        <v>2374.0499999999997</v>
      </c>
    </row>
    <row r="2593" spans="1:12">
      <c r="A2593" t="s">
        <v>3389</v>
      </c>
      <c r="B2593" s="1">
        <v>46262</v>
      </c>
      <c r="C2593" t="s">
        <v>2270</v>
      </c>
      <c r="D2593" t="s">
        <v>26</v>
      </c>
      <c r="E2593" t="s">
        <v>27</v>
      </c>
      <c r="F2593">
        <v>1</v>
      </c>
      <c r="G2593">
        <v>599</v>
      </c>
      <c r="H2593">
        <v>0</v>
      </c>
      <c r="I2593" t="s">
        <v>15</v>
      </c>
      <c r="J2593" t="s">
        <v>51</v>
      </c>
      <c r="K2593" t="s">
        <v>17</v>
      </c>
      <c r="L2593">
        <f>F2592*G2592*(1-H2592)</f>
        <v>9496.1999999999989</v>
      </c>
    </row>
    <row r="2594" spans="1:12">
      <c r="A2594" t="s">
        <v>3390</v>
      </c>
      <c r="B2594" s="1">
        <v>46121</v>
      </c>
      <c r="C2594" t="s">
        <v>1194</v>
      </c>
      <c r="D2594" t="s">
        <v>43</v>
      </c>
      <c r="E2594" t="s">
        <v>35</v>
      </c>
      <c r="F2594">
        <v>2</v>
      </c>
      <c r="G2594">
        <v>2499</v>
      </c>
      <c r="H2594">
        <v>0</v>
      </c>
      <c r="I2594" t="s">
        <v>47</v>
      </c>
      <c r="J2594" t="s">
        <v>36</v>
      </c>
      <c r="K2594" t="s">
        <v>37</v>
      </c>
      <c r="L2594">
        <f>F2593*G2593*(1-H2593)</f>
        <v>599</v>
      </c>
    </row>
    <row r="2595" spans="1:12">
      <c r="A2595" t="s">
        <v>3391</v>
      </c>
      <c r="B2595" s="1">
        <v>46064</v>
      </c>
      <c r="C2595" t="s">
        <v>938</v>
      </c>
      <c r="D2595" t="s">
        <v>20</v>
      </c>
      <c r="E2595" t="s">
        <v>21</v>
      </c>
      <c r="F2595">
        <v>4</v>
      </c>
      <c r="G2595">
        <v>599</v>
      </c>
      <c r="H2595">
        <v>0</v>
      </c>
      <c r="I2595" t="s">
        <v>15</v>
      </c>
      <c r="J2595" t="s">
        <v>51</v>
      </c>
      <c r="K2595" t="s">
        <v>17</v>
      </c>
      <c r="L2595">
        <f>F2594*G2594*(1-H2594)</f>
        <v>4998</v>
      </c>
    </row>
    <row r="2596" spans="1:12">
      <c r="A2596" t="s">
        <v>3392</v>
      </c>
      <c r="B2596" s="1">
        <v>46123</v>
      </c>
      <c r="C2596" t="s">
        <v>3238</v>
      </c>
      <c r="D2596" t="s">
        <v>43</v>
      </c>
      <c r="E2596" t="s">
        <v>40</v>
      </c>
      <c r="F2596">
        <v>2</v>
      </c>
      <c r="G2596">
        <v>999</v>
      </c>
      <c r="H2596">
        <v>0</v>
      </c>
      <c r="I2596" t="s">
        <v>50</v>
      </c>
      <c r="J2596" t="s">
        <v>28</v>
      </c>
      <c r="K2596" t="s">
        <v>17</v>
      </c>
      <c r="L2596">
        <f>F2595*G2595*(1-H2595)</f>
        <v>2396</v>
      </c>
    </row>
    <row r="2597" spans="1:12">
      <c r="A2597" t="s">
        <v>3393</v>
      </c>
      <c r="B2597" s="1">
        <v>46171</v>
      </c>
      <c r="C2597" t="s">
        <v>1207</v>
      </c>
      <c r="D2597" t="s">
        <v>56</v>
      </c>
      <c r="E2597" t="s">
        <v>40</v>
      </c>
      <c r="F2597">
        <v>4</v>
      </c>
      <c r="G2597">
        <v>799</v>
      </c>
      <c r="H2597">
        <v>0.15</v>
      </c>
      <c r="I2597" t="s">
        <v>32</v>
      </c>
      <c r="J2597" t="s">
        <v>51</v>
      </c>
      <c r="K2597" t="s">
        <v>37</v>
      </c>
      <c r="L2597">
        <f>F2596*G2596*(1-H2596)</f>
        <v>1998</v>
      </c>
    </row>
    <row r="2598" spans="1:12">
      <c r="A2598" t="s">
        <v>3394</v>
      </c>
      <c r="B2598" s="1">
        <v>46069</v>
      </c>
      <c r="C2598" t="s">
        <v>1395</v>
      </c>
      <c r="D2598" t="s">
        <v>56</v>
      </c>
      <c r="E2598" t="s">
        <v>40</v>
      </c>
      <c r="F2598">
        <v>2</v>
      </c>
      <c r="G2598">
        <v>4999</v>
      </c>
      <c r="H2598">
        <v>0.1</v>
      </c>
      <c r="I2598" t="s">
        <v>32</v>
      </c>
      <c r="J2598" t="s">
        <v>36</v>
      </c>
      <c r="K2598" t="s">
        <v>37</v>
      </c>
      <c r="L2598">
        <f>F2597*G2597*(1-H2597)</f>
        <v>2716.6</v>
      </c>
    </row>
    <row r="2599" spans="1:12">
      <c r="A2599" t="s">
        <v>3395</v>
      </c>
      <c r="B2599" s="1">
        <v>46097</v>
      </c>
      <c r="C2599" t="s">
        <v>2066</v>
      </c>
      <c r="D2599" t="s">
        <v>26</v>
      </c>
      <c r="E2599" t="s">
        <v>21</v>
      </c>
      <c r="F2599">
        <v>2</v>
      </c>
      <c r="G2599">
        <v>599</v>
      </c>
      <c r="H2599">
        <v>0.1</v>
      </c>
      <c r="I2599" t="s">
        <v>44</v>
      </c>
      <c r="J2599" t="s">
        <v>22</v>
      </c>
      <c r="K2599" t="s">
        <v>17</v>
      </c>
      <c r="L2599">
        <f>F2598*G2598*(1-H2598)</f>
        <v>8998.2000000000007</v>
      </c>
    </row>
    <row r="2600" spans="1:12">
      <c r="A2600" t="s">
        <v>3396</v>
      </c>
      <c r="B2600" s="1">
        <v>46043</v>
      </c>
      <c r="C2600" t="s">
        <v>389</v>
      </c>
      <c r="D2600" t="s">
        <v>20</v>
      </c>
      <c r="E2600" t="s">
        <v>40</v>
      </c>
      <c r="F2600">
        <v>2</v>
      </c>
      <c r="G2600">
        <v>499</v>
      </c>
      <c r="H2600">
        <v>0</v>
      </c>
      <c r="I2600" t="s">
        <v>44</v>
      </c>
      <c r="J2600" t="s">
        <v>51</v>
      </c>
      <c r="K2600" t="s">
        <v>17</v>
      </c>
      <c r="L2600">
        <f>F2599*G2599*(1-H2599)</f>
        <v>1078.2</v>
      </c>
    </row>
    <row r="2601" spans="1:12">
      <c r="A2601" t="s">
        <v>3397</v>
      </c>
      <c r="B2601" s="1">
        <v>46246</v>
      </c>
      <c r="C2601" t="s">
        <v>1700</v>
      </c>
      <c r="D2601" t="s">
        <v>26</v>
      </c>
      <c r="E2601" t="s">
        <v>40</v>
      </c>
      <c r="F2601">
        <v>1</v>
      </c>
      <c r="G2601">
        <v>799</v>
      </c>
      <c r="H2601">
        <v>0.1</v>
      </c>
      <c r="I2601" t="s">
        <v>15</v>
      </c>
      <c r="J2601" t="s">
        <v>16</v>
      </c>
      <c r="K2601" t="s">
        <v>17</v>
      </c>
      <c r="L2601">
        <f>F2600*G2600*(1-H2600)</f>
        <v>998</v>
      </c>
    </row>
    <row r="2602" spans="1:12">
      <c r="A2602" t="s">
        <v>3398</v>
      </c>
      <c r="B2602" s="1">
        <v>46036</v>
      </c>
      <c r="C2602" t="s">
        <v>1495</v>
      </c>
      <c r="D2602" t="s">
        <v>26</v>
      </c>
      <c r="E2602" t="s">
        <v>21</v>
      </c>
      <c r="F2602">
        <v>5</v>
      </c>
      <c r="G2602">
        <v>799</v>
      </c>
      <c r="H2602">
        <v>0.05</v>
      </c>
      <c r="I2602" t="s">
        <v>47</v>
      </c>
      <c r="J2602" t="s">
        <v>22</v>
      </c>
      <c r="K2602" t="s">
        <v>37</v>
      </c>
      <c r="L2602">
        <f>F2601*G2601*(1-H2601)</f>
        <v>719.1</v>
      </c>
    </row>
    <row r="2603" spans="1:12">
      <c r="A2603" t="s">
        <v>3399</v>
      </c>
      <c r="B2603" s="1">
        <v>46147</v>
      </c>
      <c r="C2603" t="s">
        <v>3238</v>
      </c>
      <c r="D2603" t="s">
        <v>78</v>
      </c>
      <c r="E2603" t="s">
        <v>40</v>
      </c>
      <c r="F2603">
        <v>4</v>
      </c>
      <c r="G2603">
        <v>499</v>
      </c>
      <c r="H2603">
        <v>0.05</v>
      </c>
      <c r="I2603" t="s">
        <v>47</v>
      </c>
      <c r="J2603" t="s">
        <v>22</v>
      </c>
      <c r="K2603" t="s">
        <v>17</v>
      </c>
      <c r="L2603">
        <f>F2602*G2602*(1-H2602)</f>
        <v>3795.25</v>
      </c>
    </row>
    <row r="2604" spans="1:12">
      <c r="A2604" t="s">
        <v>3400</v>
      </c>
      <c r="B2604" s="1">
        <v>46176</v>
      </c>
      <c r="C2604" t="s">
        <v>870</v>
      </c>
      <c r="D2604" t="s">
        <v>31</v>
      </c>
      <c r="E2604" t="s">
        <v>21</v>
      </c>
      <c r="F2604">
        <v>4</v>
      </c>
      <c r="G2604">
        <v>499</v>
      </c>
      <c r="H2604">
        <v>0.15</v>
      </c>
      <c r="I2604" t="s">
        <v>50</v>
      </c>
      <c r="J2604" t="s">
        <v>22</v>
      </c>
      <c r="K2604" t="s">
        <v>17</v>
      </c>
      <c r="L2604">
        <f>F2603*G2603*(1-H2603)</f>
        <v>1896.1999999999998</v>
      </c>
    </row>
    <row r="2605" spans="1:12">
      <c r="A2605" t="s">
        <v>3401</v>
      </c>
      <c r="B2605" s="1">
        <v>46262</v>
      </c>
      <c r="C2605" t="s">
        <v>392</v>
      </c>
      <c r="D2605" t="s">
        <v>26</v>
      </c>
      <c r="E2605" t="s">
        <v>40</v>
      </c>
      <c r="F2605">
        <v>5</v>
      </c>
      <c r="G2605">
        <v>1499</v>
      </c>
      <c r="H2605">
        <v>0.15</v>
      </c>
      <c r="I2605" t="s">
        <v>47</v>
      </c>
      <c r="J2605" t="s">
        <v>16</v>
      </c>
      <c r="K2605" t="s">
        <v>17</v>
      </c>
      <c r="L2605">
        <f>F2604*G2604*(1-H2604)</f>
        <v>1696.6</v>
      </c>
    </row>
    <row r="2606" spans="1:12">
      <c r="A2606" t="s">
        <v>3402</v>
      </c>
      <c r="B2606" s="1">
        <v>46069</v>
      </c>
      <c r="C2606" t="s">
        <v>722</v>
      </c>
      <c r="D2606" t="s">
        <v>13</v>
      </c>
      <c r="E2606" t="s">
        <v>27</v>
      </c>
      <c r="F2606">
        <v>1</v>
      </c>
      <c r="G2606">
        <v>1499</v>
      </c>
      <c r="H2606">
        <v>0</v>
      </c>
      <c r="I2606" t="s">
        <v>47</v>
      </c>
      <c r="J2606" t="s">
        <v>28</v>
      </c>
      <c r="K2606" t="s">
        <v>23</v>
      </c>
      <c r="L2606">
        <f>F2605*G2605*(1-H2605)</f>
        <v>6370.75</v>
      </c>
    </row>
    <row r="2607" spans="1:12">
      <c r="A2607" t="s">
        <v>3403</v>
      </c>
      <c r="B2607" s="1">
        <v>46188</v>
      </c>
      <c r="C2607" t="s">
        <v>1132</v>
      </c>
      <c r="D2607" t="s">
        <v>13</v>
      </c>
      <c r="E2607" t="s">
        <v>14</v>
      </c>
      <c r="F2607">
        <v>3</v>
      </c>
      <c r="G2607">
        <v>1999</v>
      </c>
      <c r="H2607">
        <v>0.15</v>
      </c>
      <c r="I2607" t="s">
        <v>32</v>
      </c>
      <c r="J2607" t="s">
        <v>16</v>
      </c>
      <c r="K2607" t="s">
        <v>17</v>
      </c>
      <c r="L2607">
        <f>F2606*G2606*(1-H2606)</f>
        <v>1499</v>
      </c>
    </row>
    <row r="2608" spans="1:12">
      <c r="A2608" t="s">
        <v>3404</v>
      </c>
      <c r="B2608" s="1">
        <v>46225</v>
      </c>
      <c r="C2608" t="s">
        <v>644</v>
      </c>
      <c r="D2608" t="s">
        <v>56</v>
      </c>
      <c r="E2608" t="s">
        <v>27</v>
      </c>
      <c r="F2608">
        <v>2</v>
      </c>
      <c r="G2608">
        <v>799</v>
      </c>
      <c r="H2608">
        <v>0.05</v>
      </c>
      <c r="I2608" t="s">
        <v>15</v>
      </c>
      <c r="J2608" t="s">
        <v>16</v>
      </c>
      <c r="K2608" t="s">
        <v>17</v>
      </c>
      <c r="L2608">
        <f>F2607*G2607*(1-H2607)</f>
        <v>5097.45</v>
      </c>
    </row>
    <row r="2609" spans="1:12">
      <c r="A2609" t="s">
        <v>3405</v>
      </c>
      <c r="B2609" s="1">
        <v>46237</v>
      </c>
      <c r="C2609" t="s">
        <v>769</v>
      </c>
      <c r="D2609" t="s">
        <v>43</v>
      </c>
      <c r="E2609" t="s">
        <v>27</v>
      </c>
      <c r="F2609">
        <v>3</v>
      </c>
      <c r="G2609">
        <v>999</v>
      </c>
      <c r="H2609">
        <v>0.15</v>
      </c>
      <c r="I2609" t="s">
        <v>47</v>
      </c>
      <c r="J2609" t="s">
        <v>16</v>
      </c>
      <c r="K2609" t="s">
        <v>23</v>
      </c>
      <c r="L2609">
        <f>F2608*G2608*(1-H2608)</f>
        <v>1518.1</v>
      </c>
    </row>
    <row r="2610" spans="1:12">
      <c r="A2610" t="s">
        <v>3406</v>
      </c>
      <c r="B2610" s="1">
        <v>46106</v>
      </c>
      <c r="C2610" t="s">
        <v>746</v>
      </c>
      <c r="D2610" t="s">
        <v>62</v>
      </c>
      <c r="E2610" t="s">
        <v>40</v>
      </c>
      <c r="F2610">
        <v>5</v>
      </c>
      <c r="G2610">
        <v>599</v>
      </c>
      <c r="H2610">
        <v>0</v>
      </c>
      <c r="I2610" t="s">
        <v>47</v>
      </c>
      <c r="J2610" t="s">
        <v>22</v>
      </c>
      <c r="K2610" t="s">
        <v>23</v>
      </c>
      <c r="L2610">
        <f>F2609*G2609*(1-H2609)</f>
        <v>2547.4499999999998</v>
      </c>
    </row>
    <row r="2611" spans="1:12">
      <c r="A2611" t="s">
        <v>3407</v>
      </c>
      <c r="B2611" s="1">
        <v>46180</v>
      </c>
      <c r="C2611" t="s">
        <v>958</v>
      </c>
      <c r="D2611" t="s">
        <v>56</v>
      </c>
      <c r="E2611" t="s">
        <v>35</v>
      </c>
      <c r="F2611">
        <v>4</v>
      </c>
      <c r="G2611">
        <v>599</v>
      </c>
      <c r="H2611">
        <v>0.1</v>
      </c>
      <c r="I2611" t="s">
        <v>15</v>
      </c>
      <c r="J2611" t="s">
        <v>36</v>
      </c>
      <c r="K2611" t="s">
        <v>23</v>
      </c>
      <c r="L2611">
        <f>F2610*G2610*(1-H2610)</f>
        <v>2995</v>
      </c>
    </row>
    <row r="2612" spans="1:12">
      <c r="A2612" t="s">
        <v>3408</v>
      </c>
      <c r="B2612" s="1">
        <v>46233</v>
      </c>
      <c r="C2612" t="s">
        <v>2726</v>
      </c>
      <c r="D2612" t="s">
        <v>56</v>
      </c>
      <c r="E2612" t="s">
        <v>35</v>
      </c>
      <c r="F2612">
        <v>2</v>
      </c>
      <c r="G2612">
        <v>1999</v>
      </c>
      <c r="H2612">
        <v>0.15</v>
      </c>
      <c r="I2612" t="s">
        <v>15</v>
      </c>
      <c r="J2612" t="s">
        <v>51</v>
      </c>
      <c r="K2612" t="s">
        <v>17</v>
      </c>
      <c r="L2612">
        <f>F2611*G2611*(1-H2611)</f>
        <v>2156.4</v>
      </c>
    </row>
    <row r="2613" spans="1:12">
      <c r="A2613" t="s">
        <v>3409</v>
      </c>
      <c r="B2613" s="1">
        <v>46142</v>
      </c>
      <c r="C2613" t="s">
        <v>590</v>
      </c>
      <c r="D2613" t="s">
        <v>26</v>
      </c>
      <c r="E2613" t="s">
        <v>35</v>
      </c>
      <c r="F2613">
        <v>1</v>
      </c>
      <c r="G2613">
        <v>1999</v>
      </c>
      <c r="H2613">
        <v>0.1</v>
      </c>
      <c r="I2613" t="s">
        <v>32</v>
      </c>
      <c r="J2613" t="s">
        <v>28</v>
      </c>
      <c r="K2613" t="s">
        <v>23</v>
      </c>
      <c r="L2613">
        <f>F2612*G2612*(1-H2612)</f>
        <v>3398.2999999999997</v>
      </c>
    </row>
    <row r="2614" spans="1:12">
      <c r="A2614" t="s">
        <v>3410</v>
      </c>
      <c r="B2614" s="1">
        <v>46063</v>
      </c>
      <c r="C2614" t="s">
        <v>2261</v>
      </c>
      <c r="D2614" t="s">
        <v>78</v>
      </c>
      <c r="E2614" t="s">
        <v>14</v>
      </c>
      <c r="F2614">
        <v>5</v>
      </c>
      <c r="G2614">
        <v>4999</v>
      </c>
      <c r="H2614">
        <v>0</v>
      </c>
      <c r="I2614" t="s">
        <v>47</v>
      </c>
      <c r="J2614" t="s">
        <v>51</v>
      </c>
      <c r="K2614" t="s">
        <v>17</v>
      </c>
      <c r="L2614">
        <f>F2613*G2613*(1-H2613)</f>
        <v>1799.1000000000001</v>
      </c>
    </row>
    <row r="2615" spans="1:12">
      <c r="A2615" t="s">
        <v>3411</v>
      </c>
      <c r="B2615" s="1">
        <v>46256</v>
      </c>
      <c r="C2615" t="s">
        <v>835</v>
      </c>
      <c r="D2615" t="s">
        <v>59</v>
      </c>
      <c r="E2615" t="s">
        <v>40</v>
      </c>
      <c r="F2615">
        <v>4</v>
      </c>
      <c r="G2615">
        <v>599</v>
      </c>
      <c r="H2615">
        <v>0</v>
      </c>
      <c r="I2615" t="s">
        <v>32</v>
      </c>
      <c r="J2615" t="s">
        <v>22</v>
      </c>
      <c r="K2615" t="s">
        <v>23</v>
      </c>
      <c r="L2615">
        <f>F2614*G2614*(1-H2614)</f>
        <v>24995</v>
      </c>
    </row>
    <row r="2616" spans="1:12">
      <c r="A2616" t="s">
        <v>3412</v>
      </c>
      <c r="B2616" s="1">
        <v>46180</v>
      </c>
      <c r="C2616" t="s">
        <v>1595</v>
      </c>
      <c r="D2616" t="s">
        <v>31</v>
      </c>
      <c r="E2616" t="s">
        <v>27</v>
      </c>
      <c r="F2616">
        <v>4</v>
      </c>
      <c r="G2616">
        <v>799</v>
      </c>
      <c r="H2616">
        <v>0</v>
      </c>
      <c r="I2616" t="s">
        <v>44</v>
      </c>
      <c r="J2616" t="s">
        <v>51</v>
      </c>
      <c r="K2616" t="s">
        <v>17</v>
      </c>
      <c r="L2616">
        <f>F2615*G2615*(1-H2615)</f>
        <v>2396</v>
      </c>
    </row>
    <row r="2617" spans="1:12">
      <c r="A2617" t="s">
        <v>3413</v>
      </c>
      <c r="B2617" s="1">
        <v>46208</v>
      </c>
      <c r="C2617" t="s">
        <v>3414</v>
      </c>
      <c r="D2617" t="s">
        <v>56</v>
      </c>
      <c r="E2617" t="s">
        <v>35</v>
      </c>
      <c r="F2617">
        <v>1</v>
      </c>
      <c r="G2617">
        <v>1999</v>
      </c>
      <c r="H2617">
        <v>0.15</v>
      </c>
      <c r="I2617" t="s">
        <v>50</v>
      </c>
      <c r="J2617" t="s">
        <v>22</v>
      </c>
      <c r="K2617" t="s">
        <v>37</v>
      </c>
      <c r="L2617">
        <f>F2616*G2616*(1-H2616)</f>
        <v>3196</v>
      </c>
    </row>
    <row r="2618" spans="1:12">
      <c r="A2618" t="s">
        <v>3415</v>
      </c>
      <c r="B2618" s="1">
        <v>46195</v>
      </c>
      <c r="C2618" t="s">
        <v>1681</v>
      </c>
      <c r="D2618" t="s">
        <v>43</v>
      </c>
      <c r="E2618" t="s">
        <v>40</v>
      </c>
      <c r="F2618">
        <v>2</v>
      </c>
      <c r="G2618">
        <v>4999</v>
      </c>
      <c r="H2618">
        <v>0</v>
      </c>
      <c r="I2618" t="s">
        <v>44</v>
      </c>
      <c r="J2618" t="s">
        <v>28</v>
      </c>
      <c r="K2618" t="s">
        <v>37</v>
      </c>
      <c r="L2618">
        <f>F2617*G2617*(1-H2617)</f>
        <v>1699.1499999999999</v>
      </c>
    </row>
    <row r="2619" spans="1:12">
      <c r="A2619" t="s">
        <v>3416</v>
      </c>
      <c r="B2619" s="1">
        <v>46095</v>
      </c>
      <c r="C2619" t="s">
        <v>428</v>
      </c>
      <c r="D2619" t="s">
        <v>31</v>
      </c>
      <c r="E2619" t="s">
        <v>40</v>
      </c>
      <c r="F2619">
        <v>3</v>
      </c>
      <c r="G2619">
        <v>1999</v>
      </c>
      <c r="H2619">
        <v>0</v>
      </c>
      <c r="I2619" t="s">
        <v>15</v>
      </c>
      <c r="J2619" t="s">
        <v>36</v>
      </c>
      <c r="K2619" t="s">
        <v>37</v>
      </c>
      <c r="L2619">
        <f>F2618*G2618*(1-H2618)</f>
        <v>9998</v>
      </c>
    </row>
    <row r="2620" spans="1:12">
      <c r="A2620" t="s">
        <v>3417</v>
      </c>
      <c r="B2620" s="1">
        <v>46155</v>
      </c>
      <c r="C2620" t="s">
        <v>3039</v>
      </c>
      <c r="D2620" t="s">
        <v>31</v>
      </c>
      <c r="E2620" t="s">
        <v>14</v>
      </c>
      <c r="F2620">
        <v>1</v>
      </c>
      <c r="G2620">
        <v>599</v>
      </c>
      <c r="H2620">
        <v>0.1</v>
      </c>
      <c r="I2620" t="s">
        <v>47</v>
      </c>
      <c r="J2620" t="s">
        <v>16</v>
      </c>
      <c r="K2620" t="s">
        <v>37</v>
      </c>
      <c r="L2620">
        <f>F2619*G2619*(1-H2619)</f>
        <v>5997</v>
      </c>
    </row>
    <row r="2621" spans="1:12">
      <c r="A2621" t="s">
        <v>3418</v>
      </c>
      <c r="B2621" s="1">
        <v>46060</v>
      </c>
      <c r="C2621" t="s">
        <v>1595</v>
      </c>
      <c r="D2621" t="s">
        <v>59</v>
      </c>
      <c r="E2621" t="s">
        <v>40</v>
      </c>
      <c r="F2621">
        <v>5</v>
      </c>
      <c r="G2621">
        <v>2499</v>
      </c>
      <c r="H2621">
        <v>0.1</v>
      </c>
      <c r="I2621" t="s">
        <v>44</v>
      </c>
      <c r="J2621" t="s">
        <v>22</v>
      </c>
      <c r="K2621" t="s">
        <v>17</v>
      </c>
      <c r="L2621">
        <f>F2620*G2620*(1-H2620)</f>
        <v>539.1</v>
      </c>
    </row>
    <row r="2622" spans="1:12">
      <c r="A2622" t="s">
        <v>3419</v>
      </c>
      <c r="B2622" s="1">
        <v>46250</v>
      </c>
      <c r="C2622" t="s">
        <v>874</v>
      </c>
      <c r="D2622" t="s">
        <v>62</v>
      </c>
      <c r="E2622" t="s">
        <v>14</v>
      </c>
      <c r="F2622">
        <v>4</v>
      </c>
      <c r="G2622">
        <v>2499</v>
      </c>
      <c r="H2622">
        <v>0</v>
      </c>
      <c r="I2622" t="s">
        <v>47</v>
      </c>
      <c r="J2622" t="s">
        <v>51</v>
      </c>
      <c r="K2622" t="s">
        <v>37</v>
      </c>
      <c r="L2622">
        <f>F2621*G2621*(1-H2621)</f>
        <v>11245.5</v>
      </c>
    </row>
    <row r="2623" spans="1:12">
      <c r="A2623" t="s">
        <v>3420</v>
      </c>
      <c r="B2623" s="1">
        <v>46100</v>
      </c>
      <c r="C2623" t="s">
        <v>140</v>
      </c>
      <c r="D2623" t="s">
        <v>71</v>
      </c>
      <c r="E2623" t="s">
        <v>14</v>
      </c>
      <c r="F2623">
        <v>4</v>
      </c>
      <c r="G2623">
        <v>4999</v>
      </c>
      <c r="H2623">
        <v>0.05</v>
      </c>
      <c r="I2623" t="s">
        <v>50</v>
      </c>
      <c r="J2623" t="s">
        <v>28</v>
      </c>
      <c r="K2623" t="s">
        <v>23</v>
      </c>
      <c r="L2623">
        <f>F2622*G2622*(1-H2622)</f>
        <v>9996</v>
      </c>
    </row>
    <row r="2624" spans="1:12">
      <c r="A2624" t="s">
        <v>3421</v>
      </c>
      <c r="B2624" s="1">
        <v>46243</v>
      </c>
      <c r="C2624" t="s">
        <v>2584</v>
      </c>
      <c r="D2624" t="s">
        <v>62</v>
      </c>
      <c r="E2624" t="s">
        <v>27</v>
      </c>
      <c r="F2624">
        <v>1</v>
      </c>
      <c r="G2624">
        <v>799</v>
      </c>
      <c r="H2624">
        <v>0.05</v>
      </c>
      <c r="I2624" t="s">
        <v>32</v>
      </c>
      <c r="J2624" t="s">
        <v>51</v>
      </c>
      <c r="K2624" t="s">
        <v>17</v>
      </c>
      <c r="L2624">
        <f>F2623*G2623*(1-H2623)</f>
        <v>18996.2</v>
      </c>
    </row>
    <row r="2625" spans="1:12">
      <c r="A2625" t="s">
        <v>3422</v>
      </c>
      <c r="B2625" s="1">
        <v>46277</v>
      </c>
      <c r="C2625" t="s">
        <v>485</v>
      </c>
      <c r="D2625" t="s">
        <v>71</v>
      </c>
      <c r="E2625" t="s">
        <v>14</v>
      </c>
      <c r="F2625">
        <v>3</v>
      </c>
      <c r="G2625">
        <v>1299</v>
      </c>
      <c r="H2625">
        <v>0</v>
      </c>
      <c r="I2625" t="s">
        <v>15</v>
      </c>
      <c r="J2625" t="s">
        <v>22</v>
      </c>
      <c r="K2625" t="s">
        <v>37</v>
      </c>
      <c r="L2625">
        <f>F2624*G2624*(1-H2624)</f>
        <v>759.05</v>
      </c>
    </row>
    <row r="2626" spans="1:12">
      <c r="A2626" t="s">
        <v>3423</v>
      </c>
      <c r="B2626" s="1">
        <v>46200</v>
      </c>
      <c r="C2626" t="s">
        <v>711</v>
      </c>
      <c r="D2626" t="s">
        <v>78</v>
      </c>
      <c r="E2626" t="s">
        <v>27</v>
      </c>
      <c r="F2626">
        <v>2</v>
      </c>
      <c r="G2626">
        <v>999</v>
      </c>
      <c r="H2626">
        <v>0.15</v>
      </c>
      <c r="I2626" t="s">
        <v>47</v>
      </c>
      <c r="J2626" t="s">
        <v>36</v>
      </c>
      <c r="K2626" t="s">
        <v>17</v>
      </c>
      <c r="L2626">
        <f>F2625*G2625*(1-H2625)</f>
        <v>3897</v>
      </c>
    </row>
    <row r="2627" spans="1:12">
      <c r="A2627" t="s">
        <v>3424</v>
      </c>
      <c r="B2627" s="1">
        <v>46214</v>
      </c>
      <c r="C2627" t="s">
        <v>2256</v>
      </c>
      <c r="D2627" t="s">
        <v>13</v>
      </c>
      <c r="E2627" t="s">
        <v>35</v>
      </c>
      <c r="F2627">
        <v>1</v>
      </c>
      <c r="G2627">
        <v>2499</v>
      </c>
      <c r="H2627">
        <v>0.1</v>
      </c>
      <c r="I2627" t="s">
        <v>32</v>
      </c>
      <c r="J2627" t="s">
        <v>28</v>
      </c>
      <c r="K2627" t="s">
        <v>37</v>
      </c>
      <c r="L2627">
        <f>F2626*G2626*(1-H2626)</f>
        <v>1698.3</v>
      </c>
    </row>
    <row r="2628" spans="1:12">
      <c r="A2628" t="s">
        <v>3425</v>
      </c>
      <c r="B2628" s="1">
        <v>46120</v>
      </c>
      <c r="C2628" t="s">
        <v>711</v>
      </c>
      <c r="D2628" t="s">
        <v>56</v>
      </c>
      <c r="E2628" t="s">
        <v>40</v>
      </c>
      <c r="F2628">
        <v>3</v>
      </c>
      <c r="G2628">
        <v>1299</v>
      </c>
      <c r="H2628">
        <v>0</v>
      </c>
      <c r="I2628" t="s">
        <v>15</v>
      </c>
      <c r="J2628" t="s">
        <v>51</v>
      </c>
      <c r="K2628" t="s">
        <v>17</v>
      </c>
      <c r="L2628">
        <f>F2627*G2627*(1-H2627)</f>
        <v>2249.1</v>
      </c>
    </row>
    <row r="2629" spans="1:12">
      <c r="A2629" t="s">
        <v>3426</v>
      </c>
      <c r="B2629" s="1">
        <v>46231</v>
      </c>
      <c r="C2629" t="s">
        <v>406</v>
      </c>
      <c r="D2629" t="s">
        <v>26</v>
      </c>
      <c r="E2629" t="s">
        <v>35</v>
      </c>
      <c r="F2629">
        <v>3</v>
      </c>
      <c r="G2629">
        <v>799</v>
      </c>
      <c r="H2629">
        <v>0.15</v>
      </c>
      <c r="I2629" t="s">
        <v>50</v>
      </c>
      <c r="J2629" t="s">
        <v>51</v>
      </c>
      <c r="K2629" t="s">
        <v>37</v>
      </c>
      <c r="L2629">
        <f>F2628*G2628*(1-H2628)</f>
        <v>3897</v>
      </c>
    </row>
    <row r="2630" spans="1:12">
      <c r="A2630" t="s">
        <v>3427</v>
      </c>
      <c r="B2630" s="1">
        <v>46194</v>
      </c>
      <c r="C2630" t="s">
        <v>1903</v>
      </c>
      <c r="D2630" t="s">
        <v>43</v>
      </c>
      <c r="E2630" t="s">
        <v>21</v>
      </c>
      <c r="F2630">
        <v>3</v>
      </c>
      <c r="G2630">
        <v>7999</v>
      </c>
      <c r="H2630">
        <v>0</v>
      </c>
      <c r="I2630" t="s">
        <v>44</v>
      </c>
      <c r="J2630" t="s">
        <v>28</v>
      </c>
      <c r="K2630" t="s">
        <v>23</v>
      </c>
      <c r="L2630">
        <f>F2629*G2629*(1-H2629)</f>
        <v>2037.45</v>
      </c>
    </row>
    <row r="2631" spans="1:12">
      <c r="A2631" t="s">
        <v>3428</v>
      </c>
      <c r="B2631" s="1">
        <v>46219</v>
      </c>
      <c r="C2631" t="s">
        <v>1218</v>
      </c>
      <c r="D2631" t="s">
        <v>56</v>
      </c>
      <c r="E2631" t="s">
        <v>40</v>
      </c>
      <c r="F2631">
        <v>2</v>
      </c>
      <c r="G2631">
        <v>2499</v>
      </c>
      <c r="H2631">
        <v>0</v>
      </c>
      <c r="I2631" t="s">
        <v>50</v>
      </c>
      <c r="J2631" t="s">
        <v>22</v>
      </c>
      <c r="K2631" t="s">
        <v>17</v>
      </c>
      <c r="L2631">
        <f>F2630*G2630*(1-H2630)</f>
        <v>23997</v>
      </c>
    </row>
    <row r="2632" spans="1:12">
      <c r="A2632" t="s">
        <v>3429</v>
      </c>
      <c r="B2632" s="1">
        <v>46040</v>
      </c>
      <c r="C2632" t="s">
        <v>711</v>
      </c>
      <c r="D2632" t="s">
        <v>71</v>
      </c>
      <c r="E2632" t="s">
        <v>21</v>
      </c>
      <c r="F2632">
        <v>4</v>
      </c>
      <c r="G2632">
        <v>1999</v>
      </c>
      <c r="H2632">
        <v>0</v>
      </c>
      <c r="I2632" t="s">
        <v>50</v>
      </c>
      <c r="J2632" t="s">
        <v>51</v>
      </c>
      <c r="K2632" t="s">
        <v>17</v>
      </c>
      <c r="L2632">
        <f>F2631*G2631*(1-H2631)</f>
        <v>4998</v>
      </c>
    </row>
    <row r="2633" spans="1:12">
      <c r="A2633" t="s">
        <v>3430</v>
      </c>
      <c r="B2633" s="1">
        <v>46170</v>
      </c>
      <c r="C2633" t="s">
        <v>3431</v>
      </c>
      <c r="D2633" t="s">
        <v>43</v>
      </c>
      <c r="E2633" t="s">
        <v>40</v>
      </c>
      <c r="F2633">
        <v>2</v>
      </c>
      <c r="G2633">
        <v>1999</v>
      </c>
      <c r="H2633">
        <v>0.15</v>
      </c>
      <c r="I2633" t="s">
        <v>32</v>
      </c>
      <c r="J2633" t="s">
        <v>51</v>
      </c>
      <c r="K2633" t="s">
        <v>17</v>
      </c>
      <c r="L2633">
        <f>F2632*G2632*(1-H2632)</f>
        <v>7996</v>
      </c>
    </row>
    <row r="2634" spans="1:12">
      <c r="A2634" t="s">
        <v>3432</v>
      </c>
      <c r="B2634" s="1">
        <v>46084</v>
      </c>
      <c r="C2634" t="s">
        <v>1467</v>
      </c>
      <c r="D2634" t="s">
        <v>13</v>
      </c>
      <c r="E2634" t="s">
        <v>14</v>
      </c>
      <c r="F2634">
        <v>5</v>
      </c>
      <c r="G2634">
        <v>799</v>
      </c>
      <c r="H2634">
        <v>0</v>
      </c>
      <c r="I2634" t="s">
        <v>44</v>
      </c>
      <c r="J2634" t="s">
        <v>28</v>
      </c>
      <c r="K2634" t="s">
        <v>23</v>
      </c>
      <c r="L2634">
        <f>F2633*G2633*(1-H2633)</f>
        <v>3398.2999999999997</v>
      </c>
    </row>
    <row r="2635" spans="1:12">
      <c r="A2635" t="s">
        <v>3433</v>
      </c>
      <c r="B2635" s="1">
        <v>46081</v>
      </c>
      <c r="C2635" t="s">
        <v>3135</v>
      </c>
      <c r="D2635" t="s">
        <v>78</v>
      </c>
      <c r="E2635" t="s">
        <v>40</v>
      </c>
      <c r="F2635">
        <v>3</v>
      </c>
      <c r="G2635">
        <v>499</v>
      </c>
      <c r="H2635">
        <v>0</v>
      </c>
      <c r="I2635" t="s">
        <v>50</v>
      </c>
      <c r="J2635" t="s">
        <v>28</v>
      </c>
      <c r="K2635" t="s">
        <v>17</v>
      </c>
      <c r="L2635">
        <f>F2634*G2634*(1-H2634)</f>
        <v>3995</v>
      </c>
    </row>
    <row r="2636" spans="1:12">
      <c r="A2636" t="s">
        <v>3434</v>
      </c>
      <c r="B2636" s="1">
        <v>46209</v>
      </c>
      <c r="C2636" t="s">
        <v>1006</v>
      </c>
      <c r="D2636" t="s">
        <v>43</v>
      </c>
      <c r="E2636" t="s">
        <v>27</v>
      </c>
      <c r="F2636">
        <v>4</v>
      </c>
      <c r="G2636">
        <v>599</v>
      </c>
      <c r="H2636">
        <v>0.15</v>
      </c>
      <c r="I2636" t="s">
        <v>50</v>
      </c>
      <c r="J2636" t="s">
        <v>36</v>
      </c>
      <c r="K2636" t="s">
        <v>17</v>
      </c>
      <c r="L2636">
        <f>F2635*G2635*(1-H2635)</f>
        <v>1497</v>
      </c>
    </row>
    <row r="2637" spans="1:12">
      <c r="A2637" t="s">
        <v>3435</v>
      </c>
      <c r="B2637" s="1">
        <v>46026</v>
      </c>
      <c r="C2637" t="s">
        <v>1302</v>
      </c>
      <c r="D2637" t="s">
        <v>62</v>
      </c>
      <c r="E2637" t="s">
        <v>27</v>
      </c>
      <c r="F2637">
        <v>1</v>
      </c>
      <c r="G2637">
        <v>1999</v>
      </c>
      <c r="H2637">
        <v>0</v>
      </c>
      <c r="I2637" t="s">
        <v>32</v>
      </c>
      <c r="J2637" t="s">
        <v>22</v>
      </c>
      <c r="K2637" t="s">
        <v>17</v>
      </c>
      <c r="L2637">
        <f>F2636*G2636*(1-H2636)</f>
        <v>2036.6</v>
      </c>
    </row>
    <row r="2638" spans="1:12">
      <c r="A2638" t="s">
        <v>3436</v>
      </c>
      <c r="B2638" s="1">
        <v>46134</v>
      </c>
      <c r="C2638" t="s">
        <v>3437</v>
      </c>
      <c r="D2638" t="s">
        <v>56</v>
      </c>
      <c r="E2638" t="s">
        <v>35</v>
      </c>
      <c r="F2638">
        <v>2</v>
      </c>
      <c r="G2638">
        <v>799</v>
      </c>
      <c r="H2638">
        <v>0</v>
      </c>
      <c r="I2638" t="s">
        <v>47</v>
      </c>
      <c r="J2638" t="s">
        <v>28</v>
      </c>
      <c r="K2638" t="s">
        <v>17</v>
      </c>
      <c r="L2638">
        <f>F2637*G2637*(1-H2637)</f>
        <v>1999</v>
      </c>
    </row>
    <row r="2639" spans="1:12">
      <c r="A2639" t="s">
        <v>3438</v>
      </c>
      <c r="B2639" s="1">
        <v>46048</v>
      </c>
      <c r="C2639" t="s">
        <v>2251</v>
      </c>
      <c r="D2639" t="s">
        <v>43</v>
      </c>
      <c r="E2639" t="s">
        <v>27</v>
      </c>
      <c r="F2639">
        <v>3</v>
      </c>
      <c r="G2639">
        <v>2499</v>
      </c>
      <c r="H2639">
        <v>0</v>
      </c>
      <c r="I2639" t="s">
        <v>15</v>
      </c>
      <c r="J2639" t="s">
        <v>28</v>
      </c>
      <c r="K2639" t="s">
        <v>23</v>
      </c>
      <c r="L2639">
        <f>F2638*G2638*(1-H2638)</f>
        <v>1598</v>
      </c>
    </row>
    <row r="2640" spans="1:12">
      <c r="A2640" t="s">
        <v>3439</v>
      </c>
      <c r="B2640" s="1">
        <v>46110</v>
      </c>
      <c r="C2640" t="s">
        <v>615</v>
      </c>
      <c r="D2640" t="s">
        <v>31</v>
      </c>
      <c r="E2640" t="s">
        <v>40</v>
      </c>
      <c r="F2640">
        <v>1</v>
      </c>
      <c r="G2640">
        <v>799</v>
      </c>
      <c r="H2640">
        <v>0.1</v>
      </c>
      <c r="I2640" t="s">
        <v>15</v>
      </c>
      <c r="J2640" t="s">
        <v>28</v>
      </c>
      <c r="K2640" t="s">
        <v>17</v>
      </c>
      <c r="L2640">
        <f>F2639*G2639*(1-H2639)</f>
        <v>7497</v>
      </c>
    </row>
    <row r="2641" spans="1:12">
      <c r="A2641" t="s">
        <v>3440</v>
      </c>
      <c r="B2641" s="1">
        <v>46151</v>
      </c>
      <c r="C2641" t="s">
        <v>142</v>
      </c>
      <c r="D2641" t="s">
        <v>43</v>
      </c>
      <c r="E2641" t="s">
        <v>27</v>
      </c>
      <c r="F2641">
        <v>3</v>
      </c>
      <c r="G2641">
        <v>799</v>
      </c>
      <c r="H2641">
        <v>0.1</v>
      </c>
      <c r="I2641" t="s">
        <v>47</v>
      </c>
      <c r="J2641" t="s">
        <v>28</v>
      </c>
      <c r="K2641" t="s">
        <v>37</v>
      </c>
      <c r="L2641">
        <f>F2640*G2640*(1-H2640)</f>
        <v>719.1</v>
      </c>
    </row>
    <row r="2642" spans="1:12">
      <c r="A2642" t="s">
        <v>3441</v>
      </c>
      <c r="B2642" s="1">
        <v>46150</v>
      </c>
      <c r="C2642" t="s">
        <v>872</v>
      </c>
      <c r="D2642" t="s">
        <v>13</v>
      </c>
      <c r="E2642" t="s">
        <v>40</v>
      </c>
      <c r="F2642">
        <v>4</v>
      </c>
      <c r="G2642">
        <v>7999</v>
      </c>
      <c r="H2642">
        <v>0.05</v>
      </c>
      <c r="I2642" t="s">
        <v>44</v>
      </c>
      <c r="J2642" t="s">
        <v>22</v>
      </c>
      <c r="K2642" t="s">
        <v>17</v>
      </c>
      <c r="L2642">
        <f>F2641*G2641*(1-H2641)</f>
        <v>2157.3000000000002</v>
      </c>
    </row>
    <row r="2643" spans="1:12">
      <c r="A2643" t="s">
        <v>3442</v>
      </c>
      <c r="B2643" s="1">
        <v>46144</v>
      </c>
      <c r="C2643" t="s">
        <v>1585</v>
      </c>
      <c r="D2643" t="s">
        <v>31</v>
      </c>
      <c r="E2643" t="s">
        <v>35</v>
      </c>
      <c r="F2643">
        <v>3</v>
      </c>
      <c r="G2643">
        <v>599</v>
      </c>
      <c r="H2643">
        <v>0</v>
      </c>
      <c r="I2643" t="s">
        <v>50</v>
      </c>
      <c r="J2643" t="s">
        <v>22</v>
      </c>
      <c r="K2643" t="s">
        <v>17</v>
      </c>
      <c r="L2643">
        <f>F2642*G2642*(1-H2642)</f>
        <v>30396.199999999997</v>
      </c>
    </row>
    <row r="2644" spans="1:12">
      <c r="A2644" t="s">
        <v>3443</v>
      </c>
      <c r="B2644" s="1">
        <v>46180</v>
      </c>
      <c r="C2644" t="s">
        <v>622</v>
      </c>
      <c r="D2644" t="s">
        <v>20</v>
      </c>
      <c r="E2644" t="s">
        <v>14</v>
      </c>
      <c r="F2644">
        <v>5</v>
      </c>
      <c r="G2644">
        <v>999</v>
      </c>
      <c r="H2644">
        <v>0.15</v>
      </c>
      <c r="I2644" t="s">
        <v>47</v>
      </c>
      <c r="J2644" t="s">
        <v>22</v>
      </c>
      <c r="K2644" t="s">
        <v>17</v>
      </c>
      <c r="L2644">
        <f>F2643*G2643*(1-H2643)</f>
        <v>1797</v>
      </c>
    </row>
    <row r="2645" spans="1:12">
      <c r="A2645" t="s">
        <v>3444</v>
      </c>
      <c r="B2645" s="1">
        <v>46146</v>
      </c>
      <c r="C2645" t="s">
        <v>660</v>
      </c>
      <c r="D2645" t="s">
        <v>13</v>
      </c>
      <c r="E2645" t="s">
        <v>35</v>
      </c>
      <c r="F2645">
        <v>4</v>
      </c>
      <c r="G2645">
        <v>999</v>
      </c>
      <c r="H2645">
        <v>0.15</v>
      </c>
      <c r="I2645" t="s">
        <v>32</v>
      </c>
      <c r="J2645" t="s">
        <v>36</v>
      </c>
      <c r="K2645" t="s">
        <v>17</v>
      </c>
      <c r="L2645">
        <f>F2644*G2644*(1-H2644)</f>
        <v>4245.75</v>
      </c>
    </row>
    <row r="2646" spans="1:12">
      <c r="A2646" t="s">
        <v>3445</v>
      </c>
      <c r="B2646" s="1">
        <v>46267</v>
      </c>
      <c r="C2646" t="s">
        <v>113</v>
      </c>
      <c r="D2646" t="s">
        <v>26</v>
      </c>
      <c r="E2646" t="s">
        <v>21</v>
      </c>
      <c r="F2646">
        <v>5</v>
      </c>
      <c r="G2646">
        <v>4999</v>
      </c>
      <c r="H2646">
        <v>0.05</v>
      </c>
      <c r="I2646" t="s">
        <v>47</v>
      </c>
      <c r="J2646" t="s">
        <v>22</v>
      </c>
      <c r="K2646" t="s">
        <v>17</v>
      </c>
      <c r="L2646">
        <f>F2645*G2645*(1-H2645)</f>
        <v>3396.6</v>
      </c>
    </row>
    <row r="2647" spans="1:12">
      <c r="A2647" t="s">
        <v>3446</v>
      </c>
      <c r="B2647" s="1">
        <v>46089</v>
      </c>
      <c r="C2647" t="s">
        <v>2113</v>
      </c>
      <c r="D2647" t="s">
        <v>13</v>
      </c>
      <c r="E2647" t="s">
        <v>35</v>
      </c>
      <c r="F2647">
        <v>4</v>
      </c>
      <c r="G2647">
        <v>599</v>
      </c>
      <c r="H2647">
        <v>0.15</v>
      </c>
      <c r="I2647" t="s">
        <v>44</v>
      </c>
      <c r="J2647" t="s">
        <v>36</v>
      </c>
      <c r="K2647" t="s">
        <v>23</v>
      </c>
      <c r="L2647">
        <f>F2646*G2646*(1-H2646)</f>
        <v>23745.25</v>
      </c>
    </row>
    <row r="2648" spans="1:12">
      <c r="A2648" t="s">
        <v>3447</v>
      </c>
      <c r="B2648" s="1">
        <v>46054</v>
      </c>
      <c r="C2648" t="s">
        <v>3448</v>
      </c>
      <c r="D2648" t="s">
        <v>59</v>
      </c>
      <c r="E2648" t="s">
        <v>35</v>
      </c>
      <c r="F2648">
        <v>1</v>
      </c>
      <c r="G2648">
        <v>1299</v>
      </c>
      <c r="H2648">
        <v>0</v>
      </c>
      <c r="I2648" t="s">
        <v>47</v>
      </c>
      <c r="J2648" t="s">
        <v>22</v>
      </c>
      <c r="K2648" t="s">
        <v>17</v>
      </c>
      <c r="L2648">
        <f>F2647*G2647*(1-H2647)</f>
        <v>2036.6</v>
      </c>
    </row>
    <row r="2649" spans="1:12">
      <c r="A2649" t="s">
        <v>3449</v>
      </c>
      <c r="B2649" s="1">
        <v>46132</v>
      </c>
      <c r="C2649" t="s">
        <v>1056</v>
      </c>
      <c r="D2649" t="s">
        <v>62</v>
      </c>
      <c r="E2649" t="s">
        <v>27</v>
      </c>
      <c r="F2649">
        <v>2</v>
      </c>
      <c r="G2649">
        <v>599</v>
      </c>
      <c r="H2649">
        <v>0.15</v>
      </c>
      <c r="I2649" t="s">
        <v>44</v>
      </c>
      <c r="J2649" t="s">
        <v>28</v>
      </c>
      <c r="K2649" t="s">
        <v>17</v>
      </c>
      <c r="L2649">
        <f>F2648*G2648*(1-H2648)</f>
        <v>1299</v>
      </c>
    </row>
    <row r="2650" spans="1:12">
      <c r="A2650" t="s">
        <v>3450</v>
      </c>
      <c r="B2650" s="1">
        <v>46099</v>
      </c>
      <c r="C2650" t="s">
        <v>1666</v>
      </c>
      <c r="D2650" t="s">
        <v>71</v>
      </c>
      <c r="E2650" t="s">
        <v>27</v>
      </c>
      <c r="F2650">
        <v>4</v>
      </c>
      <c r="G2650">
        <v>599</v>
      </c>
      <c r="H2650">
        <v>0</v>
      </c>
      <c r="I2650" t="s">
        <v>44</v>
      </c>
      <c r="J2650" t="s">
        <v>28</v>
      </c>
      <c r="K2650" t="s">
        <v>23</v>
      </c>
      <c r="L2650">
        <f>F2649*G2649*(1-H2649)</f>
        <v>1018.3</v>
      </c>
    </row>
    <row r="2651" spans="1:12">
      <c r="A2651" t="s">
        <v>3451</v>
      </c>
      <c r="B2651" s="1">
        <v>46183</v>
      </c>
      <c r="C2651" t="s">
        <v>136</v>
      </c>
      <c r="D2651" t="s">
        <v>71</v>
      </c>
      <c r="E2651" t="s">
        <v>27</v>
      </c>
      <c r="F2651">
        <v>4</v>
      </c>
      <c r="G2651">
        <v>1299</v>
      </c>
      <c r="H2651">
        <v>0.05</v>
      </c>
      <c r="I2651" t="s">
        <v>50</v>
      </c>
      <c r="J2651" t="s">
        <v>16</v>
      </c>
      <c r="K2651" t="s">
        <v>23</v>
      </c>
      <c r="L2651">
        <f>F2650*G2650*(1-H2650)</f>
        <v>2396</v>
      </c>
    </row>
    <row r="2652" spans="1:12">
      <c r="A2652" t="s">
        <v>3452</v>
      </c>
      <c r="B2652" s="1">
        <v>46215</v>
      </c>
      <c r="C2652" t="s">
        <v>626</v>
      </c>
      <c r="D2652" t="s">
        <v>13</v>
      </c>
      <c r="E2652" t="s">
        <v>21</v>
      </c>
      <c r="F2652">
        <v>5</v>
      </c>
      <c r="G2652">
        <v>599</v>
      </c>
      <c r="H2652">
        <v>0</v>
      </c>
      <c r="I2652" t="s">
        <v>47</v>
      </c>
      <c r="J2652" t="s">
        <v>16</v>
      </c>
      <c r="K2652" t="s">
        <v>17</v>
      </c>
      <c r="L2652">
        <f>F2651*G2651*(1-H2651)</f>
        <v>4936.2</v>
      </c>
    </row>
    <row r="2653" spans="1:12">
      <c r="A2653" t="s">
        <v>3453</v>
      </c>
      <c r="B2653" s="1">
        <v>46124</v>
      </c>
      <c r="C2653" t="s">
        <v>2807</v>
      </c>
      <c r="D2653" t="s">
        <v>59</v>
      </c>
      <c r="E2653" t="s">
        <v>40</v>
      </c>
      <c r="F2653">
        <v>5</v>
      </c>
      <c r="G2653">
        <v>4999</v>
      </c>
      <c r="H2653">
        <v>0</v>
      </c>
      <c r="I2653" t="s">
        <v>50</v>
      </c>
      <c r="J2653" t="s">
        <v>28</v>
      </c>
      <c r="K2653" t="s">
        <v>17</v>
      </c>
      <c r="L2653">
        <f>F2652*G2652*(1-H2652)</f>
        <v>2995</v>
      </c>
    </row>
    <row r="2654" spans="1:12">
      <c r="A2654" t="s">
        <v>3454</v>
      </c>
      <c r="B2654" s="1">
        <v>46197</v>
      </c>
      <c r="C2654" t="s">
        <v>2094</v>
      </c>
      <c r="D2654" t="s">
        <v>13</v>
      </c>
      <c r="E2654" t="s">
        <v>35</v>
      </c>
      <c r="F2654">
        <v>1</v>
      </c>
      <c r="G2654">
        <v>2499</v>
      </c>
      <c r="H2654">
        <v>0.1</v>
      </c>
      <c r="I2654" t="s">
        <v>15</v>
      </c>
      <c r="J2654" t="s">
        <v>22</v>
      </c>
      <c r="K2654" t="s">
        <v>17</v>
      </c>
      <c r="L2654">
        <f>F2653*G2653*(1-H2653)</f>
        <v>24995</v>
      </c>
    </row>
    <row r="2655" spans="1:12">
      <c r="A2655" t="s">
        <v>3455</v>
      </c>
      <c r="B2655" s="1">
        <v>46273</v>
      </c>
      <c r="C2655" t="s">
        <v>1318</v>
      </c>
      <c r="D2655" t="s">
        <v>26</v>
      </c>
      <c r="E2655" t="s">
        <v>27</v>
      </c>
      <c r="F2655">
        <v>3</v>
      </c>
      <c r="G2655">
        <v>1499</v>
      </c>
      <c r="H2655">
        <v>0.1</v>
      </c>
      <c r="I2655" t="s">
        <v>32</v>
      </c>
      <c r="J2655" t="s">
        <v>22</v>
      </c>
      <c r="K2655" t="s">
        <v>17</v>
      </c>
      <c r="L2655">
        <f>F2654*G2654*(1-H2654)</f>
        <v>2249.1</v>
      </c>
    </row>
    <row r="2656" spans="1:12">
      <c r="A2656" t="s">
        <v>3456</v>
      </c>
      <c r="B2656" s="1">
        <v>46286</v>
      </c>
      <c r="C2656" t="s">
        <v>292</v>
      </c>
      <c r="D2656" t="s">
        <v>78</v>
      </c>
      <c r="E2656" t="s">
        <v>40</v>
      </c>
      <c r="F2656">
        <v>4</v>
      </c>
      <c r="G2656">
        <v>799</v>
      </c>
      <c r="H2656">
        <v>0</v>
      </c>
      <c r="I2656" t="s">
        <v>32</v>
      </c>
      <c r="J2656" t="s">
        <v>36</v>
      </c>
      <c r="K2656" t="s">
        <v>17</v>
      </c>
      <c r="L2656">
        <f>F2655*G2655*(1-H2655)</f>
        <v>4047.3</v>
      </c>
    </row>
    <row r="2657" spans="1:12">
      <c r="A2657" t="s">
        <v>3457</v>
      </c>
      <c r="B2657" s="1">
        <v>46032</v>
      </c>
      <c r="C2657" t="s">
        <v>1286</v>
      </c>
      <c r="D2657" t="s">
        <v>78</v>
      </c>
      <c r="E2657" t="s">
        <v>21</v>
      </c>
      <c r="F2657">
        <v>2</v>
      </c>
      <c r="G2657">
        <v>499</v>
      </c>
      <c r="H2657">
        <v>0</v>
      </c>
      <c r="I2657" t="s">
        <v>50</v>
      </c>
      <c r="J2657" t="s">
        <v>16</v>
      </c>
      <c r="K2657" t="s">
        <v>17</v>
      </c>
      <c r="L2657">
        <f>F2656*G2656*(1-H2656)</f>
        <v>3196</v>
      </c>
    </row>
    <row r="2658" spans="1:12">
      <c r="A2658" t="s">
        <v>3458</v>
      </c>
      <c r="B2658" s="1">
        <v>46031</v>
      </c>
      <c r="C2658" t="s">
        <v>1437</v>
      </c>
      <c r="D2658" t="s">
        <v>71</v>
      </c>
      <c r="E2658" t="s">
        <v>40</v>
      </c>
      <c r="F2658">
        <v>4</v>
      </c>
      <c r="G2658">
        <v>999</v>
      </c>
      <c r="H2658">
        <v>0.15</v>
      </c>
      <c r="I2658" t="s">
        <v>50</v>
      </c>
      <c r="J2658" t="s">
        <v>36</v>
      </c>
      <c r="K2658" t="s">
        <v>37</v>
      </c>
      <c r="L2658">
        <f>F2657*G2657*(1-H2657)</f>
        <v>998</v>
      </c>
    </row>
    <row r="2659" spans="1:12">
      <c r="A2659" t="s">
        <v>3459</v>
      </c>
      <c r="B2659" s="1">
        <v>46265</v>
      </c>
      <c r="C2659" t="s">
        <v>872</v>
      </c>
      <c r="D2659" t="s">
        <v>71</v>
      </c>
      <c r="E2659" t="s">
        <v>40</v>
      </c>
      <c r="F2659">
        <v>3</v>
      </c>
      <c r="G2659">
        <v>7999</v>
      </c>
      <c r="H2659">
        <v>0</v>
      </c>
      <c r="I2659" t="s">
        <v>44</v>
      </c>
      <c r="J2659" t="s">
        <v>28</v>
      </c>
      <c r="K2659" t="s">
        <v>37</v>
      </c>
      <c r="L2659">
        <f>F2658*G2658*(1-H2658)</f>
        <v>3396.6</v>
      </c>
    </row>
    <row r="2660" spans="1:12">
      <c r="A2660" t="s">
        <v>3460</v>
      </c>
      <c r="B2660" s="1">
        <v>46205</v>
      </c>
      <c r="C2660" t="s">
        <v>1071</v>
      </c>
      <c r="D2660" t="s">
        <v>20</v>
      </c>
      <c r="E2660" t="s">
        <v>27</v>
      </c>
      <c r="F2660">
        <v>1</v>
      </c>
      <c r="G2660">
        <v>7999</v>
      </c>
      <c r="H2660">
        <v>0.05</v>
      </c>
      <c r="I2660" t="s">
        <v>15</v>
      </c>
      <c r="J2660" t="s">
        <v>51</v>
      </c>
      <c r="K2660" t="s">
        <v>17</v>
      </c>
      <c r="L2660">
        <f>F2659*G2659*(1-H2659)</f>
        <v>23997</v>
      </c>
    </row>
    <row r="2661" spans="1:12">
      <c r="A2661" t="s">
        <v>3461</v>
      </c>
      <c r="B2661" s="1">
        <v>46065</v>
      </c>
      <c r="C2661" t="s">
        <v>1050</v>
      </c>
      <c r="D2661" t="s">
        <v>26</v>
      </c>
      <c r="E2661" t="s">
        <v>27</v>
      </c>
      <c r="F2661">
        <v>3</v>
      </c>
      <c r="G2661">
        <v>1499</v>
      </c>
      <c r="H2661">
        <v>0.15</v>
      </c>
      <c r="I2661" t="s">
        <v>44</v>
      </c>
      <c r="J2661" t="s">
        <v>28</v>
      </c>
      <c r="K2661" t="s">
        <v>17</v>
      </c>
      <c r="L2661">
        <f>F2660*G2660*(1-H2660)</f>
        <v>7599.0499999999993</v>
      </c>
    </row>
    <row r="2662" spans="1:12">
      <c r="A2662" t="s">
        <v>3462</v>
      </c>
      <c r="B2662" s="1">
        <v>46209</v>
      </c>
      <c r="C2662" t="s">
        <v>318</v>
      </c>
      <c r="D2662" t="s">
        <v>31</v>
      </c>
      <c r="E2662" t="s">
        <v>35</v>
      </c>
      <c r="F2662">
        <v>2</v>
      </c>
      <c r="G2662">
        <v>499</v>
      </c>
      <c r="H2662">
        <v>0.1</v>
      </c>
      <c r="I2662" t="s">
        <v>44</v>
      </c>
      <c r="J2662" t="s">
        <v>28</v>
      </c>
      <c r="K2662" t="s">
        <v>17</v>
      </c>
      <c r="L2662">
        <f>F2661*G2661*(1-H2661)</f>
        <v>3822.45</v>
      </c>
    </row>
    <row r="2663" spans="1:12">
      <c r="A2663" t="s">
        <v>3463</v>
      </c>
      <c r="B2663" s="1">
        <v>46209</v>
      </c>
      <c r="C2663" t="s">
        <v>2270</v>
      </c>
      <c r="D2663" t="s">
        <v>56</v>
      </c>
      <c r="E2663" t="s">
        <v>27</v>
      </c>
      <c r="F2663">
        <v>2</v>
      </c>
      <c r="G2663">
        <v>1299</v>
      </c>
      <c r="H2663">
        <v>0.05</v>
      </c>
      <c r="I2663" t="s">
        <v>15</v>
      </c>
      <c r="J2663" t="s">
        <v>28</v>
      </c>
      <c r="K2663" t="s">
        <v>23</v>
      </c>
      <c r="L2663">
        <f>F2662*G2662*(1-H2662)</f>
        <v>898.2</v>
      </c>
    </row>
    <row r="2664" spans="1:12">
      <c r="A2664" t="s">
        <v>3464</v>
      </c>
      <c r="B2664" s="1">
        <v>46030</v>
      </c>
      <c r="C2664" t="s">
        <v>1797</v>
      </c>
      <c r="D2664" t="s">
        <v>59</v>
      </c>
      <c r="E2664" t="s">
        <v>27</v>
      </c>
      <c r="F2664">
        <v>1</v>
      </c>
      <c r="G2664">
        <v>1999</v>
      </c>
      <c r="H2664">
        <v>0.1</v>
      </c>
      <c r="I2664" t="s">
        <v>47</v>
      </c>
      <c r="J2664" t="s">
        <v>36</v>
      </c>
      <c r="K2664" t="s">
        <v>17</v>
      </c>
      <c r="L2664">
        <f>F2663*G2663*(1-H2663)</f>
        <v>2468.1</v>
      </c>
    </row>
    <row r="2665" spans="1:12">
      <c r="A2665" t="s">
        <v>3465</v>
      </c>
      <c r="B2665" s="1">
        <v>46101</v>
      </c>
      <c r="C2665" t="s">
        <v>2053</v>
      </c>
      <c r="D2665" t="s">
        <v>71</v>
      </c>
      <c r="E2665" t="s">
        <v>14</v>
      </c>
      <c r="F2665">
        <v>5</v>
      </c>
      <c r="G2665">
        <v>599</v>
      </c>
      <c r="H2665">
        <v>0.05</v>
      </c>
      <c r="I2665" t="s">
        <v>47</v>
      </c>
      <c r="J2665" t="s">
        <v>36</v>
      </c>
      <c r="K2665" t="s">
        <v>17</v>
      </c>
      <c r="L2665">
        <f>F2664*G2664*(1-H2664)</f>
        <v>1799.1000000000001</v>
      </c>
    </row>
    <row r="2666" spans="1:12">
      <c r="A2666" t="s">
        <v>3466</v>
      </c>
      <c r="B2666" s="1">
        <v>46269</v>
      </c>
      <c r="C2666" t="s">
        <v>1475</v>
      </c>
      <c r="D2666" t="s">
        <v>20</v>
      </c>
      <c r="E2666" t="s">
        <v>14</v>
      </c>
      <c r="F2666">
        <v>5</v>
      </c>
      <c r="G2666">
        <v>7999</v>
      </c>
      <c r="H2666">
        <v>0</v>
      </c>
      <c r="I2666" t="s">
        <v>47</v>
      </c>
      <c r="J2666" t="s">
        <v>28</v>
      </c>
      <c r="K2666" t="s">
        <v>17</v>
      </c>
      <c r="L2666">
        <f>F2665*G2665*(1-H2665)</f>
        <v>2845.25</v>
      </c>
    </row>
    <row r="2667" spans="1:12">
      <c r="A2667" t="s">
        <v>3467</v>
      </c>
      <c r="B2667" s="1">
        <v>46085</v>
      </c>
      <c r="C2667" t="s">
        <v>134</v>
      </c>
      <c r="D2667" t="s">
        <v>20</v>
      </c>
      <c r="E2667" t="s">
        <v>27</v>
      </c>
      <c r="F2667">
        <v>3</v>
      </c>
      <c r="G2667">
        <v>999</v>
      </c>
      <c r="H2667">
        <v>0</v>
      </c>
      <c r="I2667" t="s">
        <v>50</v>
      </c>
      <c r="J2667" t="s">
        <v>51</v>
      </c>
      <c r="K2667" t="s">
        <v>17</v>
      </c>
      <c r="L2667">
        <f>F2666*G2666*(1-H2666)</f>
        <v>39995</v>
      </c>
    </row>
    <row r="2668" spans="1:12">
      <c r="A2668" t="s">
        <v>3468</v>
      </c>
      <c r="B2668" s="1">
        <v>46259</v>
      </c>
      <c r="C2668" t="s">
        <v>2413</v>
      </c>
      <c r="D2668" t="s">
        <v>71</v>
      </c>
      <c r="E2668" t="s">
        <v>35</v>
      </c>
      <c r="F2668">
        <v>4</v>
      </c>
      <c r="G2668">
        <v>999</v>
      </c>
      <c r="H2668">
        <v>0.05</v>
      </c>
      <c r="I2668" t="s">
        <v>15</v>
      </c>
      <c r="J2668" t="s">
        <v>22</v>
      </c>
      <c r="K2668" t="s">
        <v>17</v>
      </c>
      <c r="L2668">
        <f>F2667*G2667*(1-H2667)</f>
        <v>2997</v>
      </c>
    </row>
    <row r="2669" spans="1:12">
      <c r="A2669" t="s">
        <v>3469</v>
      </c>
      <c r="B2669" s="1">
        <v>46083</v>
      </c>
      <c r="C2669" t="s">
        <v>64</v>
      </c>
      <c r="D2669" t="s">
        <v>26</v>
      </c>
      <c r="E2669" t="s">
        <v>27</v>
      </c>
      <c r="F2669">
        <v>3</v>
      </c>
      <c r="G2669">
        <v>1299</v>
      </c>
      <c r="H2669">
        <v>0</v>
      </c>
      <c r="I2669" t="s">
        <v>50</v>
      </c>
      <c r="J2669" t="s">
        <v>36</v>
      </c>
      <c r="K2669" t="s">
        <v>37</v>
      </c>
      <c r="L2669">
        <f>F2668*G2668*(1-H2668)</f>
        <v>3796.2</v>
      </c>
    </row>
    <row r="2670" spans="1:12">
      <c r="A2670" t="s">
        <v>3470</v>
      </c>
      <c r="B2670" s="1">
        <v>46096</v>
      </c>
      <c r="C2670" t="s">
        <v>560</v>
      </c>
      <c r="D2670" t="s">
        <v>20</v>
      </c>
      <c r="E2670" t="s">
        <v>14</v>
      </c>
      <c r="F2670">
        <v>5</v>
      </c>
      <c r="G2670">
        <v>2499</v>
      </c>
      <c r="H2670">
        <v>0.05</v>
      </c>
      <c r="I2670" t="s">
        <v>47</v>
      </c>
      <c r="J2670" t="s">
        <v>51</v>
      </c>
      <c r="K2670" t="s">
        <v>17</v>
      </c>
      <c r="L2670">
        <f>F2669*G2669*(1-H2669)</f>
        <v>3897</v>
      </c>
    </row>
    <row r="2671" spans="1:12">
      <c r="A2671" t="s">
        <v>3471</v>
      </c>
      <c r="B2671" s="1">
        <v>46140</v>
      </c>
      <c r="C2671" t="s">
        <v>255</v>
      </c>
      <c r="D2671" t="s">
        <v>31</v>
      </c>
      <c r="E2671" t="s">
        <v>40</v>
      </c>
      <c r="F2671">
        <v>5</v>
      </c>
      <c r="G2671">
        <v>999</v>
      </c>
      <c r="H2671">
        <v>0.1</v>
      </c>
      <c r="I2671" t="s">
        <v>50</v>
      </c>
      <c r="J2671" t="s">
        <v>36</v>
      </c>
      <c r="K2671" t="s">
        <v>17</v>
      </c>
      <c r="L2671">
        <f>F2670*G2670*(1-H2670)</f>
        <v>11870.25</v>
      </c>
    </row>
    <row r="2672" spans="1:12">
      <c r="A2672" t="s">
        <v>3472</v>
      </c>
      <c r="B2672" s="1">
        <v>46256</v>
      </c>
      <c r="C2672" t="s">
        <v>1420</v>
      </c>
      <c r="D2672" t="s">
        <v>13</v>
      </c>
      <c r="E2672" t="s">
        <v>40</v>
      </c>
      <c r="F2672">
        <v>5</v>
      </c>
      <c r="G2672">
        <v>1999</v>
      </c>
      <c r="H2672">
        <v>0.1</v>
      </c>
      <c r="I2672" t="s">
        <v>47</v>
      </c>
      <c r="J2672" t="s">
        <v>36</v>
      </c>
      <c r="K2672" t="s">
        <v>17</v>
      </c>
      <c r="L2672">
        <f>F2671*G2671*(1-H2671)</f>
        <v>4495.5</v>
      </c>
    </row>
    <row r="2673" spans="1:12">
      <c r="A2673" t="s">
        <v>3473</v>
      </c>
      <c r="B2673" s="1">
        <v>46091</v>
      </c>
      <c r="C2673" t="s">
        <v>123</v>
      </c>
      <c r="D2673" t="s">
        <v>78</v>
      </c>
      <c r="E2673" t="s">
        <v>40</v>
      </c>
      <c r="F2673">
        <v>2</v>
      </c>
      <c r="G2673">
        <v>499</v>
      </c>
      <c r="H2673">
        <v>0.1</v>
      </c>
      <c r="I2673" t="s">
        <v>47</v>
      </c>
      <c r="J2673" t="s">
        <v>28</v>
      </c>
      <c r="K2673" t="s">
        <v>17</v>
      </c>
      <c r="L2673">
        <f>F2672*G2672*(1-H2672)</f>
        <v>8995.5</v>
      </c>
    </row>
    <row r="2674" spans="1:12">
      <c r="A2674" t="s">
        <v>3474</v>
      </c>
      <c r="B2674" s="1">
        <v>46168</v>
      </c>
      <c r="C2674" t="s">
        <v>751</v>
      </c>
      <c r="D2674" t="s">
        <v>20</v>
      </c>
      <c r="E2674" t="s">
        <v>40</v>
      </c>
      <c r="F2674">
        <v>5</v>
      </c>
      <c r="G2674">
        <v>799</v>
      </c>
      <c r="H2674">
        <v>0</v>
      </c>
      <c r="I2674" t="s">
        <v>15</v>
      </c>
      <c r="J2674" t="s">
        <v>28</v>
      </c>
      <c r="K2674" t="s">
        <v>17</v>
      </c>
      <c r="L2674">
        <f>F2673*G2673*(1-H2673)</f>
        <v>898.2</v>
      </c>
    </row>
    <row r="2675" spans="1:12">
      <c r="A2675" t="s">
        <v>3475</v>
      </c>
      <c r="B2675" s="1">
        <v>46237</v>
      </c>
      <c r="C2675" t="s">
        <v>567</v>
      </c>
      <c r="D2675" t="s">
        <v>71</v>
      </c>
      <c r="E2675" t="s">
        <v>35</v>
      </c>
      <c r="F2675">
        <v>3</v>
      </c>
      <c r="G2675">
        <v>599</v>
      </c>
      <c r="H2675">
        <v>0.15</v>
      </c>
      <c r="I2675" t="s">
        <v>15</v>
      </c>
      <c r="J2675" t="s">
        <v>51</v>
      </c>
      <c r="K2675" t="s">
        <v>37</v>
      </c>
      <c r="L2675">
        <f>F2674*G2674*(1-H2674)</f>
        <v>3995</v>
      </c>
    </row>
    <row r="2676" spans="1:12">
      <c r="A2676" t="s">
        <v>3476</v>
      </c>
      <c r="B2676" s="1">
        <v>46282</v>
      </c>
      <c r="C2676" t="s">
        <v>338</v>
      </c>
      <c r="D2676" t="s">
        <v>71</v>
      </c>
      <c r="E2676" t="s">
        <v>40</v>
      </c>
      <c r="F2676">
        <v>1</v>
      </c>
      <c r="G2676">
        <v>799</v>
      </c>
      <c r="H2676">
        <v>0.1</v>
      </c>
      <c r="I2676" t="s">
        <v>44</v>
      </c>
      <c r="J2676" t="s">
        <v>28</v>
      </c>
      <c r="K2676" t="s">
        <v>17</v>
      </c>
      <c r="L2676">
        <f>F2675*G2675*(1-H2675)</f>
        <v>1527.45</v>
      </c>
    </row>
    <row r="2677" spans="1:12">
      <c r="A2677" t="s">
        <v>3477</v>
      </c>
      <c r="B2677" s="1">
        <v>46266</v>
      </c>
      <c r="C2677" t="s">
        <v>259</v>
      </c>
      <c r="D2677" t="s">
        <v>78</v>
      </c>
      <c r="E2677" t="s">
        <v>35</v>
      </c>
      <c r="F2677">
        <v>1</v>
      </c>
      <c r="G2677">
        <v>1999</v>
      </c>
      <c r="H2677">
        <v>0</v>
      </c>
      <c r="I2677" t="s">
        <v>44</v>
      </c>
      <c r="J2677" t="s">
        <v>28</v>
      </c>
      <c r="K2677" t="s">
        <v>17</v>
      </c>
      <c r="L2677">
        <f>F2676*G2676*(1-H2676)</f>
        <v>719.1</v>
      </c>
    </row>
    <row r="2678" spans="1:12">
      <c r="A2678" t="s">
        <v>3478</v>
      </c>
      <c r="B2678" s="1">
        <v>46169</v>
      </c>
      <c r="C2678" t="s">
        <v>100</v>
      </c>
      <c r="D2678" t="s">
        <v>13</v>
      </c>
      <c r="E2678" t="s">
        <v>21</v>
      </c>
      <c r="F2678">
        <v>5</v>
      </c>
      <c r="G2678">
        <v>4999</v>
      </c>
      <c r="H2678">
        <v>0</v>
      </c>
      <c r="I2678" t="s">
        <v>50</v>
      </c>
      <c r="J2678" t="s">
        <v>16</v>
      </c>
      <c r="K2678" t="s">
        <v>17</v>
      </c>
      <c r="L2678">
        <f>F2677*G2677*(1-H2677)</f>
        <v>1999</v>
      </c>
    </row>
    <row r="2679" spans="1:12">
      <c r="A2679" t="s">
        <v>3479</v>
      </c>
      <c r="B2679" s="1">
        <v>46171</v>
      </c>
      <c r="C2679" t="s">
        <v>1280</v>
      </c>
      <c r="D2679" t="s">
        <v>56</v>
      </c>
      <c r="E2679" t="s">
        <v>21</v>
      </c>
      <c r="F2679">
        <v>2</v>
      </c>
      <c r="G2679">
        <v>599</v>
      </c>
      <c r="H2679">
        <v>0.05</v>
      </c>
      <c r="I2679" t="s">
        <v>50</v>
      </c>
      <c r="J2679" t="s">
        <v>51</v>
      </c>
      <c r="K2679" t="s">
        <v>17</v>
      </c>
      <c r="L2679">
        <f>F2678*G2678*(1-H2678)</f>
        <v>24995</v>
      </c>
    </row>
    <row r="2680" spans="1:12">
      <c r="A2680" t="s">
        <v>3480</v>
      </c>
      <c r="B2680" s="1">
        <v>46180</v>
      </c>
      <c r="C2680" t="s">
        <v>2034</v>
      </c>
      <c r="D2680" t="s">
        <v>62</v>
      </c>
      <c r="E2680" t="s">
        <v>40</v>
      </c>
      <c r="F2680">
        <v>4</v>
      </c>
      <c r="G2680">
        <v>1299</v>
      </c>
      <c r="H2680">
        <v>0.1</v>
      </c>
      <c r="I2680" t="s">
        <v>50</v>
      </c>
      <c r="J2680" t="s">
        <v>16</v>
      </c>
      <c r="K2680" t="s">
        <v>17</v>
      </c>
      <c r="L2680">
        <f>F2679*G2679*(1-H2679)</f>
        <v>1138.0999999999999</v>
      </c>
    </row>
    <row r="2681" spans="1:12">
      <c r="A2681" t="s">
        <v>3481</v>
      </c>
      <c r="B2681" s="1">
        <v>46073</v>
      </c>
      <c r="C2681" t="s">
        <v>1167</v>
      </c>
      <c r="D2681" t="s">
        <v>20</v>
      </c>
      <c r="E2681" t="s">
        <v>40</v>
      </c>
      <c r="F2681">
        <v>2</v>
      </c>
      <c r="G2681">
        <v>1299</v>
      </c>
      <c r="H2681">
        <v>0</v>
      </c>
      <c r="I2681" t="s">
        <v>15</v>
      </c>
      <c r="J2681" t="s">
        <v>28</v>
      </c>
      <c r="K2681" t="s">
        <v>17</v>
      </c>
      <c r="L2681">
        <f>F2680*G2680*(1-H2680)</f>
        <v>4676.4000000000005</v>
      </c>
    </row>
    <row r="2682" spans="1:12">
      <c r="A2682" t="s">
        <v>3482</v>
      </c>
      <c r="B2682" s="1">
        <v>46091</v>
      </c>
      <c r="C2682" t="s">
        <v>1370</v>
      </c>
      <c r="D2682" t="s">
        <v>26</v>
      </c>
      <c r="E2682" t="s">
        <v>40</v>
      </c>
      <c r="F2682">
        <v>3</v>
      </c>
      <c r="G2682">
        <v>999</v>
      </c>
      <c r="H2682">
        <v>0.05</v>
      </c>
      <c r="I2682" t="s">
        <v>32</v>
      </c>
      <c r="J2682" t="s">
        <v>36</v>
      </c>
      <c r="K2682" t="s">
        <v>37</v>
      </c>
      <c r="L2682">
        <f>F2681*G2681*(1-H2681)</f>
        <v>2598</v>
      </c>
    </row>
    <row r="2683" spans="1:12">
      <c r="A2683" t="s">
        <v>3483</v>
      </c>
      <c r="B2683" s="1">
        <v>46265</v>
      </c>
      <c r="C2683" t="s">
        <v>257</v>
      </c>
      <c r="D2683" t="s">
        <v>59</v>
      </c>
      <c r="E2683" t="s">
        <v>40</v>
      </c>
      <c r="F2683">
        <v>2</v>
      </c>
      <c r="G2683">
        <v>1499</v>
      </c>
      <c r="H2683">
        <v>0</v>
      </c>
      <c r="I2683" t="s">
        <v>32</v>
      </c>
      <c r="J2683" t="s">
        <v>16</v>
      </c>
      <c r="K2683" t="s">
        <v>17</v>
      </c>
      <c r="L2683">
        <f>F2682*G2682*(1-H2682)</f>
        <v>2847.15</v>
      </c>
    </row>
    <row r="2684" spans="1:12">
      <c r="A2684" t="s">
        <v>3484</v>
      </c>
      <c r="B2684" s="1">
        <v>46272</v>
      </c>
      <c r="C2684" t="s">
        <v>656</v>
      </c>
      <c r="D2684" t="s">
        <v>59</v>
      </c>
      <c r="E2684" t="s">
        <v>14</v>
      </c>
      <c r="F2684">
        <v>3</v>
      </c>
      <c r="G2684">
        <v>999</v>
      </c>
      <c r="H2684">
        <v>0</v>
      </c>
      <c r="I2684" t="s">
        <v>44</v>
      </c>
      <c r="J2684" t="s">
        <v>51</v>
      </c>
      <c r="K2684" t="s">
        <v>37</v>
      </c>
      <c r="L2684">
        <f>F2683*G2683*(1-H2683)</f>
        <v>2998</v>
      </c>
    </row>
    <row r="2685" spans="1:12">
      <c r="A2685" t="s">
        <v>3485</v>
      </c>
      <c r="B2685" s="1">
        <v>46148</v>
      </c>
      <c r="C2685" t="s">
        <v>296</v>
      </c>
      <c r="D2685" t="s">
        <v>31</v>
      </c>
      <c r="E2685" t="s">
        <v>35</v>
      </c>
      <c r="F2685">
        <v>5</v>
      </c>
      <c r="G2685">
        <v>4999</v>
      </c>
      <c r="H2685">
        <v>0</v>
      </c>
      <c r="I2685" t="s">
        <v>44</v>
      </c>
      <c r="J2685" t="s">
        <v>22</v>
      </c>
      <c r="K2685" t="s">
        <v>17</v>
      </c>
      <c r="L2685">
        <f>F2684*G2684*(1-H2684)</f>
        <v>2997</v>
      </c>
    </row>
    <row r="2686" spans="1:12">
      <c r="A2686" t="s">
        <v>3486</v>
      </c>
      <c r="B2686" s="1">
        <v>46089</v>
      </c>
      <c r="C2686" t="s">
        <v>1585</v>
      </c>
      <c r="D2686" t="s">
        <v>71</v>
      </c>
      <c r="E2686" t="s">
        <v>40</v>
      </c>
      <c r="F2686">
        <v>2</v>
      </c>
      <c r="G2686">
        <v>1499</v>
      </c>
      <c r="H2686">
        <v>0.05</v>
      </c>
      <c r="I2686" t="s">
        <v>44</v>
      </c>
      <c r="J2686" t="s">
        <v>51</v>
      </c>
      <c r="K2686" t="s">
        <v>17</v>
      </c>
      <c r="L2686">
        <f>F2685*G2685*(1-H2685)</f>
        <v>24995</v>
      </c>
    </row>
    <row r="2687" spans="1:12">
      <c r="A2687" t="s">
        <v>3487</v>
      </c>
      <c r="B2687" s="1">
        <v>46083</v>
      </c>
      <c r="C2687" t="s">
        <v>1333</v>
      </c>
      <c r="D2687" t="s">
        <v>56</v>
      </c>
      <c r="E2687" t="s">
        <v>27</v>
      </c>
      <c r="F2687">
        <v>3</v>
      </c>
      <c r="G2687">
        <v>7999</v>
      </c>
      <c r="H2687">
        <v>0.05</v>
      </c>
      <c r="I2687" t="s">
        <v>15</v>
      </c>
      <c r="J2687" t="s">
        <v>36</v>
      </c>
      <c r="K2687" t="s">
        <v>17</v>
      </c>
      <c r="L2687">
        <f>F2686*G2686*(1-H2686)</f>
        <v>2848.1</v>
      </c>
    </row>
    <row r="2688" spans="1:12">
      <c r="A2688" t="s">
        <v>3488</v>
      </c>
      <c r="B2688" s="1">
        <v>46045</v>
      </c>
      <c r="C2688" t="s">
        <v>2322</v>
      </c>
      <c r="D2688" t="s">
        <v>31</v>
      </c>
      <c r="E2688" t="s">
        <v>14</v>
      </c>
      <c r="F2688">
        <v>1</v>
      </c>
      <c r="G2688">
        <v>7999</v>
      </c>
      <c r="H2688">
        <v>0</v>
      </c>
      <c r="I2688" t="s">
        <v>44</v>
      </c>
      <c r="J2688" t="s">
        <v>22</v>
      </c>
      <c r="K2688" t="s">
        <v>17</v>
      </c>
      <c r="L2688">
        <f>F2687*G2687*(1-H2687)</f>
        <v>22797.149999999998</v>
      </c>
    </row>
    <row r="2689" spans="1:12">
      <c r="A2689" t="s">
        <v>3489</v>
      </c>
      <c r="B2689" s="1">
        <v>46129</v>
      </c>
      <c r="C2689" t="s">
        <v>3490</v>
      </c>
      <c r="D2689" t="s">
        <v>26</v>
      </c>
      <c r="E2689" t="s">
        <v>21</v>
      </c>
      <c r="F2689">
        <v>5</v>
      </c>
      <c r="G2689">
        <v>499</v>
      </c>
      <c r="H2689">
        <v>0</v>
      </c>
      <c r="I2689" t="s">
        <v>15</v>
      </c>
      <c r="J2689" t="s">
        <v>51</v>
      </c>
      <c r="K2689" t="s">
        <v>17</v>
      </c>
      <c r="L2689">
        <f>F2688*G2688*(1-H2688)</f>
        <v>7999</v>
      </c>
    </row>
    <row r="2690" spans="1:12">
      <c r="A2690" t="s">
        <v>3491</v>
      </c>
      <c r="B2690" s="1">
        <v>46096</v>
      </c>
      <c r="C2690" t="s">
        <v>1363</v>
      </c>
      <c r="D2690" t="s">
        <v>62</v>
      </c>
      <c r="E2690" t="s">
        <v>35</v>
      </c>
      <c r="F2690">
        <v>4</v>
      </c>
      <c r="G2690">
        <v>999</v>
      </c>
      <c r="H2690">
        <v>0.1</v>
      </c>
      <c r="I2690" t="s">
        <v>15</v>
      </c>
      <c r="J2690" t="s">
        <v>16</v>
      </c>
      <c r="K2690" t="s">
        <v>37</v>
      </c>
      <c r="L2690">
        <f>F2689*G2689*(1-H2689)</f>
        <v>2495</v>
      </c>
    </row>
    <row r="2691" spans="1:12">
      <c r="A2691" t="s">
        <v>3492</v>
      </c>
      <c r="B2691" s="1">
        <v>46173</v>
      </c>
      <c r="C2691" t="s">
        <v>146</v>
      </c>
      <c r="D2691" t="s">
        <v>78</v>
      </c>
      <c r="E2691" t="s">
        <v>35</v>
      </c>
      <c r="F2691">
        <v>1</v>
      </c>
      <c r="G2691">
        <v>2499</v>
      </c>
      <c r="H2691">
        <v>0.1</v>
      </c>
      <c r="I2691" t="s">
        <v>50</v>
      </c>
      <c r="J2691" t="s">
        <v>51</v>
      </c>
      <c r="K2691" t="s">
        <v>17</v>
      </c>
      <c r="L2691">
        <f>F2690*G2690*(1-H2690)</f>
        <v>3596.4</v>
      </c>
    </row>
    <row r="2692" spans="1:12">
      <c r="A2692" t="s">
        <v>3493</v>
      </c>
      <c r="B2692" s="1">
        <v>46170</v>
      </c>
      <c r="C2692" t="s">
        <v>1800</v>
      </c>
      <c r="D2692" t="s">
        <v>78</v>
      </c>
      <c r="E2692" t="s">
        <v>14</v>
      </c>
      <c r="F2692">
        <v>2</v>
      </c>
      <c r="G2692">
        <v>799</v>
      </c>
      <c r="H2692">
        <v>0</v>
      </c>
      <c r="I2692" t="s">
        <v>44</v>
      </c>
      <c r="J2692" t="s">
        <v>36</v>
      </c>
      <c r="K2692" t="s">
        <v>17</v>
      </c>
      <c r="L2692">
        <f>F2691*G2691*(1-H2691)</f>
        <v>2249.1</v>
      </c>
    </row>
    <row r="2693" spans="1:12">
      <c r="A2693" t="s">
        <v>3494</v>
      </c>
      <c r="B2693" s="1">
        <v>46139</v>
      </c>
      <c r="C2693" t="s">
        <v>705</v>
      </c>
      <c r="D2693" t="s">
        <v>43</v>
      </c>
      <c r="E2693" t="s">
        <v>35</v>
      </c>
      <c r="F2693">
        <v>4</v>
      </c>
      <c r="G2693">
        <v>7999</v>
      </c>
      <c r="H2693">
        <v>0.15</v>
      </c>
      <c r="I2693" t="s">
        <v>32</v>
      </c>
      <c r="J2693" t="s">
        <v>16</v>
      </c>
      <c r="K2693" t="s">
        <v>17</v>
      </c>
      <c r="L2693">
        <f>F2692*G2692*(1-H2692)</f>
        <v>1598</v>
      </c>
    </row>
    <row r="2694" spans="1:12">
      <c r="A2694" t="s">
        <v>3495</v>
      </c>
      <c r="B2694" s="1">
        <v>46102</v>
      </c>
      <c r="C2694" t="s">
        <v>1068</v>
      </c>
      <c r="D2694" t="s">
        <v>20</v>
      </c>
      <c r="E2694" t="s">
        <v>21</v>
      </c>
      <c r="F2694">
        <v>2</v>
      </c>
      <c r="G2694">
        <v>1299</v>
      </c>
      <c r="H2694">
        <v>0</v>
      </c>
      <c r="I2694" t="s">
        <v>50</v>
      </c>
      <c r="J2694" t="s">
        <v>51</v>
      </c>
      <c r="K2694" t="s">
        <v>17</v>
      </c>
      <c r="L2694">
        <f>F2693*G2693*(1-H2693)</f>
        <v>27196.6</v>
      </c>
    </row>
    <row r="2695" spans="1:12">
      <c r="A2695" t="s">
        <v>3496</v>
      </c>
      <c r="B2695" s="1">
        <v>46262</v>
      </c>
      <c r="C2695" t="s">
        <v>2641</v>
      </c>
      <c r="D2695" t="s">
        <v>43</v>
      </c>
      <c r="E2695" t="s">
        <v>14</v>
      </c>
      <c r="F2695">
        <v>5</v>
      </c>
      <c r="G2695">
        <v>599</v>
      </c>
      <c r="H2695">
        <v>0</v>
      </c>
      <c r="I2695" t="s">
        <v>15</v>
      </c>
      <c r="J2695" t="s">
        <v>28</v>
      </c>
      <c r="K2695" t="s">
        <v>23</v>
      </c>
      <c r="L2695">
        <f>F2694*G2694*(1-H2694)</f>
        <v>2598</v>
      </c>
    </row>
    <row r="2696" spans="1:12">
      <c r="A2696" t="s">
        <v>3497</v>
      </c>
      <c r="B2696" s="1">
        <v>46196</v>
      </c>
      <c r="C2696" t="s">
        <v>1165</v>
      </c>
      <c r="D2696" t="s">
        <v>26</v>
      </c>
      <c r="E2696" t="s">
        <v>14</v>
      </c>
      <c r="F2696">
        <v>3</v>
      </c>
      <c r="G2696">
        <v>1299</v>
      </c>
      <c r="H2696">
        <v>0.05</v>
      </c>
      <c r="I2696" t="s">
        <v>44</v>
      </c>
      <c r="J2696" t="s">
        <v>28</v>
      </c>
      <c r="K2696" t="s">
        <v>17</v>
      </c>
      <c r="L2696">
        <f>F2695*G2695*(1-H2695)</f>
        <v>2995</v>
      </c>
    </row>
    <row r="2697" spans="1:12">
      <c r="A2697" t="s">
        <v>3498</v>
      </c>
      <c r="B2697" s="1">
        <v>46194</v>
      </c>
      <c r="C2697" t="s">
        <v>302</v>
      </c>
      <c r="D2697" t="s">
        <v>59</v>
      </c>
      <c r="E2697" t="s">
        <v>40</v>
      </c>
      <c r="F2697">
        <v>5</v>
      </c>
      <c r="G2697">
        <v>1299</v>
      </c>
      <c r="H2697">
        <v>0.05</v>
      </c>
      <c r="I2697" t="s">
        <v>15</v>
      </c>
      <c r="J2697" t="s">
        <v>36</v>
      </c>
      <c r="K2697" t="s">
        <v>17</v>
      </c>
      <c r="L2697">
        <f>F2696*G2696*(1-H2696)</f>
        <v>3702.1499999999996</v>
      </c>
    </row>
    <row r="2698" spans="1:12">
      <c r="A2698" t="s">
        <v>3499</v>
      </c>
      <c r="B2698" s="1">
        <v>46171</v>
      </c>
      <c r="C2698" t="s">
        <v>1347</v>
      </c>
      <c r="D2698" t="s">
        <v>71</v>
      </c>
      <c r="E2698" t="s">
        <v>21</v>
      </c>
      <c r="F2698">
        <v>2</v>
      </c>
      <c r="G2698">
        <v>799</v>
      </c>
      <c r="H2698">
        <v>0.15</v>
      </c>
      <c r="I2698" t="s">
        <v>44</v>
      </c>
      <c r="J2698" t="s">
        <v>51</v>
      </c>
      <c r="K2698" t="s">
        <v>23</v>
      </c>
      <c r="L2698">
        <f>F2697*G2697*(1-H2697)</f>
        <v>6170.25</v>
      </c>
    </row>
    <row r="2699" spans="1:12">
      <c r="A2699" t="s">
        <v>3500</v>
      </c>
      <c r="B2699" s="1">
        <v>46037</v>
      </c>
      <c r="C2699" t="s">
        <v>665</v>
      </c>
      <c r="D2699" t="s">
        <v>59</v>
      </c>
      <c r="E2699" t="s">
        <v>40</v>
      </c>
      <c r="F2699">
        <v>3</v>
      </c>
      <c r="G2699">
        <v>499</v>
      </c>
      <c r="H2699">
        <v>0.15</v>
      </c>
      <c r="I2699" t="s">
        <v>50</v>
      </c>
      <c r="J2699" t="s">
        <v>16</v>
      </c>
      <c r="K2699" t="s">
        <v>17</v>
      </c>
      <c r="L2699">
        <f>F2698*G2698*(1-H2698)</f>
        <v>1358.3</v>
      </c>
    </row>
    <row r="2700" spans="1:12">
      <c r="A2700" t="s">
        <v>3501</v>
      </c>
      <c r="B2700" s="1">
        <v>46054</v>
      </c>
      <c r="C2700" t="s">
        <v>412</v>
      </c>
      <c r="D2700" t="s">
        <v>26</v>
      </c>
      <c r="E2700" t="s">
        <v>40</v>
      </c>
      <c r="F2700">
        <v>3</v>
      </c>
      <c r="G2700">
        <v>7999</v>
      </c>
      <c r="H2700">
        <v>0</v>
      </c>
      <c r="I2700" t="s">
        <v>15</v>
      </c>
      <c r="J2700" t="s">
        <v>22</v>
      </c>
      <c r="K2700" t="s">
        <v>23</v>
      </c>
      <c r="L2700">
        <f>F2699*G2699*(1-H2699)</f>
        <v>1272.45</v>
      </c>
    </row>
    <row r="2701" spans="1:12">
      <c r="A2701" t="s">
        <v>3502</v>
      </c>
      <c r="B2701" s="1">
        <v>46187</v>
      </c>
      <c r="C2701" t="s">
        <v>916</v>
      </c>
      <c r="D2701" t="s">
        <v>71</v>
      </c>
      <c r="E2701" t="s">
        <v>21</v>
      </c>
      <c r="F2701">
        <v>2</v>
      </c>
      <c r="G2701">
        <v>799</v>
      </c>
      <c r="H2701">
        <v>0.15</v>
      </c>
      <c r="I2701" t="s">
        <v>32</v>
      </c>
      <c r="J2701" t="s">
        <v>28</v>
      </c>
      <c r="K2701" t="s">
        <v>23</v>
      </c>
      <c r="L2701">
        <f>F2700*G2700*(1-H2700)</f>
        <v>23997</v>
      </c>
    </row>
    <row r="2702" spans="1:12">
      <c r="A2702" t="s">
        <v>3503</v>
      </c>
      <c r="B2702" s="1">
        <v>46269</v>
      </c>
      <c r="C2702" t="s">
        <v>938</v>
      </c>
      <c r="D2702" t="s">
        <v>26</v>
      </c>
      <c r="E2702" t="s">
        <v>14</v>
      </c>
      <c r="F2702">
        <v>2</v>
      </c>
      <c r="G2702">
        <v>1299</v>
      </c>
      <c r="H2702">
        <v>0</v>
      </c>
      <c r="I2702" t="s">
        <v>47</v>
      </c>
      <c r="J2702" t="s">
        <v>51</v>
      </c>
      <c r="K2702" t="s">
        <v>37</v>
      </c>
      <c r="L2702">
        <f>F2701*G2701*(1-H2701)</f>
        <v>1358.3</v>
      </c>
    </row>
    <row r="2703" spans="1:12">
      <c r="A2703" t="s">
        <v>3504</v>
      </c>
      <c r="B2703" s="1">
        <v>46158</v>
      </c>
      <c r="C2703" t="s">
        <v>1046</v>
      </c>
      <c r="D2703" t="s">
        <v>56</v>
      </c>
      <c r="E2703" t="s">
        <v>27</v>
      </c>
      <c r="F2703">
        <v>5</v>
      </c>
      <c r="G2703">
        <v>4999</v>
      </c>
      <c r="H2703">
        <v>0</v>
      </c>
      <c r="I2703" t="s">
        <v>47</v>
      </c>
      <c r="J2703" t="s">
        <v>16</v>
      </c>
      <c r="K2703" t="s">
        <v>17</v>
      </c>
      <c r="L2703">
        <f>F2702*G2702*(1-H2702)</f>
        <v>2598</v>
      </c>
    </row>
    <row r="2704" spans="1:12">
      <c r="A2704" t="s">
        <v>3505</v>
      </c>
      <c r="B2704" s="1">
        <v>46079</v>
      </c>
      <c r="C2704" t="s">
        <v>1184</v>
      </c>
      <c r="D2704" t="s">
        <v>20</v>
      </c>
      <c r="E2704" t="s">
        <v>21</v>
      </c>
      <c r="F2704">
        <v>2</v>
      </c>
      <c r="G2704">
        <v>7999</v>
      </c>
      <c r="H2704">
        <v>0</v>
      </c>
      <c r="I2704" t="s">
        <v>32</v>
      </c>
      <c r="J2704" t="s">
        <v>16</v>
      </c>
      <c r="K2704" t="s">
        <v>17</v>
      </c>
      <c r="L2704">
        <f>F2703*G2703*(1-H2703)</f>
        <v>24995</v>
      </c>
    </row>
    <row r="2705" spans="1:12">
      <c r="A2705" t="s">
        <v>3506</v>
      </c>
      <c r="B2705" s="1">
        <v>46185</v>
      </c>
      <c r="C2705" t="s">
        <v>235</v>
      </c>
      <c r="D2705" t="s">
        <v>71</v>
      </c>
      <c r="E2705" t="s">
        <v>40</v>
      </c>
      <c r="F2705">
        <v>5</v>
      </c>
      <c r="G2705">
        <v>1999</v>
      </c>
      <c r="H2705">
        <v>0</v>
      </c>
      <c r="I2705" t="s">
        <v>15</v>
      </c>
      <c r="J2705" t="s">
        <v>36</v>
      </c>
      <c r="K2705" t="s">
        <v>17</v>
      </c>
      <c r="L2705">
        <f>F2704*G2704*(1-H2704)</f>
        <v>15998</v>
      </c>
    </row>
    <row r="2706" spans="1:12">
      <c r="A2706" t="s">
        <v>3507</v>
      </c>
      <c r="B2706" s="1">
        <v>46199</v>
      </c>
      <c r="C2706" t="s">
        <v>195</v>
      </c>
      <c r="D2706" t="s">
        <v>62</v>
      </c>
      <c r="E2706" t="s">
        <v>21</v>
      </c>
      <c r="F2706">
        <v>3</v>
      </c>
      <c r="G2706">
        <v>599</v>
      </c>
      <c r="H2706">
        <v>0.05</v>
      </c>
      <c r="I2706" t="s">
        <v>15</v>
      </c>
      <c r="J2706" t="s">
        <v>28</v>
      </c>
      <c r="K2706" t="s">
        <v>17</v>
      </c>
      <c r="L2706">
        <f>F2705*G2705*(1-H2705)</f>
        <v>9995</v>
      </c>
    </row>
    <row r="2707" spans="1:12">
      <c r="A2707" t="s">
        <v>3508</v>
      </c>
      <c r="B2707" s="1">
        <v>46260</v>
      </c>
      <c r="C2707" t="s">
        <v>1519</v>
      </c>
      <c r="D2707" t="s">
        <v>62</v>
      </c>
      <c r="E2707" t="s">
        <v>27</v>
      </c>
      <c r="F2707">
        <v>2</v>
      </c>
      <c r="G2707">
        <v>1999</v>
      </c>
      <c r="H2707">
        <v>0.05</v>
      </c>
      <c r="I2707" t="s">
        <v>47</v>
      </c>
      <c r="J2707" t="s">
        <v>16</v>
      </c>
      <c r="K2707" t="s">
        <v>17</v>
      </c>
      <c r="L2707">
        <f>F2706*G2706*(1-H2706)</f>
        <v>1707.1499999999999</v>
      </c>
    </row>
    <row r="2708" spans="1:12">
      <c r="A2708" t="s">
        <v>3509</v>
      </c>
      <c r="B2708" s="1">
        <v>46140</v>
      </c>
      <c r="C2708" t="s">
        <v>1582</v>
      </c>
      <c r="D2708" t="s">
        <v>71</v>
      </c>
      <c r="E2708" t="s">
        <v>27</v>
      </c>
      <c r="F2708">
        <v>2</v>
      </c>
      <c r="G2708">
        <v>2499</v>
      </c>
      <c r="H2708">
        <v>0</v>
      </c>
      <c r="I2708" t="s">
        <v>50</v>
      </c>
      <c r="J2708" t="s">
        <v>51</v>
      </c>
      <c r="K2708" t="s">
        <v>23</v>
      </c>
      <c r="L2708">
        <f>F2707*G2707*(1-H2707)</f>
        <v>3798.1</v>
      </c>
    </row>
    <row r="2709" spans="1:12">
      <c r="A2709" t="s">
        <v>3510</v>
      </c>
      <c r="B2709" s="1">
        <v>46290</v>
      </c>
      <c r="C2709" t="s">
        <v>221</v>
      </c>
      <c r="D2709" t="s">
        <v>20</v>
      </c>
      <c r="E2709" t="s">
        <v>14</v>
      </c>
      <c r="F2709">
        <v>2</v>
      </c>
      <c r="G2709">
        <v>1299</v>
      </c>
      <c r="H2709">
        <v>0</v>
      </c>
      <c r="I2709" t="s">
        <v>32</v>
      </c>
      <c r="J2709" t="s">
        <v>28</v>
      </c>
      <c r="K2709" t="s">
        <v>23</v>
      </c>
      <c r="L2709">
        <f>F2708*G2708*(1-H2708)</f>
        <v>4998</v>
      </c>
    </row>
    <row r="2710" spans="1:12">
      <c r="A2710" t="s">
        <v>3511</v>
      </c>
      <c r="B2710" s="1">
        <v>46140</v>
      </c>
      <c r="C2710" t="s">
        <v>2987</v>
      </c>
      <c r="D2710" t="s">
        <v>71</v>
      </c>
      <c r="E2710" t="s">
        <v>21</v>
      </c>
      <c r="F2710">
        <v>3</v>
      </c>
      <c r="G2710">
        <v>499</v>
      </c>
      <c r="H2710">
        <v>0</v>
      </c>
      <c r="I2710" t="s">
        <v>47</v>
      </c>
      <c r="J2710" t="s">
        <v>16</v>
      </c>
      <c r="K2710" t="s">
        <v>17</v>
      </c>
      <c r="L2710">
        <f>F2709*G2709*(1-H2709)</f>
        <v>2598</v>
      </c>
    </row>
    <row r="2711" spans="1:12">
      <c r="A2711" t="s">
        <v>3512</v>
      </c>
      <c r="B2711" s="1">
        <v>46138</v>
      </c>
      <c r="C2711" t="s">
        <v>877</v>
      </c>
      <c r="D2711" t="s">
        <v>26</v>
      </c>
      <c r="E2711" t="s">
        <v>35</v>
      </c>
      <c r="F2711">
        <v>2</v>
      </c>
      <c r="G2711">
        <v>999</v>
      </c>
      <c r="H2711">
        <v>0</v>
      </c>
      <c r="I2711" t="s">
        <v>44</v>
      </c>
      <c r="J2711" t="s">
        <v>36</v>
      </c>
      <c r="K2711" t="s">
        <v>23</v>
      </c>
      <c r="L2711">
        <f>F2710*G2710*(1-H2710)</f>
        <v>1497</v>
      </c>
    </row>
    <row r="2712" spans="1:12">
      <c r="A2712" t="s">
        <v>3513</v>
      </c>
      <c r="B2712" s="1">
        <v>46253</v>
      </c>
      <c r="C2712" t="s">
        <v>1525</v>
      </c>
      <c r="D2712" t="s">
        <v>56</v>
      </c>
      <c r="E2712" t="s">
        <v>21</v>
      </c>
      <c r="F2712">
        <v>3</v>
      </c>
      <c r="G2712">
        <v>999</v>
      </c>
      <c r="H2712">
        <v>0.15</v>
      </c>
      <c r="I2712" t="s">
        <v>47</v>
      </c>
      <c r="J2712" t="s">
        <v>51</v>
      </c>
      <c r="K2712" t="s">
        <v>23</v>
      </c>
      <c r="L2712">
        <f>F2711*G2711*(1-H2711)</f>
        <v>1998</v>
      </c>
    </row>
    <row r="2713" spans="1:12">
      <c r="A2713" t="s">
        <v>3514</v>
      </c>
      <c r="B2713" s="1">
        <v>46091</v>
      </c>
      <c r="C2713" t="s">
        <v>235</v>
      </c>
      <c r="D2713" t="s">
        <v>31</v>
      </c>
      <c r="E2713" t="s">
        <v>27</v>
      </c>
      <c r="F2713">
        <v>1</v>
      </c>
      <c r="G2713">
        <v>2499</v>
      </c>
      <c r="H2713">
        <v>0</v>
      </c>
      <c r="I2713" t="s">
        <v>47</v>
      </c>
      <c r="J2713" t="s">
        <v>51</v>
      </c>
      <c r="K2713" t="s">
        <v>37</v>
      </c>
      <c r="L2713">
        <f>F2712*G2712*(1-H2712)</f>
        <v>2547.4499999999998</v>
      </c>
    </row>
    <row r="2714" spans="1:12">
      <c r="A2714" t="s">
        <v>3515</v>
      </c>
      <c r="B2714" s="1">
        <v>46183</v>
      </c>
      <c r="C2714" t="s">
        <v>864</v>
      </c>
      <c r="D2714" t="s">
        <v>31</v>
      </c>
      <c r="E2714" t="s">
        <v>14</v>
      </c>
      <c r="F2714">
        <v>5</v>
      </c>
      <c r="G2714">
        <v>1499</v>
      </c>
      <c r="H2714">
        <v>0.1</v>
      </c>
      <c r="I2714" t="s">
        <v>15</v>
      </c>
      <c r="J2714" t="s">
        <v>51</v>
      </c>
      <c r="K2714" t="s">
        <v>17</v>
      </c>
      <c r="L2714">
        <f>F2713*G2713*(1-H2713)</f>
        <v>2499</v>
      </c>
    </row>
    <row r="2715" spans="1:12">
      <c r="A2715" t="s">
        <v>3516</v>
      </c>
      <c r="B2715" s="1">
        <v>46209</v>
      </c>
      <c r="C2715" t="s">
        <v>121</v>
      </c>
      <c r="D2715" t="s">
        <v>13</v>
      </c>
      <c r="E2715" t="s">
        <v>27</v>
      </c>
      <c r="F2715">
        <v>5</v>
      </c>
      <c r="G2715">
        <v>499</v>
      </c>
      <c r="H2715">
        <v>0.05</v>
      </c>
      <c r="I2715" t="s">
        <v>47</v>
      </c>
      <c r="J2715" t="s">
        <v>28</v>
      </c>
      <c r="K2715" t="s">
        <v>17</v>
      </c>
      <c r="L2715">
        <f>F2714*G2714*(1-H2714)</f>
        <v>6745.5</v>
      </c>
    </row>
    <row r="2716" spans="1:12">
      <c r="A2716" t="s">
        <v>3517</v>
      </c>
      <c r="B2716" s="1">
        <v>46166</v>
      </c>
      <c r="C2716" t="s">
        <v>594</v>
      </c>
      <c r="D2716" t="s">
        <v>62</v>
      </c>
      <c r="E2716" t="s">
        <v>14</v>
      </c>
      <c r="F2716">
        <v>1</v>
      </c>
      <c r="G2716">
        <v>4999</v>
      </c>
      <c r="H2716">
        <v>0</v>
      </c>
      <c r="I2716" t="s">
        <v>32</v>
      </c>
      <c r="J2716" t="s">
        <v>51</v>
      </c>
      <c r="K2716" t="s">
        <v>23</v>
      </c>
      <c r="L2716">
        <f>F2715*G2715*(1-H2715)</f>
        <v>2370.25</v>
      </c>
    </row>
    <row r="2717" spans="1:12">
      <c r="A2717" t="s">
        <v>3518</v>
      </c>
      <c r="B2717" s="1">
        <v>46251</v>
      </c>
      <c r="C2717" t="s">
        <v>610</v>
      </c>
      <c r="D2717" t="s">
        <v>62</v>
      </c>
      <c r="E2717" t="s">
        <v>27</v>
      </c>
      <c r="F2717">
        <v>2</v>
      </c>
      <c r="G2717">
        <v>499</v>
      </c>
      <c r="H2717">
        <v>0.1</v>
      </c>
      <c r="I2717" t="s">
        <v>47</v>
      </c>
      <c r="J2717" t="s">
        <v>36</v>
      </c>
      <c r="K2717" t="s">
        <v>17</v>
      </c>
      <c r="L2717">
        <f>F2716*G2716*(1-H2716)</f>
        <v>4999</v>
      </c>
    </row>
    <row r="2718" spans="1:12">
      <c r="A2718" t="s">
        <v>3519</v>
      </c>
      <c r="B2718" s="1">
        <v>46136</v>
      </c>
      <c r="C2718" t="s">
        <v>635</v>
      </c>
      <c r="D2718" t="s">
        <v>71</v>
      </c>
      <c r="E2718" t="s">
        <v>14</v>
      </c>
      <c r="F2718">
        <v>3</v>
      </c>
      <c r="G2718">
        <v>499</v>
      </c>
      <c r="H2718">
        <v>0.05</v>
      </c>
      <c r="I2718" t="s">
        <v>47</v>
      </c>
      <c r="J2718" t="s">
        <v>16</v>
      </c>
      <c r="K2718" t="s">
        <v>37</v>
      </c>
      <c r="L2718">
        <f>F2717*G2717*(1-H2717)</f>
        <v>898.2</v>
      </c>
    </row>
    <row r="2719" spans="1:12">
      <c r="A2719" t="s">
        <v>3520</v>
      </c>
      <c r="B2719" s="1">
        <v>46088</v>
      </c>
      <c r="C2719" t="s">
        <v>1112</v>
      </c>
      <c r="D2719" t="s">
        <v>26</v>
      </c>
      <c r="E2719" t="s">
        <v>35</v>
      </c>
      <c r="F2719">
        <v>4</v>
      </c>
      <c r="G2719">
        <v>4999</v>
      </c>
      <c r="H2719">
        <v>0</v>
      </c>
      <c r="I2719" t="s">
        <v>15</v>
      </c>
      <c r="J2719" t="s">
        <v>16</v>
      </c>
      <c r="K2719" t="s">
        <v>17</v>
      </c>
      <c r="L2719">
        <f>F2718*G2718*(1-H2718)</f>
        <v>1422.1499999999999</v>
      </c>
    </row>
    <row r="2720" spans="1:12">
      <c r="A2720" t="s">
        <v>3521</v>
      </c>
      <c r="B2720" s="1">
        <v>46062</v>
      </c>
      <c r="C2720" t="s">
        <v>448</v>
      </c>
      <c r="D2720" t="s">
        <v>56</v>
      </c>
      <c r="E2720" t="s">
        <v>35</v>
      </c>
      <c r="F2720">
        <v>2</v>
      </c>
      <c r="G2720">
        <v>499</v>
      </c>
      <c r="H2720">
        <v>0</v>
      </c>
      <c r="I2720" t="s">
        <v>32</v>
      </c>
      <c r="J2720" t="s">
        <v>36</v>
      </c>
      <c r="K2720" t="s">
        <v>17</v>
      </c>
      <c r="L2720">
        <f>F2719*G2719*(1-H2719)</f>
        <v>19996</v>
      </c>
    </row>
    <row r="2721" spans="1:12">
      <c r="A2721" t="s">
        <v>3522</v>
      </c>
      <c r="B2721" s="1">
        <v>46240</v>
      </c>
      <c r="C2721" t="s">
        <v>539</v>
      </c>
      <c r="D2721" t="s">
        <v>56</v>
      </c>
      <c r="E2721" t="s">
        <v>35</v>
      </c>
      <c r="F2721">
        <v>1</v>
      </c>
      <c r="G2721">
        <v>1299</v>
      </c>
      <c r="H2721">
        <v>0</v>
      </c>
      <c r="I2721" t="s">
        <v>50</v>
      </c>
      <c r="J2721" t="s">
        <v>16</v>
      </c>
      <c r="K2721" t="s">
        <v>17</v>
      </c>
      <c r="L2721">
        <f>F2720*G2720*(1-H2720)</f>
        <v>998</v>
      </c>
    </row>
    <row r="2722" spans="1:12">
      <c r="A2722" t="s">
        <v>3523</v>
      </c>
      <c r="B2722" s="1">
        <v>46231</v>
      </c>
      <c r="C2722" t="s">
        <v>635</v>
      </c>
      <c r="D2722" t="s">
        <v>78</v>
      </c>
      <c r="E2722" t="s">
        <v>21</v>
      </c>
      <c r="F2722">
        <v>2</v>
      </c>
      <c r="G2722">
        <v>7999</v>
      </c>
      <c r="H2722">
        <v>0.1</v>
      </c>
      <c r="I2722" t="s">
        <v>50</v>
      </c>
      <c r="J2722" t="s">
        <v>36</v>
      </c>
      <c r="K2722" t="s">
        <v>37</v>
      </c>
      <c r="L2722">
        <f>F2721*G2721*(1-H2721)</f>
        <v>1299</v>
      </c>
    </row>
    <row r="2723" spans="1:12">
      <c r="A2723" t="s">
        <v>3524</v>
      </c>
      <c r="B2723" s="1">
        <v>46197</v>
      </c>
      <c r="C2723" t="s">
        <v>58</v>
      </c>
      <c r="D2723" t="s">
        <v>43</v>
      </c>
      <c r="E2723" t="s">
        <v>35</v>
      </c>
      <c r="F2723">
        <v>5</v>
      </c>
      <c r="G2723">
        <v>4999</v>
      </c>
      <c r="H2723">
        <v>0.1</v>
      </c>
      <c r="I2723" t="s">
        <v>32</v>
      </c>
      <c r="J2723" t="s">
        <v>22</v>
      </c>
      <c r="K2723" t="s">
        <v>37</v>
      </c>
      <c r="L2723">
        <f>F2722*G2722*(1-H2722)</f>
        <v>14398.2</v>
      </c>
    </row>
    <row r="2724" spans="1:12">
      <c r="A2724" t="s">
        <v>3525</v>
      </c>
      <c r="B2724" s="1">
        <v>46113</v>
      </c>
      <c r="C2724" t="s">
        <v>331</v>
      </c>
      <c r="D2724" t="s">
        <v>31</v>
      </c>
      <c r="E2724" t="s">
        <v>40</v>
      </c>
      <c r="F2724">
        <v>1</v>
      </c>
      <c r="G2724">
        <v>1999</v>
      </c>
      <c r="H2724">
        <v>0</v>
      </c>
      <c r="I2724" t="s">
        <v>44</v>
      </c>
      <c r="J2724" t="s">
        <v>22</v>
      </c>
      <c r="K2724" t="s">
        <v>17</v>
      </c>
      <c r="L2724">
        <f>F2723*G2723*(1-H2723)</f>
        <v>22495.5</v>
      </c>
    </row>
    <row r="2725" spans="1:12">
      <c r="A2725" t="s">
        <v>3526</v>
      </c>
      <c r="B2725" s="1">
        <v>46044</v>
      </c>
      <c r="C2725" t="s">
        <v>1333</v>
      </c>
      <c r="D2725" t="s">
        <v>62</v>
      </c>
      <c r="E2725" t="s">
        <v>14</v>
      </c>
      <c r="F2725">
        <v>2</v>
      </c>
      <c r="G2725">
        <v>1499</v>
      </c>
      <c r="H2725">
        <v>0</v>
      </c>
      <c r="I2725" t="s">
        <v>32</v>
      </c>
      <c r="J2725" t="s">
        <v>28</v>
      </c>
      <c r="K2725" t="s">
        <v>17</v>
      </c>
      <c r="L2725">
        <f>F2724*G2724*(1-H2724)</f>
        <v>1999</v>
      </c>
    </row>
    <row r="2726" spans="1:12">
      <c r="A2726" t="s">
        <v>3527</v>
      </c>
      <c r="B2726" s="1">
        <v>46290</v>
      </c>
      <c r="C2726" t="s">
        <v>475</v>
      </c>
      <c r="D2726" t="s">
        <v>62</v>
      </c>
      <c r="E2726" t="s">
        <v>40</v>
      </c>
      <c r="F2726">
        <v>1</v>
      </c>
      <c r="G2726">
        <v>799</v>
      </c>
      <c r="H2726">
        <v>0</v>
      </c>
      <c r="I2726" t="s">
        <v>44</v>
      </c>
      <c r="J2726" t="s">
        <v>36</v>
      </c>
      <c r="K2726" t="s">
        <v>17</v>
      </c>
      <c r="L2726">
        <f>F2725*G2725*(1-H2725)</f>
        <v>2998</v>
      </c>
    </row>
    <row r="2727" spans="1:12">
      <c r="A2727" t="s">
        <v>3528</v>
      </c>
      <c r="B2727" s="1">
        <v>46258</v>
      </c>
      <c r="C2727" t="s">
        <v>633</v>
      </c>
      <c r="D2727" t="s">
        <v>78</v>
      </c>
      <c r="E2727" t="s">
        <v>14</v>
      </c>
      <c r="F2727">
        <v>2</v>
      </c>
      <c r="G2727">
        <v>999</v>
      </c>
      <c r="H2727">
        <v>0.05</v>
      </c>
      <c r="I2727" t="s">
        <v>32</v>
      </c>
      <c r="J2727" t="s">
        <v>22</v>
      </c>
      <c r="K2727" t="s">
        <v>17</v>
      </c>
      <c r="L2727">
        <f>F2726*G2726*(1-H2726)</f>
        <v>799</v>
      </c>
    </row>
    <row r="2728" spans="1:12">
      <c r="A2728" t="s">
        <v>3529</v>
      </c>
      <c r="B2728" s="1">
        <v>46182</v>
      </c>
      <c r="C2728" t="s">
        <v>3530</v>
      </c>
      <c r="D2728" t="s">
        <v>59</v>
      </c>
      <c r="E2728" t="s">
        <v>40</v>
      </c>
      <c r="F2728">
        <v>2</v>
      </c>
      <c r="G2728">
        <v>999</v>
      </c>
      <c r="H2728">
        <v>0.15</v>
      </c>
      <c r="I2728" t="s">
        <v>44</v>
      </c>
      <c r="J2728" t="s">
        <v>28</v>
      </c>
      <c r="K2728" t="s">
        <v>17</v>
      </c>
      <c r="L2728">
        <f>F2727*G2727*(1-H2727)</f>
        <v>1898.1</v>
      </c>
    </row>
    <row r="2729" spans="1:12">
      <c r="A2729" t="s">
        <v>3531</v>
      </c>
      <c r="B2729" s="1">
        <v>46160</v>
      </c>
      <c r="C2729" t="s">
        <v>1486</v>
      </c>
      <c r="D2729" t="s">
        <v>20</v>
      </c>
      <c r="E2729" t="s">
        <v>40</v>
      </c>
      <c r="F2729">
        <v>1</v>
      </c>
      <c r="G2729">
        <v>499</v>
      </c>
      <c r="H2729">
        <v>0.15</v>
      </c>
      <c r="I2729" t="s">
        <v>50</v>
      </c>
      <c r="J2729" t="s">
        <v>16</v>
      </c>
      <c r="K2729" t="s">
        <v>17</v>
      </c>
      <c r="L2729">
        <f>F2728*G2728*(1-H2728)</f>
        <v>1698.3</v>
      </c>
    </row>
    <row r="2730" spans="1:12">
      <c r="A2730" t="s">
        <v>3532</v>
      </c>
      <c r="B2730" s="1">
        <v>46256</v>
      </c>
      <c r="C2730" t="s">
        <v>489</v>
      </c>
      <c r="D2730" t="s">
        <v>20</v>
      </c>
      <c r="E2730" t="s">
        <v>40</v>
      </c>
      <c r="F2730">
        <v>5</v>
      </c>
      <c r="G2730">
        <v>4999</v>
      </c>
      <c r="H2730">
        <v>0</v>
      </c>
      <c r="I2730" t="s">
        <v>44</v>
      </c>
      <c r="J2730" t="s">
        <v>51</v>
      </c>
      <c r="K2730" t="s">
        <v>17</v>
      </c>
      <c r="L2730">
        <f>F2729*G2729*(1-H2729)</f>
        <v>424.15</v>
      </c>
    </row>
    <row r="2731" spans="1:12">
      <c r="A2731" t="s">
        <v>3533</v>
      </c>
      <c r="B2731" s="1">
        <v>46123</v>
      </c>
      <c r="C2731" t="s">
        <v>1085</v>
      </c>
      <c r="D2731" t="s">
        <v>59</v>
      </c>
      <c r="E2731" t="s">
        <v>27</v>
      </c>
      <c r="F2731">
        <v>4</v>
      </c>
      <c r="G2731">
        <v>499</v>
      </c>
      <c r="H2731">
        <v>0</v>
      </c>
      <c r="I2731" t="s">
        <v>50</v>
      </c>
      <c r="J2731" t="s">
        <v>16</v>
      </c>
      <c r="K2731" t="s">
        <v>17</v>
      </c>
      <c r="L2731">
        <f>F2730*G2730*(1-H2730)</f>
        <v>24995</v>
      </c>
    </row>
    <row r="2732" spans="1:12">
      <c r="A2732" t="s">
        <v>3534</v>
      </c>
      <c r="B2732" s="1">
        <v>46221</v>
      </c>
      <c r="C2732" t="s">
        <v>1062</v>
      </c>
      <c r="D2732" t="s">
        <v>31</v>
      </c>
      <c r="E2732" t="s">
        <v>14</v>
      </c>
      <c r="F2732">
        <v>3</v>
      </c>
      <c r="G2732">
        <v>999</v>
      </c>
      <c r="H2732">
        <v>0</v>
      </c>
      <c r="I2732" t="s">
        <v>32</v>
      </c>
      <c r="J2732" t="s">
        <v>36</v>
      </c>
      <c r="K2732" t="s">
        <v>17</v>
      </c>
      <c r="L2732">
        <f>F2731*G2731*(1-H2731)</f>
        <v>1996</v>
      </c>
    </row>
    <row r="2733" spans="1:12">
      <c r="A2733" t="s">
        <v>3535</v>
      </c>
      <c r="B2733" s="1">
        <v>46273</v>
      </c>
      <c r="C2733" t="s">
        <v>2697</v>
      </c>
      <c r="D2733" t="s">
        <v>20</v>
      </c>
      <c r="E2733" t="s">
        <v>14</v>
      </c>
      <c r="F2733">
        <v>4</v>
      </c>
      <c r="G2733">
        <v>1499</v>
      </c>
      <c r="H2733">
        <v>0.15</v>
      </c>
      <c r="I2733" t="s">
        <v>47</v>
      </c>
      <c r="J2733" t="s">
        <v>22</v>
      </c>
      <c r="K2733" t="s">
        <v>37</v>
      </c>
      <c r="L2733">
        <f>F2732*G2732*(1-H2732)</f>
        <v>2997</v>
      </c>
    </row>
    <row r="2734" spans="1:12">
      <c r="A2734" t="s">
        <v>3536</v>
      </c>
      <c r="B2734" s="1">
        <v>46229</v>
      </c>
      <c r="C2734" t="s">
        <v>230</v>
      </c>
      <c r="D2734" t="s">
        <v>59</v>
      </c>
      <c r="E2734" t="s">
        <v>35</v>
      </c>
      <c r="F2734">
        <v>5</v>
      </c>
      <c r="G2734">
        <v>599</v>
      </c>
      <c r="H2734">
        <v>0</v>
      </c>
      <c r="I2734" t="s">
        <v>47</v>
      </c>
      <c r="J2734" t="s">
        <v>28</v>
      </c>
      <c r="K2734" t="s">
        <v>17</v>
      </c>
      <c r="L2734">
        <f>F2733*G2733*(1-H2733)</f>
        <v>5096.5999999999995</v>
      </c>
    </row>
    <row r="2735" spans="1:12">
      <c r="A2735" t="s">
        <v>3537</v>
      </c>
      <c r="B2735" s="1">
        <v>46256</v>
      </c>
      <c r="C2735" t="s">
        <v>631</v>
      </c>
      <c r="D2735" t="s">
        <v>31</v>
      </c>
      <c r="E2735" t="s">
        <v>40</v>
      </c>
      <c r="F2735">
        <v>1</v>
      </c>
      <c r="G2735">
        <v>999</v>
      </c>
      <c r="H2735">
        <v>0.1</v>
      </c>
      <c r="I2735" t="s">
        <v>50</v>
      </c>
      <c r="J2735" t="s">
        <v>36</v>
      </c>
      <c r="K2735" t="s">
        <v>23</v>
      </c>
      <c r="L2735">
        <f>F2734*G2734*(1-H2734)</f>
        <v>2995</v>
      </c>
    </row>
    <row r="2736" spans="1:12">
      <c r="A2736" t="s">
        <v>3538</v>
      </c>
      <c r="B2736" s="1">
        <v>46104</v>
      </c>
      <c r="C2736" t="s">
        <v>2403</v>
      </c>
      <c r="D2736" t="s">
        <v>62</v>
      </c>
      <c r="E2736" t="s">
        <v>27</v>
      </c>
      <c r="F2736">
        <v>2</v>
      </c>
      <c r="G2736">
        <v>999</v>
      </c>
      <c r="H2736">
        <v>0</v>
      </c>
      <c r="I2736" t="s">
        <v>15</v>
      </c>
      <c r="J2736" t="s">
        <v>28</v>
      </c>
      <c r="K2736" t="s">
        <v>17</v>
      </c>
      <c r="L2736">
        <f>F2735*G2735*(1-H2735)</f>
        <v>899.1</v>
      </c>
    </row>
    <row r="2737" spans="1:12">
      <c r="A2737" t="s">
        <v>3539</v>
      </c>
      <c r="B2737" s="1">
        <v>46257</v>
      </c>
      <c r="C2737" t="s">
        <v>1724</v>
      </c>
      <c r="D2737" t="s">
        <v>78</v>
      </c>
      <c r="E2737" t="s">
        <v>21</v>
      </c>
      <c r="F2737">
        <v>1</v>
      </c>
      <c r="G2737">
        <v>799</v>
      </c>
      <c r="H2737">
        <v>0</v>
      </c>
      <c r="I2737" t="s">
        <v>47</v>
      </c>
      <c r="J2737" t="s">
        <v>16</v>
      </c>
      <c r="K2737" t="s">
        <v>17</v>
      </c>
      <c r="L2737">
        <f>F2736*G2736*(1-H2736)</f>
        <v>1998</v>
      </c>
    </row>
    <row r="2738" spans="1:12">
      <c r="A2738" t="s">
        <v>3540</v>
      </c>
      <c r="B2738" s="1">
        <v>46071</v>
      </c>
      <c r="C2738" t="s">
        <v>271</v>
      </c>
      <c r="D2738" t="s">
        <v>26</v>
      </c>
      <c r="E2738" t="s">
        <v>14</v>
      </c>
      <c r="F2738">
        <v>2</v>
      </c>
      <c r="G2738">
        <v>499</v>
      </c>
      <c r="H2738">
        <v>0.15</v>
      </c>
      <c r="I2738" t="s">
        <v>15</v>
      </c>
      <c r="J2738" t="s">
        <v>16</v>
      </c>
      <c r="K2738" t="s">
        <v>17</v>
      </c>
      <c r="L2738">
        <f>F2737*G2737*(1-H2737)</f>
        <v>799</v>
      </c>
    </row>
    <row r="2739" spans="1:12">
      <c r="A2739" t="s">
        <v>3541</v>
      </c>
      <c r="B2739" s="1">
        <v>46287</v>
      </c>
      <c r="C2739" t="s">
        <v>688</v>
      </c>
      <c r="D2739" t="s">
        <v>62</v>
      </c>
      <c r="E2739" t="s">
        <v>21</v>
      </c>
      <c r="F2739">
        <v>4</v>
      </c>
      <c r="G2739">
        <v>799</v>
      </c>
      <c r="H2739">
        <v>0.15</v>
      </c>
      <c r="I2739" t="s">
        <v>47</v>
      </c>
      <c r="J2739" t="s">
        <v>22</v>
      </c>
      <c r="K2739" t="s">
        <v>37</v>
      </c>
      <c r="L2739">
        <f>F2738*G2738*(1-H2738)</f>
        <v>848.3</v>
      </c>
    </row>
    <row r="2740" spans="1:12">
      <c r="A2740" t="s">
        <v>3542</v>
      </c>
      <c r="B2740" s="1">
        <v>46099</v>
      </c>
      <c r="C2740" t="s">
        <v>720</v>
      </c>
      <c r="D2740" t="s">
        <v>26</v>
      </c>
      <c r="E2740" t="s">
        <v>35</v>
      </c>
      <c r="F2740">
        <v>2</v>
      </c>
      <c r="G2740">
        <v>1299</v>
      </c>
      <c r="H2740">
        <v>0.15</v>
      </c>
      <c r="I2740" t="s">
        <v>50</v>
      </c>
      <c r="J2740" t="s">
        <v>36</v>
      </c>
      <c r="K2740" t="s">
        <v>17</v>
      </c>
      <c r="L2740">
        <f>F2739*G2739*(1-H2739)</f>
        <v>2716.6</v>
      </c>
    </row>
    <row r="2741" spans="1:12">
      <c r="A2741" t="s">
        <v>3543</v>
      </c>
      <c r="B2741" s="1">
        <v>46072</v>
      </c>
      <c r="C2741" t="s">
        <v>1923</v>
      </c>
      <c r="D2741" t="s">
        <v>56</v>
      </c>
      <c r="E2741" t="s">
        <v>21</v>
      </c>
      <c r="F2741">
        <v>4</v>
      </c>
      <c r="G2741">
        <v>1999</v>
      </c>
      <c r="H2741">
        <v>0.15</v>
      </c>
      <c r="I2741" t="s">
        <v>47</v>
      </c>
      <c r="J2741" t="s">
        <v>36</v>
      </c>
      <c r="K2741" t="s">
        <v>23</v>
      </c>
      <c r="L2741">
        <f>F2740*G2740*(1-H2740)</f>
        <v>2208.2999999999997</v>
      </c>
    </row>
    <row r="2742" spans="1:12">
      <c r="A2742" t="s">
        <v>3544</v>
      </c>
      <c r="B2742" s="1">
        <v>46260</v>
      </c>
      <c r="C2742" t="s">
        <v>158</v>
      </c>
      <c r="D2742" t="s">
        <v>71</v>
      </c>
      <c r="E2742" t="s">
        <v>27</v>
      </c>
      <c r="F2742">
        <v>5</v>
      </c>
      <c r="G2742">
        <v>1999</v>
      </c>
      <c r="H2742">
        <v>0.15</v>
      </c>
      <c r="I2742" t="s">
        <v>44</v>
      </c>
      <c r="J2742" t="s">
        <v>22</v>
      </c>
      <c r="K2742" t="s">
        <v>17</v>
      </c>
      <c r="L2742">
        <f>F2741*G2741*(1-H2741)</f>
        <v>6796.5999999999995</v>
      </c>
    </row>
    <row r="2743" spans="1:12">
      <c r="A2743" t="s">
        <v>3545</v>
      </c>
      <c r="B2743" s="1">
        <v>46192</v>
      </c>
      <c r="C2743" t="s">
        <v>201</v>
      </c>
      <c r="D2743" t="s">
        <v>43</v>
      </c>
      <c r="E2743" t="s">
        <v>40</v>
      </c>
      <c r="F2743">
        <v>5</v>
      </c>
      <c r="G2743">
        <v>4999</v>
      </c>
      <c r="H2743">
        <v>0</v>
      </c>
      <c r="I2743" t="s">
        <v>47</v>
      </c>
      <c r="J2743" t="s">
        <v>22</v>
      </c>
      <c r="K2743" t="s">
        <v>37</v>
      </c>
      <c r="L2743">
        <f>F2742*G2742*(1-H2742)</f>
        <v>8495.75</v>
      </c>
    </row>
    <row r="2744" spans="1:12">
      <c r="A2744" t="s">
        <v>3546</v>
      </c>
      <c r="B2744" s="1">
        <v>46057</v>
      </c>
      <c r="C2744" t="s">
        <v>1042</v>
      </c>
      <c r="D2744" t="s">
        <v>78</v>
      </c>
      <c r="E2744" t="s">
        <v>14</v>
      </c>
      <c r="F2744">
        <v>3</v>
      </c>
      <c r="G2744">
        <v>1299</v>
      </c>
      <c r="H2744">
        <v>0.05</v>
      </c>
      <c r="I2744" t="s">
        <v>50</v>
      </c>
      <c r="J2744" t="s">
        <v>36</v>
      </c>
      <c r="K2744" t="s">
        <v>17</v>
      </c>
      <c r="L2744">
        <f>F2743*G2743*(1-H2743)</f>
        <v>24995</v>
      </c>
    </row>
    <row r="2745" spans="1:12">
      <c r="A2745" t="s">
        <v>3547</v>
      </c>
      <c r="B2745" s="1">
        <v>46232</v>
      </c>
      <c r="C2745" t="s">
        <v>1663</v>
      </c>
      <c r="D2745" t="s">
        <v>56</v>
      </c>
      <c r="E2745" t="s">
        <v>40</v>
      </c>
      <c r="F2745">
        <v>2</v>
      </c>
      <c r="G2745">
        <v>1999</v>
      </c>
      <c r="H2745">
        <v>0.05</v>
      </c>
      <c r="I2745" t="s">
        <v>47</v>
      </c>
      <c r="J2745" t="s">
        <v>51</v>
      </c>
      <c r="K2745" t="s">
        <v>17</v>
      </c>
      <c r="L2745">
        <f>F2744*G2744*(1-H2744)</f>
        <v>3702.1499999999996</v>
      </c>
    </row>
    <row r="2746" spans="1:12">
      <c r="A2746" t="s">
        <v>3548</v>
      </c>
      <c r="B2746" s="1">
        <v>46106</v>
      </c>
      <c r="C2746" t="s">
        <v>2322</v>
      </c>
      <c r="D2746" t="s">
        <v>62</v>
      </c>
      <c r="E2746" t="s">
        <v>21</v>
      </c>
      <c r="F2746">
        <v>3</v>
      </c>
      <c r="G2746">
        <v>999</v>
      </c>
      <c r="H2746">
        <v>0.1</v>
      </c>
      <c r="I2746" t="s">
        <v>32</v>
      </c>
      <c r="J2746" t="s">
        <v>22</v>
      </c>
      <c r="K2746" t="s">
        <v>17</v>
      </c>
      <c r="L2746">
        <f>F2745*G2745*(1-H2745)</f>
        <v>3798.1</v>
      </c>
    </row>
    <row r="2747" spans="1:12">
      <c r="A2747" t="s">
        <v>3549</v>
      </c>
      <c r="B2747" s="1">
        <v>46215</v>
      </c>
      <c r="C2747" t="s">
        <v>646</v>
      </c>
      <c r="D2747" t="s">
        <v>31</v>
      </c>
      <c r="E2747" t="s">
        <v>14</v>
      </c>
      <c r="F2747">
        <v>2</v>
      </c>
      <c r="G2747">
        <v>599</v>
      </c>
      <c r="H2747">
        <v>0.05</v>
      </c>
      <c r="I2747" t="s">
        <v>15</v>
      </c>
      <c r="J2747" t="s">
        <v>36</v>
      </c>
      <c r="K2747" t="s">
        <v>17</v>
      </c>
      <c r="L2747">
        <f>F2746*G2746*(1-H2746)</f>
        <v>2697.3</v>
      </c>
    </row>
    <row r="2748" spans="1:12">
      <c r="A2748" t="s">
        <v>3550</v>
      </c>
      <c r="B2748" s="1">
        <v>46074</v>
      </c>
      <c r="C2748" t="s">
        <v>1993</v>
      </c>
      <c r="D2748" t="s">
        <v>62</v>
      </c>
      <c r="E2748" t="s">
        <v>14</v>
      </c>
      <c r="F2748">
        <v>2</v>
      </c>
      <c r="G2748">
        <v>1299</v>
      </c>
      <c r="H2748">
        <v>0</v>
      </c>
      <c r="I2748" t="s">
        <v>47</v>
      </c>
      <c r="J2748" t="s">
        <v>36</v>
      </c>
      <c r="K2748" t="s">
        <v>17</v>
      </c>
      <c r="L2748">
        <f>F2747*G2747*(1-H2747)</f>
        <v>1138.0999999999999</v>
      </c>
    </row>
    <row r="2749" spans="1:12">
      <c r="A2749" t="s">
        <v>3551</v>
      </c>
      <c r="B2749" s="1">
        <v>46035</v>
      </c>
      <c r="C2749" t="s">
        <v>2553</v>
      </c>
      <c r="D2749" t="s">
        <v>43</v>
      </c>
      <c r="E2749" t="s">
        <v>40</v>
      </c>
      <c r="F2749">
        <v>1</v>
      </c>
      <c r="G2749">
        <v>799</v>
      </c>
      <c r="H2749">
        <v>0.05</v>
      </c>
      <c r="I2749" t="s">
        <v>47</v>
      </c>
      <c r="J2749" t="s">
        <v>16</v>
      </c>
      <c r="K2749" t="s">
        <v>17</v>
      </c>
      <c r="L2749">
        <f>F2748*G2748*(1-H2748)</f>
        <v>2598</v>
      </c>
    </row>
    <row r="2750" spans="1:12">
      <c r="A2750" t="s">
        <v>3552</v>
      </c>
      <c r="B2750" s="1">
        <v>46105</v>
      </c>
      <c r="C2750" t="s">
        <v>969</v>
      </c>
      <c r="D2750" t="s">
        <v>71</v>
      </c>
      <c r="E2750" t="s">
        <v>14</v>
      </c>
      <c r="F2750">
        <v>5</v>
      </c>
      <c r="G2750">
        <v>4999</v>
      </c>
      <c r="H2750">
        <v>0.05</v>
      </c>
      <c r="I2750" t="s">
        <v>32</v>
      </c>
      <c r="J2750" t="s">
        <v>16</v>
      </c>
      <c r="K2750" t="s">
        <v>17</v>
      </c>
      <c r="L2750">
        <f>F2749*G2749*(1-H2749)</f>
        <v>759.05</v>
      </c>
    </row>
    <row r="2751" spans="1:12">
      <c r="A2751" t="s">
        <v>3553</v>
      </c>
      <c r="B2751" s="1">
        <v>46230</v>
      </c>
      <c r="C2751" t="s">
        <v>3204</v>
      </c>
      <c r="D2751" t="s">
        <v>71</v>
      </c>
      <c r="E2751" t="s">
        <v>35</v>
      </c>
      <c r="F2751">
        <v>2</v>
      </c>
      <c r="G2751">
        <v>1999</v>
      </c>
      <c r="H2751">
        <v>0.05</v>
      </c>
      <c r="I2751" t="s">
        <v>44</v>
      </c>
      <c r="J2751" t="s">
        <v>51</v>
      </c>
      <c r="K2751" t="s">
        <v>17</v>
      </c>
      <c r="L2751">
        <f>F2750*G2750*(1-H2750)</f>
        <v>23745.25</v>
      </c>
    </row>
    <row r="2752" spans="1:12">
      <c r="A2752" t="s">
        <v>3554</v>
      </c>
      <c r="B2752" s="1">
        <v>46262</v>
      </c>
      <c r="C2752" t="s">
        <v>1353</v>
      </c>
      <c r="D2752" t="s">
        <v>56</v>
      </c>
      <c r="E2752" t="s">
        <v>35</v>
      </c>
      <c r="F2752">
        <v>3</v>
      </c>
      <c r="G2752">
        <v>7999</v>
      </c>
      <c r="H2752">
        <v>0.05</v>
      </c>
      <c r="I2752" t="s">
        <v>44</v>
      </c>
      <c r="J2752" t="s">
        <v>16</v>
      </c>
      <c r="K2752" t="s">
        <v>37</v>
      </c>
      <c r="L2752">
        <f>F2751*G2751*(1-H2751)</f>
        <v>3798.1</v>
      </c>
    </row>
    <row r="2753" spans="1:12">
      <c r="A2753" t="s">
        <v>3555</v>
      </c>
      <c r="B2753" s="1">
        <v>46167</v>
      </c>
      <c r="C2753" t="s">
        <v>1444</v>
      </c>
      <c r="D2753" t="s">
        <v>43</v>
      </c>
      <c r="E2753" t="s">
        <v>21</v>
      </c>
      <c r="F2753">
        <v>2</v>
      </c>
      <c r="G2753">
        <v>599</v>
      </c>
      <c r="H2753">
        <v>0.1</v>
      </c>
      <c r="I2753" t="s">
        <v>47</v>
      </c>
      <c r="J2753" t="s">
        <v>22</v>
      </c>
      <c r="K2753" t="s">
        <v>37</v>
      </c>
      <c r="L2753">
        <f>F2752*G2752*(1-H2752)</f>
        <v>22797.149999999998</v>
      </c>
    </row>
    <row r="2754" spans="1:12">
      <c r="A2754" t="s">
        <v>3556</v>
      </c>
      <c r="B2754" s="1">
        <v>46163</v>
      </c>
      <c r="C2754" t="s">
        <v>2073</v>
      </c>
      <c r="D2754" t="s">
        <v>43</v>
      </c>
      <c r="E2754" t="s">
        <v>40</v>
      </c>
      <c r="F2754">
        <v>4</v>
      </c>
      <c r="G2754">
        <v>1999</v>
      </c>
      <c r="H2754">
        <v>0.15</v>
      </c>
      <c r="I2754" t="s">
        <v>44</v>
      </c>
      <c r="J2754" t="s">
        <v>36</v>
      </c>
      <c r="K2754" t="s">
        <v>37</v>
      </c>
      <c r="L2754">
        <f>F2753*G2753*(1-H2753)</f>
        <v>1078.2</v>
      </c>
    </row>
    <row r="2755" spans="1:12">
      <c r="A2755" t="s">
        <v>3557</v>
      </c>
      <c r="B2755" s="1">
        <v>46186</v>
      </c>
      <c r="C2755" t="s">
        <v>357</v>
      </c>
      <c r="D2755" t="s">
        <v>71</v>
      </c>
      <c r="E2755" t="s">
        <v>14</v>
      </c>
      <c r="F2755">
        <v>3</v>
      </c>
      <c r="G2755">
        <v>7999</v>
      </c>
      <c r="H2755">
        <v>0.15</v>
      </c>
      <c r="I2755" t="s">
        <v>15</v>
      </c>
      <c r="J2755" t="s">
        <v>22</v>
      </c>
      <c r="K2755" t="s">
        <v>17</v>
      </c>
      <c r="L2755">
        <f>F2754*G2754*(1-H2754)</f>
        <v>6796.5999999999995</v>
      </c>
    </row>
    <row r="2756" spans="1:12">
      <c r="A2756" t="s">
        <v>3558</v>
      </c>
      <c r="B2756" s="1">
        <v>46244</v>
      </c>
      <c r="C2756" t="s">
        <v>896</v>
      </c>
      <c r="D2756" t="s">
        <v>71</v>
      </c>
      <c r="E2756" t="s">
        <v>21</v>
      </c>
      <c r="F2756">
        <v>5</v>
      </c>
      <c r="G2756">
        <v>1299</v>
      </c>
      <c r="H2756">
        <v>0.15</v>
      </c>
      <c r="I2756" t="s">
        <v>47</v>
      </c>
      <c r="J2756" t="s">
        <v>22</v>
      </c>
      <c r="K2756" t="s">
        <v>17</v>
      </c>
      <c r="L2756">
        <f>F2755*G2755*(1-H2755)</f>
        <v>20397.45</v>
      </c>
    </row>
    <row r="2757" spans="1:12">
      <c r="A2757" t="s">
        <v>3559</v>
      </c>
      <c r="B2757" s="1">
        <v>46274</v>
      </c>
      <c r="C2757" t="s">
        <v>331</v>
      </c>
      <c r="D2757" t="s">
        <v>31</v>
      </c>
      <c r="E2757" t="s">
        <v>35</v>
      </c>
      <c r="F2757">
        <v>4</v>
      </c>
      <c r="G2757">
        <v>499</v>
      </c>
      <c r="H2757">
        <v>0.15</v>
      </c>
      <c r="I2757" t="s">
        <v>32</v>
      </c>
      <c r="J2757" t="s">
        <v>51</v>
      </c>
      <c r="K2757" t="s">
        <v>17</v>
      </c>
      <c r="L2757">
        <f>F2756*G2756*(1-H2756)</f>
        <v>5520.75</v>
      </c>
    </row>
    <row r="2758" spans="1:12">
      <c r="A2758" t="s">
        <v>3560</v>
      </c>
      <c r="B2758" s="1">
        <v>46147</v>
      </c>
      <c r="C2758" t="s">
        <v>1646</v>
      </c>
      <c r="D2758" t="s">
        <v>71</v>
      </c>
      <c r="E2758" t="s">
        <v>27</v>
      </c>
      <c r="F2758">
        <v>4</v>
      </c>
      <c r="G2758">
        <v>999</v>
      </c>
      <c r="H2758">
        <v>0.15</v>
      </c>
      <c r="I2758" t="s">
        <v>50</v>
      </c>
      <c r="J2758" t="s">
        <v>22</v>
      </c>
      <c r="K2758" t="s">
        <v>23</v>
      </c>
      <c r="L2758">
        <f>F2757*G2757*(1-H2757)</f>
        <v>1696.6</v>
      </c>
    </row>
    <row r="2759" spans="1:12">
      <c r="A2759" t="s">
        <v>3561</v>
      </c>
      <c r="B2759" s="1">
        <v>46256</v>
      </c>
      <c r="C2759" t="s">
        <v>66</v>
      </c>
      <c r="D2759" t="s">
        <v>78</v>
      </c>
      <c r="E2759" t="s">
        <v>27</v>
      </c>
      <c r="F2759">
        <v>2</v>
      </c>
      <c r="G2759">
        <v>999</v>
      </c>
      <c r="H2759">
        <v>0</v>
      </c>
      <c r="I2759" t="s">
        <v>44</v>
      </c>
      <c r="J2759" t="s">
        <v>22</v>
      </c>
      <c r="K2759" t="s">
        <v>17</v>
      </c>
      <c r="L2759">
        <f>F2758*G2758*(1-H2758)</f>
        <v>3396.6</v>
      </c>
    </row>
    <row r="2760" spans="1:12">
      <c r="A2760" t="s">
        <v>3562</v>
      </c>
      <c r="B2760" s="1">
        <v>46275</v>
      </c>
      <c r="C2760" t="s">
        <v>2251</v>
      </c>
      <c r="D2760" t="s">
        <v>71</v>
      </c>
      <c r="E2760" t="s">
        <v>14</v>
      </c>
      <c r="F2760">
        <v>5</v>
      </c>
      <c r="G2760">
        <v>599</v>
      </c>
      <c r="H2760">
        <v>0.15</v>
      </c>
      <c r="I2760" t="s">
        <v>50</v>
      </c>
      <c r="J2760" t="s">
        <v>51</v>
      </c>
      <c r="K2760" t="s">
        <v>17</v>
      </c>
      <c r="L2760">
        <f>F2759*G2759*(1-H2759)</f>
        <v>1998</v>
      </c>
    </row>
    <row r="2761" spans="1:12">
      <c r="A2761" t="s">
        <v>3563</v>
      </c>
      <c r="B2761" s="1">
        <v>46198</v>
      </c>
      <c r="C2761" t="s">
        <v>530</v>
      </c>
      <c r="D2761" t="s">
        <v>78</v>
      </c>
      <c r="E2761" t="s">
        <v>14</v>
      </c>
      <c r="F2761">
        <v>2</v>
      </c>
      <c r="G2761">
        <v>2499</v>
      </c>
      <c r="H2761">
        <v>0</v>
      </c>
      <c r="I2761" t="s">
        <v>15</v>
      </c>
      <c r="J2761" t="s">
        <v>36</v>
      </c>
      <c r="K2761" t="s">
        <v>23</v>
      </c>
      <c r="L2761">
        <f>F2760*G2760*(1-H2760)</f>
        <v>2545.75</v>
      </c>
    </row>
    <row r="2762" spans="1:12">
      <c r="A2762" t="s">
        <v>3564</v>
      </c>
      <c r="B2762" s="1">
        <v>46143</v>
      </c>
      <c r="C2762" t="s">
        <v>257</v>
      </c>
      <c r="D2762" t="s">
        <v>59</v>
      </c>
      <c r="E2762" t="s">
        <v>14</v>
      </c>
      <c r="F2762">
        <v>5</v>
      </c>
      <c r="G2762">
        <v>1499</v>
      </c>
      <c r="H2762">
        <v>0.15</v>
      </c>
      <c r="I2762" t="s">
        <v>44</v>
      </c>
      <c r="J2762" t="s">
        <v>16</v>
      </c>
      <c r="K2762" t="s">
        <v>23</v>
      </c>
      <c r="L2762">
        <f>F2761*G2761*(1-H2761)</f>
        <v>4998</v>
      </c>
    </row>
    <row r="2763" spans="1:12">
      <c r="A2763" t="s">
        <v>3565</v>
      </c>
      <c r="B2763" s="1">
        <v>46292</v>
      </c>
      <c r="C2763" t="s">
        <v>2032</v>
      </c>
      <c r="D2763" t="s">
        <v>78</v>
      </c>
      <c r="E2763" t="s">
        <v>14</v>
      </c>
      <c r="F2763">
        <v>5</v>
      </c>
      <c r="G2763">
        <v>599</v>
      </c>
      <c r="H2763">
        <v>0.05</v>
      </c>
      <c r="I2763" t="s">
        <v>50</v>
      </c>
      <c r="J2763" t="s">
        <v>16</v>
      </c>
      <c r="K2763" t="s">
        <v>37</v>
      </c>
      <c r="L2763">
        <f>F2762*G2762*(1-H2762)</f>
        <v>6370.75</v>
      </c>
    </row>
    <row r="2764" spans="1:12">
      <c r="A2764" t="s">
        <v>3566</v>
      </c>
      <c r="B2764" s="1">
        <v>46156</v>
      </c>
      <c r="C2764" t="s">
        <v>545</v>
      </c>
      <c r="D2764" t="s">
        <v>13</v>
      </c>
      <c r="E2764" t="s">
        <v>27</v>
      </c>
      <c r="F2764">
        <v>5</v>
      </c>
      <c r="G2764">
        <v>7999</v>
      </c>
      <c r="H2764">
        <v>0</v>
      </c>
      <c r="I2764" t="s">
        <v>15</v>
      </c>
      <c r="J2764" t="s">
        <v>22</v>
      </c>
      <c r="K2764" t="s">
        <v>23</v>
      </c>
      <c r="L2764">
        <f>F2763*G2763*(1-H2763)</f>
        <v>2845.25</v>
      </c>
    </row>
    <row r="2765" spans="1:12">
      <c r="A2765" t="s">
        <v>3567</v>
      </c>
      <c r="B2765" s="1">
        <v>46259</v>
      </c>
      <c r="C2765" t="s">
        <v>534</v>
      </c>
      <c r="D2765" t="s">
        <v>71</v>
      </c>
      <c r="E2765" t="s">
        <v>35</v>
      </c>
      <c r="F2765">
        <v>5</v>
      </c>
      <c r="G2765">
        <v>1299</v>
      </c>
      <c r="H2765">
        <v>0</v>
      </c>
      <c r="I2765" t="s">
        <v>47</v>
      </c>
      <c r="J2765" t="s">
        <v>36</v>
      </c>
      <c r="K2765" t="s">
        <v>17</v>
      </c>
      <c r="L2765">
        <f>F2764*G2764*(1-H2764)</f>
        <v>39995</v>
      </c>
    </row>
    <row r="2766" spans="1:12">
      <c r="A2766" t="s">
        <v>3568</v>
      </c>
      <c r="B2766" s="1">
        <v>46260</v>
      </c>
      <c r="C2766" t="s">
        <v>423</v>
      </c>
      <c r="D2766" t="s">
        <v>43</v>
      </c>
      <c r="E2766" t="s">
        <v>40</v>
      </c>
      <c r="F2766">
        <v>4</v>
      </c>
      <c r="G2766">
        <v>7999</v>
      </c>
      <c r="H2766">
        <v>0</v>
      </c>
      <c r="I2766" t="s">
        <v>50</v>
      </c>
      <c r="J2766" t="s">
        <v>36</v>
      </c>
      <c r="K2766" t="s">
        <v>37</v>
      </c>
      <c r="L2766">
        <f>F2765*G2765*(1-H2765)</f>
        <v>6495</v>
      </c>
    </row>
    <row r="2767" spans="1:12">
      <c r="A2767" t="s">
        <v>3569</v>
      </c>
      <c r="B2767" s="1">
        <v>46224</v>
      </c>
      <c r="C2767" t="s">
        <v>1165</v>
      </c>
      <c r="D2767" t="s">
        <v>26</v>
      </c>
      <c r="E2767" t="s">
        <v>35</v>
      </c>
      <c r="F2767">
        <v>5</v>
      </c>
      <c r="G2767">
        <v>799</v>
      </c>
      <c r="H2767">
        <v>0</v>
      </c>
      <c r="I2767" t="s">
        <v>44</v>
      </c>
      <c r="J2767" t="s">
        <v>36</v>
      </c>
      <c r="K2767" t="s">
        <v>17</v>
      </c>
      <c r="L2767">
        <f>F2766*G2766*(1-H2766)</f>
        <v>31996</v>
      </c>
    </row>
    <row r="2768" spans="1:12">
      <c r="A2768" t="s">
        <v>3570</v>
      </c>
      <c r="B2768" s="1">
        <v>46051</v>
      </c>
      <c r="C2768" t="s">
        <v>982</v>
      </c>
      <c r="D2768" t="s">
        <v>59</v>
      </c>
      <c r="E2768" t="s">
        <v>21</v>
      </c>
      <c r="F2768">
        <v>4</v>
      </c>
      <c r="G2768">
        <v>499</v>
      </c>
      <c r="H2768">
        <v>0.15</v>
      </c>
      <c r="I2768" t="s">
        <v>44</v>
      </c>
      <c r="J2768" t="s">
        <v>36</v>
      </c>
      <c r="K2768" t="s">
        <v>23</v>
      </c>
      <c r="L2768">
        <f>F2767*G2767*(1-H2767)</f>
        <v>3995</v>
      </c>
    </row>
    <row r="2769" spans="1:12">
      <c r="A2769" t="s">
        <v>3571</v>
      </c>
      <c r="B2769" s="1">
        <v>46254</v>
      </c>
      <c r="C2769" t="s">
        <v>921</v>
      </c>
      <c r="D2769" t="s">
        <v>56</v>
      </c>
      <c r="E2769" t="s">
        <v>35</v>
      </c>
      <c r="F2769">
        <v>2</v>
      </c>
      <c r="G2769">
        <v>499</v>
      </c>
      <c r="H2769">
        <v>0</v>
      </c>
      <c r="I2769" t="s">
        <v>32</v>
      </c>
      <c r="J2769" t="s">
        <v>36</v>
      </c>
      <c r="K2769" t="s">
        <v>17</v>
      </c>
      <c r="L2769">
        <f>F2768*G2768*(1-H2768)</f>
        <v>1696.6</v>
      </c>
    </row>
    <row r="2770" spans="1:12">
      <c r="A2770" t="s">
        <v>3572</v>
      </c>
      <c r="B2770" s="1">
        <v>46135</v>
      </c>
      <c r="C2770" t="s">
        <v>1511</v>
      </c>
      <c r="D2770" t="s">
        <v>56</v>
      </c>
      <c r="E2770" t="s">
        <v>40</v>
      </c>
      <c r="F2770">
        <v>5</v>
      </c>
      <c r="G2770">
        <v>1999</v>
      </c>
      <c r="H2770">
        <v>0.05</v>
      </c>
      <c r="I2770" t="s">
        <v>44</v>
      </c>
      <c r="J2770" t="s">
        <v>36</v>
      </c>
      <c r="K2770" t="s">
        <v>17</v>
      </c>
      <c r="L2770">
        <f>F2769*G2769*(1-H2769)</f>
        <v>998</v>
      </c>
    </row>
    <row r="2771" spans="1:12">
      <c r="A2771" t="s">
        <v>3573</v>
      </c>
      <c r="B2771" s="1">
        <v>46134</v>
      </c>
      <c r="C2771" t="s">
        <v>759</v>
      </c>
      <c r="D2771" t="s">
        <v>56</v>
      </c>
      <c r="E2771" t="s">
        <v>27</v>
      </c>
      <c r="F2771">
        <v>1</v>
      </c>
      <c r="G2771">
        <v>4999</v>
      </c>
      <c r="H2771">
        <v>0.05</v>
      </c>
      <c r="I2771" t="s">
        <v>44</v>
      </c>
      <c r="J2771" t="s">
        <v>22</v>
      </c>
      <c r="K2771" t="s">
        <v>17</v>
      </c>
      <c r="L2771">
        <f>F2770*G2770*(1-H2770)</f>
        <v>9495.25</v>
      </c>
    </row>
    <row r="2772" spans="1:12">
      <c r="A2772" t="s">
        <v>3574</v>
      </c>
      <c r="B2772" s="1">
        <v>46087</v>
      </c>
      <c r="C2772" t="s">
        <v>384</v>
      </c>
      <c r="D2772" t="s">
        <v>26</v>
      </c>
      <c r="E2772" t="s">
        <v>40</v>
      </c>
      <c r="F2772">
        <v>2</v>
      </c>
      <c r="G2772">
        <v>499</v>
      </c>
      <c r="H2772">
        <v>0.15</v>
      </c>
      <c r="I2772" t="s">
        <v>47</v>
      </c>
      <c r="J2772" t="s">
        <v>22</v>
      </c>
      <c r="K2772" t="s">
        <v>17</v>
      </c>
      <c r="L2772">
        <f>F2771*G2771*(1-H2771)</f>
        <v>4749.05</v>
      </c>
    </row>
    <row r="2773" spans="1:12">
      <c r="A2773" t="s">
        <v>3575</v>
      </c>
      <c r="B2773" s="1">
        <v>46067</v>
      </c>
      <c r="C2773" t="s">
        <v>1244</v>
      </c>
      <c r="D2773" t="s">
        <v>59</v>
      </c>
      <c r="E2773" t="s">
        <v>27</v>
      </c>
      <c r="F2773">
        <v>4</v>
      </c>
      <c r="G2773">
        <v>1299</v>
      </c>
      <c r="H2773">
        <v>0.05</v>
      </c>
      <c r="I2773" t="s">
        <v>32</v>
      </c>
      <c r="J2773" t="s">
        <v>22</v>
      </c>
      <c r="K2773" t="s">
        <v>17</v>
      </c>
      <c r="L2773">
        <f>F2772*G2772*(1-H2772)</f>
        <v>848.3</v>
      </c>
    </row>
    <row r="2774" spans="1:12">
      <c r="A2774" t="s">
        <v>3576</v>
      </c>
      <c r="B2774" s="1">
        <v>46039</v>
      </c>
      <c r="C2774" t="s">
        <v>545</v>
      </c>
      <c r="D2774" t="s">
        <v>71</v>
      </c>
      <c r="E2774" t="s">
        <v>21</v>
      </c>
      <c r="F2774">
        <v>5</v>
      </c>
      <c r="G2774">
        <v>1999</v>
      </c>
      <c r="H2774">
        <v>0</v>
      </c>
      <c r="I2774" t="s">
        <v>50</v>
      </c>
      <c r="J2774" t="s">
        <v>16</v>
      </c>
      <c r="K2774" t="s">
        <v>17</v>
      </c>
      <c r="L2774">
        <f>F2773*G2773*(1-H2773)</f>
        <v>4936.2</v>
      </c>
    </row>
    <row r="2775" spans="1:12">
      <c r="A2775" t="s">
        <v>3577</v>
      </c>
      <c r="B2775" s="1">
        <v>46045</v>
      </c>
      <c r="C2775" t="s">
        <v>82</v>
      </c>
      <c r="D2775" t="s">
        <v>31</v>
      </c>
      <c r="E2775" t="s">
        <v>35</v>
      </c>
      <c r="F2775">
        <v>3</v>
      </c>
      <c r="G2775">
        <v>999</v>
      </c>
      <c r="H2775">
        <v>0</v>
      </c>
      <c r="I2775" t="s">
        <v>15</v>
      </c>
      <c r="J2775" t="s">
        <v>36</v>
      </c>
      <c r="K2775" t="s">
        <v>17</v>
      </c>
      <c r="L2775">
        <f>F2774*G2774*(1-H2774)</f>
        <v>9995</v>
      </c>
    </row>
    <row r="2776" spans="1:12">
      <c r="A2776" t="s">
        <v>3578</v>
      </c>
      <c r="B2776" s="1">
        <v>46113</v>
      </c>
      <c r="C2776" t="s">
        <v>933</v>
      </c>
      <c r="D2776" t="s">
        <v>43</v>
      </c>
      <c r="E2776" t="s">
        <v>27</v>
      </c>
      <c r="F2776">
        <v>3</v>
      </c>
      <c r="G2776">
        <v>1999</v>
      </c>
      <c r="H2776">
        <v>0.1</v>
      </c>
      <c r="I2776" t="s">
        <v>44</v>
      </c>
      <c r="J2776" t="s">
        <v>22</v>
      </c>
      <c r="K2776" t="s">
        <v>17</v>
      </c>
      <c r="L2776">
        <f>F2775*G2775*(1-H2775)</f>
        <v>2997</v>
      </c>
    </row>
    <row r="2777" spans="1:12">
      <c r="A2777" t="s">
        <v>3579</v>
      </c>
      <c r="B2777" s="1">
        <v>46076</v>
      </c>
      <c r="C2777" t="s">
        <v>1390</v>
      </c>
      <c r="D2777" t="s">
        <v>26</v>
      </c>
      <c r="E2777" t="s">
        <v>27</v>
      </c>
      <c r="F2777">
        <v>2</v>
      </c>
      <c r="G2777">
        <v>999</v>
      </c>
      <c r="H2777">
        <v>0.05</v>
      </c>
      <c r="I2777" t="s">
        <v>44</v>
      </c>
      <c r="J2777" t="s">
        <v>16</v>
      </c>
      <c r="K2777" t="s">
        <v>37</v>
      </c>
      <c r="L2777">
        <f>F2776*G2776*(1-H2776)</f>
        <v>5397.3</v>
      </c>
    </row>
    <row r="2778" spans="1:12">
      <c r="A2778" t="s">
        <v>3580</v>
      </c>
      <c r="B2778" s="1">
        <v>46031</v>
      </c>
      <c r="C2778" t="s">
        <v>160</v>
      </c>
      <c r="D2778" t="s">
        <v>56</v>
      </c>
      <c r="E2778" t="s">
        <v>40</v>
      </c>
      <c r="F2778">
        <v>3</v>
      </c>
      <c r="G2778">
        <v>599</v>
      </c>
      <c r="H2778">
        <v>0.1</v>
      </c>
      <c r="I2778" t="s">
        <v>50</v>
      </c>
      <c r="J2778" t="s">
        <v>36</v>
      </c>
      <c r="K2778" t="s">
        <v>17</v>
      </c>
      <c r="L2778">
        <f>F2777*G2777*(1-H2777)</f>
        <v>1898.1</v>
      </c>
    </row>
    <row r="2779" spans="1:12">
      <c r="A2779" t="s">
        <v>3581</v>
      </c>
      <c r="B2779" s="1">
        <v>46294</v>
      </c>
      <c r="C2779" t="s">
        <v>1467</v>
      </c>
      <c r="D2779" t="s">
        <v>20</v>
      </c>
      <c r="E2779" t="s">
        <v>21</v>
      </c>
      <c r="F2779">
        <v>4</v>
      </c>
      <c r="G2779">
        <v>4999</v>
      </c>
      <c r="H2779">
        <v>0.15</v>
      </c>
      <c r="I2779" t="s">
        <v>15</v>
      </c>
      <c r="J2779" t="s">
        <v>36</v>
      </c>
      <c r="K2779" t="s">
        <v>23</v>
      </c>
      <c r="L2779">
        <f>F2778*G2778*(1-H2778)</f>
        <v>1617.3</v>
      </c>
    </row>
    <row r="2780" spans="1:12">
      <c r="A2780" t="s">
        <v>3582</v>
      </c>
      <c r="B2780" s="1">
        <v>46158</v>
      </c>
      <c r="C2780" t="s">
        <v>843</v>
      </c>
      <c r="D2780" t="s">
        <v>78</v>
      </c>
      <c r="E2780" t="s">
        <v>27</v>
      </c>
      <c r="F2780">
        <v>2</v>
      </c>
      <c r="G2780">
        <v>799</v>
      </c>
      <c r="H2780">
        <v>0.05</v>
      </c>
      <c r="I2780" t="s">
        <v>47</v>
      </c>
      <c r="J2780" t="s">
        <v>36</v>
      </c>
      <c r="K2780" t="s">
        <v>17</v>
      </c>
      <c r="L2780">
        <f>F2779*G2779*(1-H2779)</f>
        <v>16996.599999999999</v>
      </c>
    </row>
    <row r="2781" spans="1:12">
      <c r="A2781" t="s">
        <v>3583</v>
      </c>
      <c r="B2781" s="1">
        <v>46167</v>
      </c>
      <c r="C2781" t="s">
        <v>1998</v>
      </c>
      <c r="D2781" t="s">
        <v>59</v>
      </c>
      <c r="E2781" t="s">
        <v>35</v>
      </c>
      <c r="F2781">
        <v>2</v>
      </c>
      <c r="G2781">
        <v>2499</v>
      </c>
      <c r="H2781">
        <v>0</v>
      </c>
      <c r="I2781" t="s">
        <v>32</v>
      </c>
      <c r="J2781" t="s">
        <v>51</v>
      </c>
      <c r="K2781" t="s">
        <v>17</v>
      </c>
      <c r="L2781">
        <f>F2780*G2780*(1-H2780)</f>
        <v>1518.1</v>
      </c>
    </row>
    <row r="2782" spans="1:12">
      <c r="A2782" t="s">
        <v>3584</v>
      </c>
      <c r="B2782" s="1">
        <v>46158</v>
      </c>
      <c r="C2782" t="s">
        <v>1540</v>
      </c>
      <c r="D2782" t="s">
        <v>43</v>
      </c>
      <c r="E2782" t="s">
        <v>40</v>
      </c>
      <c r="F2782">
        <v>4</v>
      </c>
      <c r="G2782">
        <v>1999</v>
      </c>
      <c r="H2782">
        <v>0</v>
      </c>
      <c r="I2782" t="s">
        <v>32</v>
      </c>
      <c r="J2782" t="s">
        <v>51</v>
      </c>
      <c r="K2782" t="s">
        <v>37</v>
      </c>
      <c r="L2782">
        <f>F2781*G2781*(1-H2781)</f>
        <v>4998</v>
      </c>
    </row>
    <row r="2783" spans="1:12">
      <c r="A2783" t="s">
        <v>3585</v>
      </c>
      <c r="B2783" s="1">
        <v>46206</v>
      </c>
      <c r="C2783" t="s">
        <v>534</v>
      </c>
      <c r="D2783" t="s">
        <v>59</v>
      </c>
      <c r="E2783" t="s">
        <v>14</v>
      </c>
      <c r="F2783">
        <v>3</v>
      </c>
      <c r="G2783">
        <v>499</v>
      </c>
      <c r="H2783">
        <v>0</v>
      </c>
      <c r="I2783" t="s">
        <v>15</v>
      </c>
      <c r="J2783" t="s">
        <v>51</v>
      </c>
      <c r="K2783" t="s">
        <v>37</v>
      </c>
      <c r="L2783">
        <f>F2782*G2782*(1-H2782)</f>
        <v>7996</v>
      </c>
    </row>
    <row r="2784" spans="1:12">
      <c r="A2784" t="s">
        <v>3586</v>
      </c>
      <c r="B2784" s="1">
        <v>46043</v>
      </c>
      <c r="C2784" t="s">
        <v>1368</v>
      </c>
      <c r="D2784" t="s">
        <v>62</v>
      </c>
      <c r="E2784" t="s">
        <v>27</v>
      </c>
      <c r="F2784">
        <v>5</v>
      </c>
      <c r="G2784">
        <v>1999</v>
      </c>
      <c r="H2784">
        <v>0.05</v>
      </c>
      <c r="I2784" t="s">
        <v>15</v>
      </c>
      <c r="J2784" t="s">
        <v>51</v>
      </c>
      <c r="K2784" t="s">
        <v>17</v>
      </c>
      <c r="L2784">
        <f>F2783*G2783*(1-H2783)</f>
        <v>1497</v>
      </c>
    </row>
    <row r="2785" spans="1:12">
      <c r="A2785" t="s">
        <v>3587</v>
      </c>
      <c r="B2785" s="1">
        <v>46185</v>
      </c>
      <c r="C2785" t="s">
        <v>126</v>
      </c>
      <c r="D2785" t="s">
        <v>56</v>
      </c>
      <c r="E2785" t="s">
        <v>27</v>
      </c>
      <c r="F2785">
        <v>4</v>
      </c>
      <c r="G2785">
        <v>499</v>
      </c>
      <c r="H2785">
        <v>0.05</v>
      </c>
      <c r="I2785" t="s">
        <v>15</v>
      </c>
      <c r="J2785" t="s">
        <v>51</v>
      </c>
      <c r="K2785" t="s">
        <v>17</v>
      </c>
      <c r="L2785">
        <f>F2784*G2784*(1-H2784)</f>
        <v>9495.25</v>
      </c>
    </row>
    <row r="2786" spans="1:12">
      <c r="A2786" t="s">
        <v>3588</v>
      </c>
      <c r="B2786" s="1">
        <v>46103</v>
      </c>
      <c r="C2786" t="s">
        <v>434</v>
      </c>
      <c r="D2786" t="s">
        <v>59</v>
      </c>
      <c r="E2786" t="s">
        <v>35</v>
      </c>
      <c r="F2786">
        <v>3</v>
      </c>
      <c r="G2786">
        <v>999</v>
      </c>
      <c r="H2786">
        <v>0.15</v>
      </c>
      <c r="I2786" t="s">
        <v>47</v>
      </c>
      <c r="J2786" t="s">
        <v>22</v>
      </c>
      <c r="K2786" t="s">
        <v>23</v>
      </c>
      <c r="L2786">
        <f>F2785*G2785*(1-H2785)</f>
        <v>1896.1999999999998</v>
      </c>
    </row>
    <row r="2787" spans="1:12">
      <c r="A2787" t="s">
        <v>3589</v>
      </c>
      <c r="B2787" s="1">
        <v>46056</v>
      </c>
      <c r="C2787" t="s">
        <v>1077</v>
      </c>
      <c r="D2787" t="s">
        <v>31</v>
      </c>
      <c r="E2787" t="s">
        <v>14</v>
      </c>
      <c r="F2787">
        <v>4</v>
      </c>
      <c r="G2787">
        <v>1299</v>
      </c>
      <c r="H2787">
        <v>0.05</v>
      </c>
      <c r="I2787" t="s">
        <v>15</v>
      </c>
      <c r="J2787" t="s">
        <v>51</v>
      </c>
      <c r="K2787" t="s">
        <v>17</v>
      </c>
      <c r="L2787">
        <f>F2786*G2786*(1-H2786)</f>
        <v>2547.4499999999998</v>
      </c>
    </row>
    <row r="2788" spans="1:12">
      <c r="A2788" t="s">
        <v>3590</v>
      </c>
      <c r="B2788" s="1">
        <v>46135</v>
      </c>
      <c r="C2788" t="s">
        <v>2357</v>
      </c>
      <c r="D2788" t="s">
        <v>59</v>
      </c>
      <c r="E2788" t="s">
        <v>40</v>
      </c>
      <c r="F2788">
        <v>3</v>
      </c>
      <c r="G2788">
        <v>1499</v>
      </c>
      <c r="H2788">
        <v>0.05</v>
      </c>
      <c r="I2788" t="s">
        <v>50</v>
      </c>
      <c r="J2788" t="s">
        <v>36</v>
      </c>
      <c r="K2788" t="s">
        <v>17</v>
      </c>
      <c r="L2788">
        <f>F2787*G2787*(1-H2787)</f>
        <v>4936.2</v>
      </c>
    </row>
    <row r="2789" spans="1:12">
      <c r="A2789" t="s">
        <v>3591</v>
      </c>
      <c r="B2789" s="1">
        <v>46100</v>
      </c>
      <c r="C2789" t="s">
        <v>600</v>
      </c>
      <c r="D2789" t="s">
        <v>71</v>
      </c>
      <c r="E2789" t="s">
        <v>35</v>
      </c>
      <c r="F2789">
        <v>2</v>
      </c>
      <c r="G2789">
        <v>1499</v>
      </c>
      <c r="H2789">
        <v>0</v>
      </c>
      <c r="I2789" t="s">
        <v>15</v>
      </c>
      <c r="J2789" t="s">
        <v>51</v>
      </c>
      <c r="K2789" t="s">
        <v>37</v>
      </c>
      <c r="L2789">
        <f>F2788*G2788*(1-H2788)</f>
        <v>4272.1499999999996</v>
      </c>
    </row>
    <row r="2790" spans="1:12">
      <c r="A2790" t="s">
        <v>3592</v>
      </c>
      <c r="B2790" s="1">
        <v>46148</v>
      </c>
      <c r="C2790" t="s">
        <v>1768</v>
      </c>
      <c r="D2790" t="s">
        <v>20</v>
      </c>
      <c r="E2790" t="s">
        <v>21</v>
      </c>
      <c r="F2790">
        <v>5</v>
      </c>
      <c r="G2790">
        <v>1499</v>
      </c>
      <c r="H2790">
        <v>0.05</v>
      </c>
      <c r="I2790" t="s">
        <v>32</v>
      </c>
      <c r="J2790" t="s">
        <v>36</v>
      </c>
      <c r="K2790" t="s">
        <v>17</v>
      </c>
      <c r="L2790">
        <f>F2789*G2789*(1-H2789)</f>
        <v>2998</v>
      </c>
    </row>
    <row r="2791" spans="1:12">
      <c r="A2791" t="s">
        <v>3593</v>
      </c>
      <c r="B2791" s="1">
        <v>46214</v>
      </c>
      <c r="C2791" t="s">
        <v>3594</v>
      </c>
      <c r="D2791" t="s">
        <v>59</v>
      </c>
      <c r="E2791" t="s">
        <v>27</v>
      </c>
      <c r="F2791">
        <v>1</v>
      </c>
      <c r="G2791">
        <v>2499</v>
      </c>
      <c r="H2791">
        <v>0.1</v>
      </c>
      <c r="I2791" t="s">
        <v>44</v>
      </c>
      <c r="J2791" t="s">
        <v>51</v>
      </c>
      <c r="K2791" t="s">
        <v>23</v>
      </c>
      <c r="L2791">
        <f>F2790*G2790*(1-H2790)</f>
        <v>7120.25</v>
      </c>
    </row>
    <row r="2792" spans="1:12">
      <c r="A2792" t="s">
        <v>3595</v>
      </c>
      <c r="B2792" s="1">
        <v>46154</v>
      </c>
      <c r="C2792" t="s">
        <v>1056</v>
      </c>
      <c r="D2792" t="s">
        <v>13</v>
      </c>
      <c r="E2792" t="s">
        <v>21</v>
      </c>
      <c r="F2792">
        <v>1</v>
      </c>
      <c r="G2792">
        <v>1499</v>
      </c>
      <c r="H2792">
        <v>0.15</v>
      </c>
      <c r="I2792" t="s">
        <v>47</v>
      </c>
      <c r="J2792" t="s">
        <v>22</v>
      </c>
      <c r="K2792" t="s">
        <v>23</v>
      </c>
      <c r="L2792">
        <f>F2791*G2791*(1-H2791)</f>
        <v>2249.1</v>
      </c>
    </row>
    <row r="2793" spans="1:12">
      <c r="A2793" t="s">
        <v>3596</v>
      </c>
      <c r="B2793" s="1">
        <v>46046</v>
      </c>
      <c r="C2793" t="s">
        <v>1750</v>
      </c>
      <c r="D2793" t="s">
        <v>43</v>
      </c>
      <c r="E2793" t="s">
        <v>21</v>
      </c>
      <c r="F2793">
        <v>4</v>
      </c>
      <c r="G2793">
        <v>999</v>
      </c>
      <c r="H2793">
        <v>0.15</v>
      </c>
      <c r="I2793" t="s">
        <v>47</v>
      </c>
      <c r="J2793" t="s">
        <v>36</v>
      </c>
      <c r="K2793" t="s">
        <v>23</v>
      </c>
      <c r="L2793">
        <f>F2792*G2792*(1-H2792)</f>
        <v>1274.1499999999999</v>
      </c>
    </row>
    <row r="2794" spans="1:12">
      <c r="A2794" t="s">
        <v>3597</v>
      </c>
      <c r="B2794" s="1">
        <v>46192</v>
      </c>
      <c r="C2794" t="s">
        <v>577</v>
      </c>
      <c r="D2794" t="s">
        <v>62</v>
      </c>
      <c r="E2794" t="s">
        <v>21</v>
      </c>
      <c r="F2794">
        <v>2</v>
      </c>
      <c r="G2794">
        <v>599</v>
      </c>
      <c r="H2794">
        <v>0.05</v>
      </c>
      <c r="I2794" t="s">
        <v>50</v>
      </c>
      <c r="J2794" t="s">
        <v>16</v>
      </c>
      <c r="K2794" t="s">
        <v>17</v>
      </c>
      <c r="L2794">
        <f>F2793*G2793*(1-H2793)</f>
        <v>3396.6</v>
      </c>
    </row>
    <row r="2795" spans="1:12">
      <c r="A2795" t="s">
        <v>3598</v>
      </c>
      <c r="B2795" s="1">
        <v>46105</v>
      </c>
      <c r="C2795" t="s">
        <v>3431</v>
      </c>
      <c r="D2795" t="s">
        <v>56</v>
      </c>
      <c r="E2795" t="s">
        <v>27</v>
      </c>
      <c r="F2795">
        <v>3</v>
      </c>
      <c r="G2795">
        <v>799</v>
      </c>
      <c r="H2795">
        <v>0</v>
      </c>
      <c r="I2795" t="s">
        <v>50</v>
      </c>
      <c r="J2795" t="s">
        <v>36</v>
      </c>
      <c r="K2795" t="s">
        <v>17</v>
      </c>
      <c r="L2795">
        <f>F2794*G2794*(1-H2794)</f>
        <v>1138.0999999999999</v>
      </c>
    </row>
    <row r="2796" spans="1:12">
      <c r="A2796" t="s">
        <v>3599</v>
      </c>
      <c r="B2796" s="1">
        <v>46261</v>
      </c>
      <c r="C2796" t="s">
        <v>848</v>
      </c>
      <c r="D2796" t="s">
        <v>26</v>
      </c>
      <c r="E2796" t="s">
        <v>21</v>
      </c>
      <c r="F2796">
        <v>5</v>
      </c>
      <c r="G2796">
        <v>1999</v>
      </c>
      <c r="H2796">
        <v>0.15</v>
      </c>
      <c r="I2796" t="s">
        <v>15</v>
      </c>
      <c r="J2796" t="s">
        <v>22</v>
      </c>
      <c r="K2796" t="s">
        <v>17</v>
      </c>
      <c r="L2796">
        <f>F2795*G2795*(1-H2795)</f>
        <v>2397</v>
      </c>
    </row>
    <row r="2797" spans="1:12">
      <c r="A2797" t="s">
        <v>3600</v>
      </c>
      <c r="B2797" s="1">
        <v>46044</v>
      </c>
      <c r="C2797" t="s">
        <v>2036</v>
      </c>
      <c r="D2797" t="s">
        <v>43</v>
      </c>
      <c r="E2797" t="s">
        <v>27</v>
      </c>
      <c r="F2797">
        <v>3</v>
      </c>
      <c r="G2797">
        <v>1499</v>
      </c>
      <c r="H2797">
        <v>0.15</v>
      </c>
      <c r="I2797" t="s">
        <v>32</v>
      </c>
      <c r="J2797" t="s">
        <v>16</v>
      </c>
      <c r="K2797" t="s">
        <v>17</v>
      </c>
      <c r="L2797">
        <f>F2796*G2796*(1-H2796)</f>
        <v>8495.75</v>
      </c>
    </row>
    <row r="2798" spans="1:12">
      <c r="A2798" t="s">
        <v>3601</v>
      </c>
      <c r="B2798" s="1">
        <v>46277</v>
      </c>
      <c r="C2798" t="s">
        <v>310</v>
      </c>
      <c r="D2798" t="s">
        <v>71</v>
      </c>
      <c r="E2798" t="s">
        <v>27</v>
      </c>
      <c r="F2798">
        <v>4</v>
      </c>
      <c r="G2798">
        <v>1999</v>
      </c>
      <c r="H2798">
        <v>0.15</v>
      </c>
      <c r="I2798" t="s">
        <v>47</v>
      </c>
      <c r="J2798" t="s">
        <v>36</v>
      </c>
      <c r="K2798" t="s">
        <v>23</v>
      </c>
      <c r="L2798">
        <f>F2797*G2797*(1-H2797)</f>
        <v>3822.45</v>
      </c>
    </row>
    <row r="2799" spans="1:12">
      <c r="A2799" t="s">
        <v>3602</v>
      </c>
      <c r="B2799" s="1">
        <v>46217</v>
      </c>
      <c r="C2799" t="s">
        <v>3211</v>
      </c>
      <c r="D2799" t="s">
        <v>31</v>
      </c>
      <c r="E2799" t="s">
        <v>21</v>
      </c>
      <c r="F2799">
        <v>5</v>
      </c>
      <c r="G2799">
        <v>499</v>
      </c>
      <c r="H2799">
        <v>0</v>
      </c>
      <c r="I2799" t="s">
        <v>50</v>
      </c>
      <c r="J2799" t="s">
        <v>22</v>
      </c>
      <c r="K2799" t="s">
        <v>23</v>
      </c>
      <c r="L2799">
        <f>F2798*G2798*(1-H2798)</f>
        <v>6796.5999999999995</v>
      </c>
    </row>
    <row r="2800" spans="1:12">
      <c r="A2800" t="s">
        <v>3603</v>
      </c>
      <c r="B2800" s="1">
        <v>46252</v>
      </c>
      <c r="C2800" t="s">
        <v>2306</v>
      </c>
      <c r="D2800" t="s">
        <v>78</v>
      </c>
      <c r="E2800" t="s">
        <v>21</v>
      </c>
      <c r="F2800">
        <v>3</v>
      </c>
      <c r="G2800">
        <v>1499</v>
      </c>
      <c r="H2800">
        <v>0.1</v>
      </c>
      <c r="I2800" t="s">
        <v>32</v>
      </c>
      <c r="J2800" t="s">
        <v>51</v>
      </c>
      <c r="K2800" t="s">
        <v>17</v>
      </c>
      <c r="L2800">
        <f>F2799*G2799*(1-H2799)</f>
        <v>2495</v>
      </c>
    </row>
    <row r="2801" spans="1:12">
      <c r="A2801" t="s">
        <v>3604</v>
      </c>
      <c r="B2801" s="1">
        <v>46048</v>
      </c>
      <c r="C2801" t="s">
        <v>1220</v>
      </c>
      <c r="D2801" t="s">
        <v>62</v>
      </c>
      <c r="E2801" t="s">
        <v>35</v>
      </c>
      <c r="F2801">
        <v>5</v>
      </c>
      <c r="G2801">
        <v>499</v>
      </c>
      <c r="H2801">
        <v>0.15</v>
      </c>
      <c r="I2801" t="s">
        <v>47</v>
      </c>
      <c r="J2801" t="s">
        <v>51</v>
      </c>
      <c r="K2801" t="s">
        <v>17</v>
      </c>
      <c r="L2801">
        <f>F2800*G2800*(1-H2800)</f>
        <v>4047.3</v>
      </c>
    </row>
    <row r="2802" spans="1:12">
      <c r="A2802" t="s">
        <v>3605</v>
      </c>
      <c r="B2802" s="1">
        <v>46126</v>
      </c>
      <c r="C2802" t="s">
        <v>1625</v>
      </c>
      <c r="D2802" t="s">
        <v>56</v>
      </c>
      <c r="E2802" t="s">
        <v>14</v>
      </c>
      <c r="F2802">
        <v>4</v>
      </c>
      <c r="G2802">
        <v>2499</v>
      </c>
      <c r="H2802">
        <v>0</v>
      </c>
      <c r="I2802" t="s">
        <v>15</v>
      </c>
      <c r="J2802" t="s">
        <v>36</v>
      </c>
      <c r="K2802" t="s">
        <v>17</v>
      </c>
      <c r="L2802">
        <f>F2801*G2801*(1-H2801)</f>
        <v>2120.75</v>
      </c>
    </row>
    <row r="2803" spans="1:12">
      <c r="A2803" t="s">
        <v>3606</v>
      </c>
      <c r="B2803" s="1">
        <v>46279</v>
      </c>
      <c r="C2803" t="s">
        <v>2443</v>
      </c>
      <c r="D2803" t="s">
        <v>31</v>
      </c>
      <c r="E2803" t="s">
        <v>14</v>
      </c>
      <c r="F2803">
        <v>2</v>
      </c>
      <c r="G2803">
        <v>7999</v>
      </c>
      <c r="H2803">
        <v>0</v>
      </c>
      <c r="I2803" t="s">
        <v>47</v>
      </c>
      <c r="J2803" t="s">
        <v>51</v>
      </c>
      <c r="K2803" t="s">
        <v>17</v>
      </c>
      <c r="L2803">
        <f>F2802*G2802*(1-H2802)</f>
        <v>9996</v>
      </c>
    </row>
    <row r="2804" spans="1:12">
      <c r="A2804" t="s">
        <v>3607</v>
      </c>
      <c r="B2804" s="1">
        <v>46292</v>
      </c>
      <c r="C2804" t="s">
        <v>846</v>
      </c>
      <c r="D2804" t="s">
        <v>59</v>
      </c>
      <c r="E2804" t="s">
        <v>21</v>
      </c>
      <c r="F2804">
        <v>5</v>
      </c>
      <c r="G2804">
        <v>599</v>
      </c>
      <c r="H2804">
        <v>0</v>
      </c>
      <c r="I2804" t="s">
        <v>15</v>
      </c>
      <c r="J2804" t="s">
        <v>36</v>
      </c>
      <c r="K2804" t="s">
        <v>17</v>
      </c>
      <c r="L2804">
        <f>F2803*G2803*(1-H2803)</f>
        <v>15998</v>
      </c>
    </row>
    <row r="2805" spans="1:12">
      <c r="A2805" t="s">
        <v>3608</v>
      </c>
      <c r="B2805" s="1">
        <v>46169</v>
      </c>
      <c r="C2805" t="s">
        <v>1743</v>
      </c>
      <c r="D2805" t="s">
        <v>13</v>
      </c>
      <c r="E2805" t="s">
        <v>35</v>
      </c>
      <c r="F2805">
        <v>2</v>
      </c>
      <c r="G2805">
        <v>1499</v>
      </c>
      <c r="H2805">
        <v>0.1</v>
      </c>
      <c r="I2805" t="s">
        <v>50</v>
      </c>
      <c r="J2805" t="s">
        <v>28</v>
      </c>
      <c r="K2805" t="s">
        <v>17</v>
      </c>
      <c r="L2805">
        <f>F2804*G2804*(1-H2804)</f>
        <v>2995</v>
      </c>
    </row>
    <row r="2806" spans="1:12">
      <c r="A2806" t="s">
        <v>3609</v>
      </c>
      <c r="B2806" s="1">
        <v>46056</v>
      </c>
      <c r="C2806" t="s">
        <v>146</v>
      </c>
      <c r="D2806" t="s">
        <v>43</v>
      </c>
      <c r="E2806" t="s">
        <v>35</v>
      </c>
      <c r="F2806">
        <v>5</v>
      </c>
      <c r="G2806">
        <v>1999</v>
      </c>
      <c r="H2806">
        <v>0</v>
      </c>
      <c r="I2806" t="s">
        <v>47</v>
      </c>
      <c r="J2806" t="s">
        <v>28</v>
      </c>
      <c r="K2806" t="s">
        <v>23</v>
      </c>
      <c r="L2806">
        <f>F2805*G2805*(1-H2805)</f>
        <v>2698.2000000000003</v>
      </c>
    </row>
    <row r="2807" spans="1:12">
      <c r="A2807" t="s">
        <v>3610</v>
      </c>
      <c r="B2807" s="1">
        <v>46108</v>
      </c>
      <c r="C2807" t="s">
        <v>1934</v>
      </c>
      <c r="D2807" t="s">
        <v>26</v>
      </c>
      <c r="E2807" t="s">
        <v>27</v>
      </c>
      <c r="F2807">
        <v>3</v>
      </c>
      <c r="G2807">
        <v>4999</v>
      </c>
      <c r="H2807">
        <v>0</v>
      </c>
      <c r="I2807" t="s">
        <v>32</v>
      </c>
      <c r="J2807" t="s">
        <v>28</v>
      </c>
      <c r="K2807" t="s">
        <v>17</v>
      </c>
      <c r="L2807">
        <f>F2806*G2806*(1-H2806)</f>
        <v>9995</v>
      </c>
    </row>
    <row r="2808" spans="1:12">
      <c r="A2808" t="s">
        <v>3611</v>
      </c>
      <c r="B2808" s="1">
        <v>46163</v>
      </c>
      <c r="C2808" t="s">
        <v>1105</v>
      </c>
      <c r="D2808" t="s">
        <v>62</v>
      </c>
      <c r="E2808" t="s">
        <v>14</v>
      </c>
      <c r="F2808">
        <v>3</v>
      </c>
      <c r="G2808">
        <v>1999</v>
      </c>
      <c r="H2808">
        <v>0</v>
      </c>
      <c r="I2808" t="s">
        <v>50</v>
      </c>
      <c r="J2808" t="s">
        <v>51</v>
      </c>
      <c r="K2808" t="s">
        <v>17</v>
      </c>
      <c r="L2808">
        <f>F2807*G2807*(1-H2807)</f>
        <v>14997</v>
      </c>
    </row>
    <row r="2809" spans="1:12">
      <c r="A2809" t="s">
        <v>3612</v>
      </c>
      <c r="B2809" s="1">
        <v>46110</v>
      </c>
      <c r="C2809" t="s">
        <v>3613</v>
      </c>
      <c r="D2809" t="s">
        <v>20</v>
      </c>
      <c r="E2809" t="s">
        <v>35</v>
      </c>
      <c r="F2809">
        <v>1</v>
      </c>
      <c r="G2809">
        <v>2499</v>
      </c>
      <c r="H2809">
        <v>0.05</v>
      </c>
      <c r="I2809" t="s">
        <v>47</v>
      </c>
      <c r="J2809" t="s">
        <v>36</v>
      </c>
      <c r="K2809" t="s">
        <v>17</v>
      </c>
      <c r="L2809">
        <f>F2808*G2808*(1-H2808)</f>
        <v>5997</v>
      </c>
    </row>
    <row r="2810" spans="1:12">
      <c r="A2810" t="s">
        <v>3614</v>
      </c>
      <c r="B2810" s="1">
        <v>46267</v>
      </c>
      <c r="C2810" t="s">
        <v>1002</v>
      </c>
      <c r="D2810" t="s">
        <v>20</v>
      </c>
      <c r="E2810" t="s">
        <v>21</v>
      </c>
      <c r="F2810">
        <v>2</v>
      </c>
      <c r="G2810">
        <v>1999</v>
      </c>
      <c r="H2810">
        <v>0</v>
      </c>
      <c r="I2810" t="s">
        <v>50</v>
      </c>
      <c r="J2810" t="s">
        <v>28</v>
      </c>
      <c r="K2810" t="s">
        <v>37</v>
      </c>
      <c r="L2810">
        <f>F2809*G2809*(1-H2809)</f>
        <v>2374.0499999999997</v>
      </c>
    </row>
    <row r="2811" spans="1:12">
      <c r="A2811" t="s">
        <v>3615</v>
      </c>
      <c r="B2811" s="1">
        <v>46169</v>
      </c>
      <c r="C2811" t="s">
        <v>470</v>
      </c>
      <c r="D2811" t="s">
        <v>56</v>
      </c>
      <c r="E2811" t="s">
        <v>14</v>
      </c>
      <c r="F2811">
        <v>5</v>
      </c>
      <c r="G2811">
        <v>2499</v>
      </c>
      <c r="H2811">
        <v>0.1</v>
      </c>
      <c r="I2811" t="s">
        <v>44</v>
      </c>
      <c r="J2811" t="s">
        <v>28</v>
      </c>
      <c r="K2811" t="s">
        <v>17</v>
      </c>
      <c r="L2811">
        <f>F2810*G2810*(1-H2810)</f>
        <v>3998</v>
      </c>
    </row>
    <row r="2812" spans="1:12">
      <c r="A2812" t="s">
        <v>3616</v>
      </c>
      <c r="B2812" s="1">
        <v>46266</v>
      </c>
      <c r="C2812" t="s">
        <v>620</v>
      </c>
      <c r="D2812" t="s">
        <v>71</v>
      </c>
      <c r="E2812" t="s">
        <v>21</v>
      </c>
      <c r="F2812">
        <v>2</v>
      </c>
      <c r="G2812">
        <v>1499</v>
      </c>
      <c r="H2812">
        <v>0.1</v>
      </c>
      <c r="I2812" t="s">
        <v>44</v>
      </c>
      <c r="J2812" t="s">
        <v>16</v>
      </c>
      <c r="K2812" t="s">
        <v>17</v>
      </c>
      <c r="L2812">
        <f>F2811*G2811*(1-H2811)</f>
        <v>11245.5</v>
      </c>
    </row>
    <row r="2813" spans="1:12">
      <c r="A2813" t="s">
        <v>3617</v>
      </c>
      <c r="B2813" s="1">
        <v>46239</v>
      </c>
      <c r="C2813" t="s">
        <v>269</v>
      </c>
      <c r="D2813" t="s">
        <v>31</v>
      </c>
      <c r="E2813" t="s">
        <v>40</v>
      </c>
      <c r="F2813">
        <v>2</v>
      </c>
      <c r="G2813">
        <v>799</v>
      </c>
      <c r="H2813">
        <v>0.1</v>
      </c>
      <c r="I2813" t="s">
        <v>15</v>
      </c>
      <c r="J2813" t="s">
        <v>28</v>
      </c>
      <c r="K2813" t="s">
        <v>17</v>
      </c>
      <c r="L2813">
        <f>F2812*G2812*(1-H2812)</f>
        <v>2698.2000000000003</v>
      </c>
    </row>
    <row r="2814" spans="1:12">
      <c r="A2814" t="s">
        <v>3618</v>
      </c>
      <c r="B2814" s="1">
        <v>46133</v>
      </c>
      <c r="C2814" t="s">
        <v>2898</v>
      </c>
      <c r="D2814" t="s">
        <v>26</v>
      </c>
      <c r="E2814" t="s">
        <v>14</v>
      </c>
      <c r="F2814">
        <v>1</v>
      </c>
      <c r="G2814">
        <v>599</v>
      </c>
      <c r="H2814">
        <v>0</v>
      </c>
      <c r="I2814" t="s">
        <v>50</v>
      </c>
      <c r="J2814" t="s">
        <v>28</v>
      </c>
      <c r="K2814" t="s">
        <v>17</v>
      </c>
      <c r="L2814">
        <f>F2813*G2813*(1-H2813)</f>
        <v>1438.2</v>
      </c>
    </row>
    <row r="2815" spans="1:12">
      <c r="A2815" t="s">
        <v>3619</v>
      </c>
      <c r="B2815" s="1">
        <v>46159</v>
      </c>
      <c r="C2815" t="s">
        <v>265</v>
      </c>
      <c r="D2815" t="s">
        <v>20</v>
      </c>
      <c r="E2815" t="s">
        <v>14</v>
      </c>
      <c r="F2815">
        <v>3</v>
      </c>
      <c r="G2815">
        <v>2499</v>
      </c>
      <c r="H2815">
        <v>0.15</v>
      </c>
      <c r="I2815" t="s">
        <v>44</v>
      </c>
      <c r="J2815" t="s">
        <v>28</v>
      </c>
      <c r="K2815" t="s">
        <v>23</v>
      </c>
      <c r="L2815">
        <f>F2814*G2814*(1-H2814)</f>
        <v>599</v>
      </c>
    </row>
    <row r="2816" spans="1:12">
      <c r="A2816" t="s">
        <v>3620</v>
      </c>
      <c r="B2816" s="1">
        <v>46171</v>
      </c>
      <c r="C2816" t="s">
        <v>247</v>
      </c>
      <c r="D2816" t="s">
        <v>13</v>
      </c>
      <c r="E2816" t="s">
        <v>40</v>
      </c>
      <c r="F2816">
        <v>1</v>
      </c>
      <c r="G2816">
        <v>599</v>
      </c>
      <c r="H2816">
        <v>0.1</v>
      </c>
      <c r="I2816" t="s">
        <v>15</v>
      </c>
      <c r="J2816" t="s">
        <v>22</v>
      </c>
      <c r="K2816" t="s">
        <v>17</v>
      </c>
      <c r="L2816">
        <f>F2815*G2815*(1-H2815)</f>
        <v>6372.45</v>
      </c>
    </row>
    <row r="2817" spans="1:12">
      <c r="A2817" t="s">
        <v>3621</v>
      </c>
      <c r="B2817" s="1">
        <v>46066</v>
      </c>
      <c r="C2817" t="s">
        <v>3622</v>
      </c>
      <c r="D2817" t="s">
        <v>20</v>
      </c>
      <c r="E2817" t="s">
        <v>35</v>
      </c>
      <c r="F2817">
        <v>5</v>
      </c>
      <c r="G2817">
        <v>799</v>
      </c>
      <c r="H2817">
        <v>0</v>
      </c>
      <c r="I2817" t="s">
        <v>32</v>
      </c>
      <c r="J2817" t="s">
        <v>51</v>
      </c>
      <c r="K2817" t="s">
        <v>17</v>
      </c>
      <c r="L2817">
        <f>F2816*G2816*(1-H2816)</f>
        <v>539.1</v>
      </c>
    </row>
    <row r="2818" spans="1:12">
      <c r="A2818" t="s">
        <v>3623</v>
      </c>
      <c r="B2818" s="1">
        <v>46124</v>
      </c>
      <c r="C2818" t="s">
        <v>154</v>
      </c>
      <c r="D2818" t="s">
        <v>43</v>
      </c>
      <c r="E2818" t="s">
        <v>35</v>
      </c>
      <c r="F2818">
        <v>5</v>
      </c>
      <c r="G2818">
        <v>999</v>
      </c>
      <c r="H2818">
        <v>0.15</v>
      </c>
      <c r="I2818" t="s">
        <v>50</v>
      </c>
      <c r="J2818" t="s">
        <v>28</v>
      </c>
      <c r="K2818" t="s">
        <v>17</v>
      </c>
      <c r="L2818">
        <f>F2817*G2817*(1-H2817)</f>
        <v>3995</v>
      </c>
    </row>
    <row r="2819" spans="1:12">
      <c r="A2819" t="s">
        <v>3624</v>
      </c>
      <c r="B2819" s="1">
        <v>46047</v>
      </c>
      <c r="C2819" t="s">
        <v>987</v>
      </c>
      <c r="D2819" t="s">
        <v>31</v>
      </c>
      <c r="E2819" t="s">
        <v>27</v>
      </c>
      <c r="F2819">
        <v>1</v>
      </c>
      <c r="G2819">
        <v>999</v>
      </c>
      <c r="H2819">
        <v>0.05</v>
      </c>
      <c r="I2819" t="s">
        <v>44</v>
      </c>
      <c r="J2819" t="s">
        <v>28</v>
      </c>
      <c r="K2819" t="s">
        <v>23</v>
      </c>
      <c r="L2819">
        <f>F2818*G2818*(1-H2818)</f>
        <v>4245.75</v>
      </c>
    </row>
    <row r="2820" spans="1:12">
      <c r="A2820" t="s">
        <v>3625</v>
      </c>
      <c r="B2820" s="1">
        <v>46177</v>
      </c>
      <c r="C2820" t="s">
        <v>1324</v>
      </c>
      <c r="D2820" t="s">
        <v>26</v>
      </c>
      <c r="E2820" t="s">
        <v>14</v>
      </c>
      <c r="F2820">
        <v>4</v>
      </c>
      <c r="G2820">
        <v>2499</v>
      </c>
      <c r="H2820">
        <v>0.15</v>
      </c>
      <c r="I2820" t="s">
        <v>47</v>
      </c>
      <c r="J2820" t="s">
        <v>16</v>
      </c>
      <c r="K2820" t="s">
        <v>17</v>
      </c>
      <c r="L2820">
        <f>F2819*G2819*(1-H2819)</f>
        <v>949.05</v>
      </c>
    </row>
    <row r="2821" spans="1:12">
      <c r="A2821" t="s">
        <v>3626</v>
      </c>
      <c r="B2821" s="1">
        <v>46075</v>
      </c>
      <c r="C2821" t="s">
        <v>720</v>
      </c>
      <c r="D2821" t="s">
        <v>56</v>
      </c>
      <c r="E2821" t="s">
        <v>14</v>
      </c>
      <c r="F2821">
        <v>3</v>
      </c>
      <c r="G2821">
        <v>599</v>
      </c>
      <c r="H2821">
        <v>0.15</v>
      </c>
      <c r="I2821" t="s">
        <v>47</v>
      </c>
      <c r="J2821" t="s">
        <v>36</v>
      </c>
      <c r="K2821" t="s">
        <v>23</v>
      </c>
      <c r="L2821">
        <f>F2820*G2820*(1-H2820)</f>
        <v>8496.6</v>
      </c>
    </row>
    <row r="2822" spans="1:12">
      <c r="A2822" t="s">
        <v>3627</v>
      </c>
      <c r="B2822" s="1">
        <v>46162</v>
      </c>
      <c r="C2822" t="s">
        <v>3214</v>
      </c>
      <c r="D2822" t="s">
        <v>13</v>
      </c>
      <c r="E2822" t="s">
        <v>35</v>
      </c>
      <c r="F2822">
        <v>3</v>
      </c>
      <c r="G2822">
        <v>4999</v>
      </c>
      <c r="H2822">
        <v>0</v>
      </c>
      <c r="I2822" t="s">
        <v>15</v>
      </c>
      <c r="J2822" t="s">
        <v>28</v>
      </c>
      <c r="K2822" t="s">
        <v>17</v>
      </c>
      <c r="L2822">
        <f>F2821*G2821*(1-H2821)</f>
        <v>1527.45</v>
      </c>
    </row>
    <row r="2823" spans="1:12">
      <c r="A2823" t="s">
        <v>3628</v>
      </c>
      <c r="B2823" s="1">
        <v>46245</v>
      </c>
      <c r="C2823" t="s">
        <v>88</v>
      </c>
      <c r="D2823" t="s">
        <v>78</v>
      </c>
      <c r="E2823" t="s">
        <v>35</v>
      </c>
      <c r="F2823">
        <v>3</v>
      </c>
      <c r="G2823">
        <v>1299</v>
      </c>
      <c r="H2823">
        <v>0.15</v>
      </c>
      <c r="I2823" t="s">
        <v>50</v>
      </c>
      <c r="J2823" t="s">
        <v>16</v>
      </c>
      <c r="K2823" t="s">
        <v>17</v>
      </c>
      <c r="L2823">
        <f>F2822*G2822*(1-H2822)</f>
        <v>14997</v>
      </c>
    </row>
    <row r="2824" spans="1:12">
      <c r="A2824" t="s">
        <v>3629</v>
      </c>
      <c r="B2824" s="1">
        <v>46106</v>
      </c>
      <c r="C2824" t="s">
        <v>322</v>
      </c>
      <c r="D2824" t="s">
        <v>56</v>
      </c>
      <c r="E2824" t="s">
        <v>14</v>
      </c>
      <c r="F2824">
        <v>1</v>
      </c>
      <c r="G2824">
        <v>799</v>
      </c>
      <c r="H2824">
        <v>0.1</v>
      </c>
      <c r="I2824" t="s">
        <v>15</v>
      </c>
      <c r="J2824" t="s">
        <v>36</v>
      </c>
      <c r="K2824" t="s">
        <v>17</v>
      </c>
      <c r="L2824">
        <f>F2823*G2823*(1-H2823)</f>
        <v>3312.45</v>
      </c>
    </row>
    <row r="2825" spans="1:12">
      <c r="A2825" t="s">
        <v>3630</v>
      </c>
      <c r="B2825" s="1">
        <v>46165</v>
      </c>
      <c r="C2825" t="s">
        <v>96</v>
      </c>
      <c r="D2825" t="s">
        <v>59</v>
      </c>
      <c r="E2825" t="s">
        <v>40</v>
      </c>
      <c r="F2825">
        <v>3</v>
      </c>
      <c r="G2825">
        <v>4999</v>
      </c>
      <c r="H2825">
        <v>0.1</v>
      </c>
      <c r="I2825" t="s">
        <v>15</v>
      </c>
      <c r="J2825" t="s">
        <v>51</v>
      </c>
      <c r="K2825" t="s">
        <v>17</v>
      </c>
      <c r="L2825">
        <f>F2824*G2824*(1-H2824)</f>
        <v>719.1</v>
      </c>
    </row>
    <row r="2826" spans="1:12">
      <c r="A2826" t="s">
        <v>3631</v>
      </c>
      <c r="B2826" s="1">
        <v>46179</v>
      </c>
      <c r="C2826" t="s">
        <v>49</v>
      </c>
      <c r="D2826" t="s">
        <v>31</v>
      </c>
      <c r="E2826" t="s">
        <v>27</v>
      </c>
      <c r="F2826">
        <v>5</v>
      </c>
      <c r="G2826">
        <v>599</v>
      </c>
      <c r="H2826">
        <v>0.15</v>
      </c>
      <c r="I2826" t="s">
        <v>50</v>
      </c>
      <c r="J2826" t="s">
        <v>51</v>
      </c>
      <c r="K2826" t="s">
        <v>37</v>
      </c>
      <c r="L2826">
        <f>F2825*G2825*(1-H2825)</f>
        <v>13497.300000000001</v>
      </c>
    </row>
    <row r="2827" spans="1:12">
      <c r="A2827" t="s">
        <v>3632</v>
      </c>
      <c r="B2827" s="1">
        <v>46270</v>
      </c>
      <c r="C2827" t="s">
        <v>1136</v>
      </c>
      <c r="D2827" t="s">
        <v>62</v>
      </c>
      <c r="E2827" t="s">
        <v>27</v>
      </c>
      <c r="F2827">
        <v>1</v>
      </c>
      <c r="G2827">
        <v>599</v>
      </c>
      <c r="H2827">
        <v>0.1</v>
      </c>
      <c r="I2827" t="s">
        <v>50</v>
      </c>
      <c r="J2827" t="s">
        <v>51</v>
      </c>
      <c r="K2827" t="s">
        <v>37</v>
      </c>
      <c r="L2827">
        <f>F2826*G2826*(1-H2826)</f>
        <v>2545.75</v>
      </c>
    </row>
    <row r="2828" spans="1:12">
      <c r="A2828" t="s">
        <v>3633</v>
      </c>
      <c r="B2828" s="1">
        <v>46278</v>
      </c>
      <c r="C2828" t="s">
        <v>1568</v>
      </c>
      <c r="D2828" t="s">
        <v>71</v>
      </c>
      <c r="E2828" t="s">
        <v>40</v>
      </c>
      <c r="F2828">
        <v>1</v>
      </c>
      <c r="G2828">
        <v>4999</v>
      </c>
      <c r="H2828">
        <v>0</v>
      </c>
      <c r="I2828" t="s">
        <v>47</v>
      </c>
      <c r="J2828" t="s">
        <v>28</v>
      </c>
      <c r="K2828" t="s">
        <v>23</v>
      </c>
      <c r="L2828">
        <f>F2827*G2827*(1-H2827)</f>
        <v>539.1</v>
      </c>
    </row>
    <row r="2829" spans="1:12">
      <c r="A2829" t="s">
        <v>3634</v>
      </c>
      <c r="B2829" s="1">
        <v>46064</v>
      </c>
      <c r="C2829" t="s">
        <v>1146</v>
      </c>
      <c r="D2829" t="s">
        <v>56</v>
      </c>
      <c r="E2829" t="s">
        <v>27</v>
      </c>
      <c r="F2829">
        <v>3</v>
      </c>
      <c r="G2829">
        <v>4999</v>
      </c>
      <c r="H2829">
        <v>0</v>
      </c>
      <c r="I2829" t="s">
        <v>32</v>
      </c>
      <c r="J2829" t="s">
        <v>22</v>
      </c>
      <c r="K2829" t="s">
        <v>17</v>
      </c>
      <c r="L2829">
        <f>F2828*G2828*(1-H2828)</f>
        <v>4999</v>
      </c>
    </row>
    <row r="2830" spans="1:12">
      <c r="A2830" t="s">
        <v>3635</v>
      </c>
      <c r="B2830" s="1">
        <v>46169</v>
      </c>
      <c r="C2830" t="s">
        <v>2191</v>
      </c>
      <c r="D2830" t="s">
        <v>62</v>
      </c>
      <c r="E2830" t="s">
        <v>40</v>
      </c>
      <c r="F2830">
        <v>3</v>
      </c>
      <c r="G2830">
        <v>799</v>
      </c>
      <c r="H2830">
        <v>0</v>
      </c>
      <c r="I2830" t="s">
        <v>15</v>
      </c>
      <c r="J2830" t="s">
        <v>22</v>
      </c>
      <c r="K2830" t="s">
        <v>17</v>
      </c>
      <c r="L2830">
        <f>F2829*G2829*(1-H2829)</f>
        <v>14997</v>
      </c>
    </row>
    <row r="2831" spans="1:12">
      <c r="A2831" t="s">
        <v>3636</v>
      </c>
      <c r="B2831" s="1">
        <v>46264</v>
      </c>
      <c r="C2831" t="s">
        <v>126</v>
      </c>
      <c r="D2831" t="s">
        <v>78</v>
      </c>
      <c r="E2831" t="s">
        <v>35</v>
      </c>
      <c r="F2831">
        <v>5</v>
      </c>
      <c r="G2831">
        <v>1299</v>
      </c>
      <c r="H2831">
        <v>0.1</v>
      </c>
      <c r="I2831" t="s">
        <v>44</v>
      </c>
      <c r="J2831" t="s">
        <v>28</v>
      </c>
      <c r="K2831" t="s">
        <v>23</v>
      </c>
      <c r="L2831">
        <f>F2830*G2830*(1-H2830)</f>
        <v>2397</v>
      </c>
    </row>
    <row r="2832" spans="1:12">
      <c r="A2832" t="s">
        <v>3637</v>
      </c>
      <c r="B2832" s="1">
        <v>46231</v>
      </c>
      <c r="C2832" t="s">
        <v>403</v>
      </c>
      <c r="D2832" t="s">
        <v>62</v>
      </c>
      <c r="E2832" t="s">
        <v>27</v>
      </c>
      <c r="F2832">
        <v>3</v>
      </c>
      <c r="G2832">
        <v>1499</v>
      </c>
      <c r="H2832">
        <v>0</v>
      </c>
      <c r="I2832" t="s">
        <v>15</v>
      </c>
      <c r="J2832" t="s">
        <v>16</v>
      </c>
      <c r="K2832" t="s">
        <v>17</v>
      </c>
      <c r="L2832">
        <f>F2831*G2831*(1-H2831)</f>
        <v>5845.5</v>
      </c>
    </row>
    <row r="2833" spans="1:12">
      <c r="A2833" t="s">
        <v>3638</v>
      </c>
      <c r="B2833" s="1">
        <v>46144</v>
      </c>
      <c r="C2833" t="s">
        <v>889</v>
      </c>
      <c r="D2833" t="s">
        <v>43</v>
      </c>
      <c r="E2833" t="s">
        <v>40</v>
      </c>
      <c r="F2833">
        <v>3</v>
      </c>
      <c r="G2833">
        <v>799</v>
      </c>
      <c r="H2833">
        <v>0.15</v>
      </c>
      <c r="I2833" t="s">
        <v>15</v>
      </c>
      <c r="J2833" t="s">
        <v>36</v>
      </c>
      <c r="K2833" t="s">
        <v>37</v>
      </c>
      <c r="L2833">
        <f>F2832*G2832*(1-H2832)</f>
        <v>4497</v>
      </c>
    </row>
    <row r="2834" spans="1:12">
      <c r="A2834" t="s">
        <v>3639</v>
      </c>
      <c r="B2834" s="1">
        <v>46194</v>
      </c>
      <c r="C2834" t="s">
        <v>1462</v>
      </c>
      <c r="D2834" t="s">
        <v>20</v>
      </c>
      <c r="E2834" t="s">
        <v>40</v>
      </c>
      <c r="F2834">
        <v>1</v>
      </c>
      <c r="G2834">
        <v>1999</v>
      </c>
      <c r="H2834">
        <v>0</v>
      </c>
      <c r="I2834" t="s">
        <v>44</v>
      </c>
      <c r="J2834" t="s">
        <v>28</v>
      </c>
      <c r="K2834" t="s">
        <v>23</v>
      </c>
      <c r="L2834">
        <f>F2833*G2833*(1-H2833)</f>
        <v>2037.45</v>
      </c>
    </row>
    <row r="2835" spans="1:12">
      <c r="A2835" t="s">
        <v>3640</v>
      </c>
      <c r="B2835" s="1">
        <v>46242</v>
      </c>
      <c r="C2835" t="s">
        <v>3641</v>
      </c>
      <c r="D2835" t="s">
        <v>59</v>
      </c>
      <c r="E2835" t="s">
        <v>40</v>
      </c>
      <c r="F2835">
        <v>4</v>
      </c>
      <c r="G2835">
        <v>1999</v>
      </c>
      <c r="H2835">
        <v>0</v>
      </c>
      <c r="I2835" t="s">
        <v>15</v>
      </c>
      <c r="J2835" t="s">
        <v>51</v>
      </c>
      <c r="K2835" t="s">
        <v>17</v>
      </c>
      <c r="L2835">
        <f>F2834*G2834*(1-H2834)</f>
        <v>1999</v>
      </c>
    </row>
    <row r="2836" spans="1:12">
      <c r="A2836" t="s">
        <v>3642</v>
      </c>
      <c r="B2836" s="1">
        <v>46273</v>
      </c>
      <c r="C2836" t="s">
        <v>709</v>
      </c>
      <c r="D2836" t="s">
        <v>13</v>
      </c>
      <c r="E2836" t="s">
        <v>40</v>
      </c>
      <c r="F2836">
        <v>1</v>
      </c>
      <c r="G2836">
        <v>1999</v>
      </c>
      <c r="H2836">
        <v>0</v>
      </c>
      <c r="I2836" t="s">
        <v>50</v>
      </c>
      <c r="J2836" t="s">
        <v>22</v>
      </c>
      <c r="K2836" t="s">
        <v>17</v>
      </c>
      <c r="L2836">
        <f>F2835*G2835*(1-H2835)</f>
        <v>7996</v>
      </c>
    </row>
    <row r="2837" spans="1:12">
      <c r="A2837" t="s">
        <v>3643</v>
      </c>
      <c r="B2837" s="1">
        <v>46146</v>
      </c>
      <c r="C2837" t="s">
        <v>1412</v>
      </c>
      <c r="D2837" t="s">
        <v>43</v>
      </c>
      <c r="E2837" t="s">
        <v>27</v>
      </c>
      <c r="F2837">
        <v>2</v>
      </c>
      <c r="G2837">
        <v>1499</v>
      </c>
      <c r="H2837">
        <v>0</v>
      </c>
      <c r="I2837" t="s">
        <v>15</v>
      </c>
      <c r="J2837" t="s">
        <v>28</v>
      </c>
      <c r="K2837" t="s">
        <v>37</v>
      </c>
      <c r="L2837">
        <f>F2836*G2836*(1-H2836)</f>
        <v>1999</v>
      </c>
    </row>
    <row r="2838" spans="1:12">
      <c r="A2838" t="s">
        <v>3644</v>
      </c>
      <c r="B2838" s="1">
        <v>46201</v>
      </c>
      <c r="C2838" t="s">
        <v>113</v>
      </c>
      <c r="D2838" t="s">
        <v>78</v>
      </c>
      <c r="E2838" t="s">
        <v>40</v>
      </c>
      <c r="F2838">
        <v>2</v>
      </c>
      <c r="G2838">
        <v>1499</v>
      </c>
      <c r="H2838">
        <v>0.05</v>
      </c>
      <c r="I2838" t="s">
        <v>44</v>
      </c>
      <c r="J2838" t="s">
        <v>28</v>
      </c>
      <c r="K2838" t="s">
        <v>17</v>
      </c>
      <c r="L2838">
        <f>F2837*G2837*(1-H2837)</f>
        <v>2998</v>
      </c>
    </row>
    <row r="2839" spans="1:12">
      <c r="A2839" t="s">
        <v>3645</v>
      </c>
      <c r="B2839" s="1">
        <v>46249</v>
      </c>
      <c r="C2839" t="s">
        <v>685</v>
      </c>
      <c r="D2839" t="s">
        <v>78</v>
      </c>
      <c r="E2839" t="s">
        <v>27</v>
      </c>
      <c r="F2839">
        <v>2</v>
      </c>
      <c r="G2839">
        <v>499</v>
      </c>
      <c r="H2839">
        <v>0</v>
      </c>
      <c r="I2839" t="s">
        <v>15</v>
      </c>
      <c r="J2839" t="s">
        <v>22</v>
      </c>
      <c r="K2839" t="s">
        <v>17</v>
      </c>
      <c r="L2839">
        <f>F2838*G2838*(1-H2838)</f>
        <v>2848.1</v>
      </c>
    </row>
    <row r="2840" spans="1:12">
      <c r="A2840" t="s">
        <v>3646</v>
      </c>
      <c r="B2840" s="1">
        <v>46196</v>
      </c>
      <c r="C2840" t="s">
        <v>3647</v>
      </c>
      <c r="D2840" t="s">
        <v>26</v>
      </c>
      <c r="E2840" t="s">
        <v>35</v>
      </c>
      <c r="F2840">
        <v>5</v>
      </c>
      <c r="G2840">
        <v>999</v>
      </c>
      <c r="H2840">
        <v>0.05</v>
      </c>
      <c r="I2840" t="s">
        <v>47</v>
      </c>
      <c r="J2840" t="s">
        <v>36</v>
      </c>
      <c r="K2840" t="s">
        <v>23</v>
      </c>
      <c r="L2840">
        <f>F2839*G2839*(1-H2839)</f>
        <v>998</v>
      </c>
    </row>
    <row r="2841" spans="1:12">
      <c r="A2841" t="s">
        <v>3648</v>
      </c>
      <c r="B2841" s="1">
        <v>46265</v>
      </c>
      <c r="C2841" t="s">
        <v>1203</v>
      </c>
      <c r="D2841" t="s">
        <v>59</v>
      </c>
      <c r="E2841" t="s">
        <v>35</v>
      </c>
      <c r="F2841">
        <v>3</v>
      </c>
      <c r="G2841">
        <v>1499</v>
      </c>
      <c r="H2841">
        <v>0</v>
      </c>
      <c r="I2841" t="s">
        <v>44</v>
      </c>
      <c r="J2841" t="s">
        <v>51</v>
      </c>
      <c r="K2841" t="s">
        <v>17</v>
      </c>
      <c r="L2841">
        <f>F2840*G2840*(1-H2840)</f>
        <v>4745.25</v>
      </c>
    </row>
    <row r="2842" spans="1:12">
      <c r="A2842" t="s">
        <v>3649</v>
      </c>
      <c r="B2842" s="1">
        <v>46203</v>
      </c>
      <c r="C2842" t="s">
        <v>1207</v>
      </c>
      <c r="D2842" t="s">
        <v>62</v>
      </c>
      <c r="E2842" t="s">
        <v>40</v>
      </c>
      <c r="F2842">
        <v>4</v>
      </c>
      <c r="G2842">
        <v>599</v>
      </c>
      <c r="H2842">
        <v>0.1</v>
      </c>
      <c r="I2842" t="s">
        <v>47</v>
      </c>
      <c r="J2842" t="s">
        <v>22</v>
      </c>
      <c r="K2842" t="s">
        <v>23</v>
      </c>
      <c r="L2842">
        <f>F2841*G2841*(1-H2841)</f>
        <v>4497</v>
      </c>
    </row>
    <row r="2843" spans="1:12">
      <c r="A2843" t="s">
        <v>3650</v>
      </c>
      <c r="B2843" s="1">
        <v>46101</v>
      </c>
      <c r="C2843" t="s">
        <v>160</v>
      </c>
      <c r="D2843" t="s">
        <v>26</v>
      </c>
      <c r="E2843" t="s">
        <v>14</v>
      </c>
      <c r="F2843">
        <v>3</v>
      </c>
      <c r="G2843">
        <v>1299</v>
      </c>
      <c r="H2843">
        <v>0.15</v>
      </c>
      <c r="I2843" t="s">
        <v>47</v>
      </c>
      <c r="J2843" t="s">
        <v>51</v>
      </c>
      <c r="K2843" t="s">
        <v>17</v>
      </c>
      <c r="L2843">
        <f>F2842*G2842*(1-H2842)</f>
        <v>2156.4</v>
      </c>
    </row>
    <row r="2844" spans="1:12">
      <c r="A2844" t="s">
        <v>3651</v>
      </c>
      <c r="B2844" s="1">
        <v>46277</v>
      </c>
      <c r="C2844" t="s">
        <v>2898</v>
      </c>
      <c r="D2844" t="s">
        <v>31</v>
      </c>
      <c r="E2844" t="s">
        <v>14</v>
      </c>
      <c r="F2844">
        <v>2</v>
      </c>
      <c r="G2844">
        <v>7999</v>
      </c>
      <c r="H2844">
        <v>0.15</v>
      </c>
      <c r="I2844" t="s">
        <v>15</v>
      </c>
      <c r="J2844" t="s">
        <v>16</v>
      </c>
      <c r="K2844" t="s">
        <v>17</v>
      </c>
      <c r="L2844">
        <f>F2843*G2843*(1-H2843)</f>
        <v>3312.45</v>
      </c>
    </row>
    <row r="2845" spans="1:12">
      <c r="A2845" t="s">
        <v>3652</v>
      </c>
      <c r="B2845" s="1">
        <v>46270</v>
      </c>
      <c r="C2845" t="s">
        <v>1750</v>
      </c>
      <c r="D2845" t="s">
        <v>31</v>
      </c>
      <c r="E2845" t="s">
        <v>21</v>
      </c>
      <c r="F2845">
        <v>3</v>
      </c>
      <c r="G2845">
        <v>599</v>
      </c>
      <c r="H2845">
        <v>0.1</v>
      </c>
      <c r="I2845" t="s">
        <v>15</v>
      </c>
      <c r="J2845" t="s">
        <v>22</v>
      </c>
      <c r="K2845" t="s">
        <v>17</v>
      </c>
      <c r="L2845">
        <f>F2844*G2844*(1-H2844)</f>
        <v>13598.3</v>
      </c>
    </row>
    <row r="2846" spans="1:12">
      <c r="A2846" t="s">
        <v>3653</v>
      </c>
      <c r="B2846" s="1">
        <v>46258</v>
      </c>
      <c r="C2846" t="s">
        <v>1105</v>
      </c>
      <c r="D2846" t="s">
        <v>43</v>
      </c>
      <c r="E2846" t="s">
        <v>35</v>
      </c>
      <c r="F2846">
        <v>2</v>
      </c>
      <c r="G2846">
        <v>7999</v>
      </c>
      <c r="H2846">
        <v>0.1</v>
      </c>
      <c r="I2846" t="s">
        <v>15</v>
      </c>
      <c r="J2846" t="s">
        <v>51</v>
      </c>
      <c r="K2846" t="s">
        <v>17</v>
      </c>
      <c r="L2846">
        <f>F2845*G2845*(1-H2845)</f>
        <v>1617.3</v>
      </c>
    </row>
    <row r="2847" spans="1:12">
      <c r="A2847" t="s">
        <v>3654</v>
      </c>
      <c r="B2847" s="1">
        <v>46266</v>
      </c>
      <c r="C2847" t="s">
        <v>857</v>
      </c>
      <c r="D2847" t="s">
        <v>20</v>
      </c>
      <c r="E2847" t="s">
        <v>21</v>
      </c>
      <c r="F2847">
        <v>2</v>
      </c>
      <c r="G2847">
        <v>7999</v>
      </c>
      <c r="H2847">
        <v>0.15</v>
      </c>
      <c r="I2847" t="s">
        <v>50</v>
      </c>
      <c r="J2847" t="s">
        <v>22</v>
      </c>
      <c r="K2847" t="s">
        <v>23</v>
      </c>
      <c r="L2847">
        <f>F2846*G2846*(1-H2846)</f>
        <v>14398.2</v>
      </c>
    </row>
    <row r="2848" spans="1:12">
      <c r="A2848" t="s">
        <v>3655</v>
      </c>
      <c r="B2848" s="1">
        <v>46156</v>
      </c>
      <c r="C2848" t="s">
        <v>1218</v>
      </c>
      <c r="D2848" t="s">
        <v>62</v>
      </c>
      <c r="E2848" t="s">
        <v>35</v>
      </c>
      <c r="F2848">
        <v>3</v>
      </c>
      <c r="G2848">
        <v>799</v>
      </c>
      <c r="H2848">
        <v>0.15</v>
      </c>
      <c r="I2848" t="s">
        <v>44</v>
      </c>
      <c r="J2848" t="s">
        <v>51</v>
      </c>
      <c r="K2848" t="s">
        <v>17</v>
      </c>
      <c r="L2848">
        <f>F2847*G2847*(1-H2847)</f>
        <v>13598.3</v>
      </c>
    </row>
    <row r="2849" spans="1:12">
      <c r="A2849" t="s">
        <v>3656</v>
      </c>
      <c r="B2849" s="1">
        <v>46273</v>
      </c>
      <c r="C2849" t="s">
        <v>1593</v>
      </c>
      <c r="D2849" t="s">
        <v>62</v>
      </c>
      <c r="E2849" t="s">
        <v>14</v>
      </c>
      <c r="F2849">
        <v>4</v>
      </c>
      <c r="G2849">
        <v>999</v>
      </c>
      <c r="H2849">
        <v>0</v>
      </c>
      <c r="I2849" t="s">
        <v>32</v>
      </c>
      <c r="J2849" t="s">
        <v>16</v>
      </c>
      <c r="K2849" t="s">
        <v>37</v>
      </c>
      <c r="L2849">
        <f>F2848*G2848*(1-H2848)</f>
        <v>2037.45</v>
      </c>
    </row>
    <row r="2850" spans="1:12">
      <c r="A2850" t="s">
        <v>3657</v>
      </c>
      <c r="B2850" s="1">
        <v>46051</v>
      </c>
      <c r="C2850" t="s">
        <v>1105</v>
      </c>
      <c r="D2850" t="s">
        <v>31</v>
      </c>
      <c r="E2850" t="s">
        <v>21</v>
      </c>
      <c r="F2850">
        <v>1</v>
      </c>
      <c r="G2850">
        <v>1499</v>
      </c>
      <c r="H2850">
        <v>0</v>
      </c>
      <c r="I2850" t="s">
        <v>32</v>
      </c>
      <c r="J2850" t="s">
        <v>28</v>
      </c>
      <c r="K2850" t="s">
        <v>37</v>
      </c>
      <c r="L2850">
        <f>F2849*G2849*(1-H2849)</f>
        <v>3996</v>
      </c>
    </row>
    <row r="2851" spans="1:12">
      <c r="A2851" t="s">
        <v>3658</v>
      </c>
      <c r="B2851" s="1">
        <v>46053</v>
      </c>
      <c r="C2851" t="s">
        <v>1062</v>
      </c>
      <c r="D2851" t="s">
        <v>13</v>
      </c>
      <c r="E2851" t="s">
        <v>14</v>
      </c>
      <c r="F2851">
        <v>1</v>
      </c>
      <c r="G2851">
        <v>4999</v>
      </c>
      <c r="H2851">
        <v>0.05</v>
      </c>
      <c r="I2851" t="s">
        <v>15</v>
      </c>
      <c r="J2851" t="s">
        <v>16</v>
      </c>
      <c r="K2851" t="s">
        <v>17</v>
      </c>
      <c r="L2851">
        <f>F2850*G2850*(1-H2850)</f>
        <v>1499</v>
      </c>
    </row>
    <row r="2852" spans="1:12">
      <c r="A2852" t="s">
        <v>3659</v>
      </c>
      <c r="B2852" s="1">
        <v>46122</v>
      </c>
      <c r="C2852" t="s">
        <v>2241</v>
      </c>
      <c r="D2852" t="s">
        <v>56</v>
      </c>
      <c r="E2852" t="s">
        <v>40</v>
      </c>
      <c r="F2852">
        <v>5</v>
      </c>
      <c r="G2852">
        <v>1499</v>
      </c>
      <c r="H2852">
        <v>0.05</v>
      </c>
      <c r="I2852" t="s">
        <v>44</v>
      </c>
      <c r="J2852" t="s">
        <v>22</v>
      </c>
      <c r="K2852" t="s">
        <v>37</v>
      </c>
      <c r="L2852">
        <f>F2851*G2851*(1-H2851)</f>
        <v>4749.05</v>
      </c>
    </row>
    <row r="2853" spans="1:12">
      <c r="A2853" t="s">
        <v>3660</v>
      </c>
      <c r="B2853" s="1">
        <v>46201</v>
      </c>
      <c r="C2853" t="s">
        <v>1572</v>
      </c>
      <c r="D2853" t="s">
        <v>59</v>
      </c>
      <c r="E2853" t="s">
        <v>14</v>
      </c>
      <c r="F2853">
        <v>1</v>
      </c>
      <c r="G2853">
        <v>1999</v>
      </c>
      <c r="H2853">
        <v>0.05</v>
      </c>
      <c r="I2853" t="s">
        <v>32</v>
      </c>
      <c r="J2853" t="s">
        <v>22</v>
      </c>
      <c r="K2853" t="s">
        <v>23</v>
      </c>
      <c r="L2853">
        <f>F2852*G2852*(1-H2852)</f>
        <v>7120.25</v>
      </c>
    </row>
    <row r="2854" spans="1:12">
      <c r="A2854" t="s">
        <v>3661</v>
      </c>
      <c r="B2854" s="1">
        <v>46069</v>
      </c>
      <c r="C2854" t="s">
        <v>353</v>
      </c>
      <c r="D2854" t="s">
        <v>56</v>
      </c>
      <c r="E2854" t="s">
        <v>35</v>
      </c>
      <c r="F2854">
        <v>1</v>
      </c>
      <c r="G2854">
        <v>599</v>
      </c>
      <c r="H2854">
        <v>0.05</v>
      </c>
      <c r="I2854" t="s">
        <v>32</v>
      </c>
      <c r="J2854" t="s">
        <v>36</v>
      </c>
      <c r="K2854" t="s">
        <v>37</v>
      </c>
      <c r="L2854">
        <f>F2853*G2853*(1-H2853)</f>
        <v>1899.05</v>
      </c>
    </row>
    <row r="2855" spans="1:12">
      <c r="A2855" t="s">
        <v>3662</v>
      </c>
      <c r="B2855" s="1">
        <v>46198</v>
      </c>
      <c r="C2855" t="s">
        <v>442</v>
      </c>
      <c r="D2855" t="s">
        <v>31</v>
      </c>
      <c r="E2855" t="s">
        <v>21</v>
      </c>
      <c r="F2855">
        <v>1</v>
      </c>
      <c r="G2855">
        <v>799</v>
      </c>
      <c r="H2855">
        <v>0</v>
      </c>
      <c r="I2855" t="s">
        <v>44</v>
      </c>
      <c r="J2855" t="s">
        <v>36</v>
      </c>
      <c r="K2855" t="s">
        <v>17</v>
      </c>
      <c r="L2855">
        <f>F2854*G2854*(1-H2854)</f>
        <v>569.04999999999995</v>
      </c>
    </row>
    <row r="2856" spans="1:12">
      <c r="A2856" t="s">
        <v>3663</v>
      </c>
      <c r="B2856" s="1">
        <v>46245</v>
      </c>
      <c r="C2856" t="s">
        <v>164</v>
      </c>
      <c r="D2856" t="s">
        <v>31</v>
      </c>
      <c r="E2856" t="s">
        <v>27</v>
      </c>
      <c r="F2856">
        <v>4</v>
      </c>
      <c r="G2856">
        <v>999</v>
      </c>
      <c r="H2856">
        <v>0</v>
      </c>
      <c r="I2856" t="s">
        <v>32</v>
      </c>
      <c r="J2856" t="s">
        <v>36</v>
      </c>
      <c r="K2856" t="s">
        <v>17</v>
      </c>
      <c r="L2856">
        <f>F2855*G2855*(1-H2855)</f>
        <v>799</v>
      </c>
    </row>
    <row r="2857" spans="1:12">
      <c r="A2857" t="s">
        <v>3664</v>
      </c>
      <c r="B2857" s="1">
        <v>46223</v>
      </c>
      <c r="C2857" t="s">
        <v>600</v>
      </c>
      <c r="D2857" t="s">
        <v>59</v>
      </c>
      <c r="E2857" t="s">
        <v>35</v>
      </c>
      <c r="F2857">
        <v>3</v>
      </c>
      <c r="G2857">
        <v>999</v>
      </c>
      <c r="H2857">
        <v>0.1</v>
      </c>
      <c r="I2857" t="s">
        <v>47</v>
      </c>
      <c r="J2857" t="s">
        <v>36</v>
      </c>
      <c r="K2857" t="s">
        <v>23</v>
      </c>
      <c r="L2857">
        <f>F2856*G2856*(1-H2856)</f>
        <v>3996</v>
      </c>
    </row>
    <row r="2858" spans="1:12">
      <c r="A2858" t="s">
        <v>3665</v>
      </c>
      <c r="B2858" s="1">
        <v>46246</v>
      </c>
      <c r="C2858" t="s">
        <v>1009</v>
      </c>
      <c r="D2858" t="s">
        <v>59</v>
      </c>
      <c r="E2858" t="s">
        <v>27</v>
      </c>
      <c r="F2858">
        <v>4</v>
      </c>
      <c r="G2858">
        <v>1499</v>
      </c>
      <c r="H2858">
        <v>0.15</v>
      </c>
      <c r="I2858" t="s">
        <v>44</v>
      </c>
      <c r="J2858" t="s">
        <v>36</v>
      </c>
      <c r="K2858" t="s">
        <v>37</v>
      </c>
      <c r="L2858">
        <f>F2857*G2857*(1-H2857)</f>
        <v>2697.3</v>
      </c>
    </row>
    <row r="2859" spans="1:12">
      <c r="A2859" t="s">
        <v>3666</v>
      </c>
      <c r="B2859" s="1">
        <v>46076</v>
      </c>
      <c r="C2859" t="s">
        <v>199</v>
      </c>
      <c r="D2859" t="s">
        <v>31</v>
      </c>
      <c r="E2859" t="s">
        <v>21</v>
      </c>
      <c r="F2859">
        <v>3</v>
      </c>
      <c r="G2859">
        <v>599</v>
      </c>
      <c r="H2859">
        <v>0</v>
      </c>
      <c r="I2859" t="s">
        <v>47</v>
      </c>
      <c r="J2859" t="s">
        <v>16</v>
      </c>
      <c r="K2859" t="s">
        <v>37</v>
      </c>
      <c r="L2859">
        <f>F2858*G2858*(1-H2858)</f>
        <v>5096.5999999999995</v>
      </c>
    </row>
    <row r="2860" spans="1:12">
      <c r="A2860" t="s">
        <v>3667</v>
      </c>
      <c r="B2860" s="1">
        <v>46259</v>
      </c>
      <c r="C2860" t="s">
        <v>1393</v>
      </c>
      <c r="D2860" t="s">
        <v>31</v>
      </c>
      <c r="E2860" t="s">
        <v>21</v>
      </c>
      <c r="F2860">
        <v>2</v>
      </c>
      <c r="G2860">
        <v>499</v>
      </c>
      <c r="H2860">
        <v>0.15</v>
      </c>
      <c r="I2860" t="s">
        <v>32</v>
      </c>
      <c r="J2860" t="s">
        <v>22</v>
      </c>
      <c r="K2860" t="s">
        <v>17</v>
      </c>
      <c r="L2860">
        <f>F2859*G2859*(1-H2859)</f>
        <v>1797</v>
      </c>
    </row>
    <row r="2861" spans="1:12">
      <c r="A2861" t="s">
        <v>3668</v>
      </c>
      <c r="B2861" s="1">
        <v>46179</v>
      </c>
      <c r="C2861" t="s">
        <v>560</v>
      </c>
      <c r="D2861" t="s">
        <v>26</v>
      </c>
      <c r="E2861" t="s">
        <v>14</v>
      </c>
      <c r="F2861">
        <v>3</v>
      </c>
      <c r="G2861">
        <v>499</v>
      </c>
      <c r="H2861">
        <v>0</v>
      </c>
      <c r="I2861" t="s">
        <v>32</v>
      </c>
      <c r="J2861" t="s">
        <v>16</v>
      </c>
      <c r="K2861" t="s">
        <v>17</v>
      </c>
      <c r="L2861">
        <f>F2860*G2860*(1-H2860)</f>
        <v>848.3</v>
      </c>
    </row>
    <row r="2862" spans="1:12">
      <c r="A2862" t="s">
        <v>3669</v>
      </c>
      <c r="B2862" s="1">
        <v>46155</v>
      </c>
      <c r="C2862" t="s">
        <v>265</v>
      </c>
      <c r="D2862" t="s">
        <v>62</v>
      </c>
      <c r="E2862" t="s">
        <v>21</v>
      </c>
      <c r="F2862">
        <v>4</v>
      </c>
      <c r="G2862">
        <v>999</v>
      </c>
      <c r="H2862">
        <v>0.1</v>
      </c>
      <c r="I2862" t="s">
        <v>32</v>
      </c>
      <c r="J2862" t="s">
        <v>28</v>
      </c>
      <c r="K2862" t="s">
        <v>17</v>
      </c>
      <c r="L2862">
        <f>F2861*G2861*(1-H2861)</f>
        <v>1497</v>
      </c>
    </row>
    <row r="2863" spans="1:12">
      <c r="A2863" t="s">
        <v>3670</v>
      </c>
      <c r="B2863" s="1">
        <v>46025</v>
      </c>
      <c r="C2863" t="s">
        <v>741</v>
      </c>
      <c r="D2863" t="s">
        <v>56</v>
      </c>
      <c r="E2863" t="s">
        <v>14</v>
      </c>
      <c r="F2863">
        <v>4</v>
      </c>
      <c r="G2863">
        <v>599</v>
      </c>
      <c r="H2863">
        <v>0.15</v>
      </c>
      <c r="I2863" t="s">
        <v>15</v>
      </c>
      <c r="J2863" t="s">
        <v>36</v>
      </c>
      <c r="K2863" t="s">
        <v>17</v>
      </c>
      <c r="L2863">
        <f>F2862*G2862*(1-H2862)</f>
        <v>3596.4</v>
      </c>
    </row>
    <row r="2864" spans="1:12">
      <c r="A2864" t="s">
        <v>3671</v>
      </c>
      <c r="B2864" s="1">
        <v>46025</v>
      </c>
      <c r="C2864" t="s">
        <v>3672</v>
      </c>
      <c r="D2864" t="s">
        <v>62</v>
      </c>
      <c r="E2864" t="s">
        <v>21</v>
      </c>
      <c r="F2864">
        <v>4</v>
      </c>
      <c r="G2864">
        <v>799</v>
      </c>
      <c r="H2864">
        <v>0</v>
      </c>
      <c r="I2864" t="s">
        <v>50</v>
      </c>
      <c r="J2864" t="s">
        <v>51</v>
      </c>
      <c r="K2864" t="s">
        <v>23</v>
      </c>
      <c r="L2864">
        <f>F2863*G2863*(1-H2863)</f>
        <v>2036.6</v>
      </c>
    </row>
    <row r="2865" spans="1:12">
      <c r="A2865" t="s">
        <v>3673</v>
      </c>
      <c r="B2865" s="1">
        <v>46209</v>
      </c>
      <c r="C2865" t="s">
        <v>386</v>
      </c>
      <c r="D2865" t="s">
        <v>78</v>
      </c>
      <c r="E2865" t="s">
        <v>40</v>
      </c>
      <c r="F2865">
        <v>1</v>
      </c>
      <c r="G2865">
        <v>999</v>
      </c>
      <c r="H2865">
        <v>0.15</v>
      </c>
      <c r="I2865" t="s">
        <v>50</v>
      </c>
      <c r="J2865" t="s">
        <v>22</v>
      </c>
      <c r="K2865" t="s">
        <v>37</v>
      </c>
      <c r="L2865">
        <f>F2864*G2864*(1-H2864)</f>
        <v>3196</v>
      </c>
    </row>
    <row r="2866" spans="1:12">
      <c r="A2866" t="s">
        <v>3674</v>
      </c>
      <c r="B2866" s="1">
        <v>46223</v>
      </c>
      <c r="C2866" t="s">
        <v>1486</v>
      </c>
      <c r="D2866" t="s">
        <v>13</v>
      </c>
      <c r="E2866" t="s">
        <v>14</v>
      </c>
      <c r="F2866">
        <v>5</v>
      </c>
      <c r="G2866">
        <v>1999</v>
      </c>
      <c r="H2866">
        <v>0</v>
      </c>
      <c r="I2866" t="s">
        <v>47</v>
      </c>
      <c r="J2866" t="s">
        <v>22</v>
      </c>
      <c r="K2866" t="s">
        <v>17</v>
      </c>
      <c r="L2866">
        <f>F2865*G2865*(1-H2865)</f>
        <v>849.15</v>
      </c>
    </row>
    <row r="2867" spans="1:12">
      <c r="A2867" t="s">
        <v>3675</v>
      </c>
      <c r="B2867" s="1">
        <v>46196</v>
      </c>
      <c r="C2867" t="s">
        <v>98</v>
      </c>
      <c r="D2867" t="s">
        <v>26</v>
      </c>
      <c r="E2867" t="s">
        <v>35</v>
      </c>
      <c r="F2867">
        <v>2</v>
      </c>
      <c r="G2867">
        <v>599</v>
      </c>
      <c r="H2867">
        <v>0.05</v>
      </c>
      <c r="I2867" t="s">
        <v>15</v>
      </c>
      <c r="J2867" t="s">
        <v>28</v>
      </c>
      <c r="K2867" t="s">
        <v>23</v>
      </c>
      <c r="L2867">
        <f>F2866*G2866*(1-H2866)</f>
        <v>9995</v>
      </c>
    </row>
    <row r="2868" spans="1:12">
      <c r="A2868" t="s">
        <v>3676</v>
      </c>
      <c r="B2868" s="1">
        <v>46131</v>
      </c>
      <c r="C2868" t="s">
        <v>1643</v>
      </c>
      <c r="D2868" t="s">
        <v>56</v>
      </c>
      <c r="E2868" t="s">
        <v>35</v>
      </c>
      <c r="F2868">
        <v>2</v>
      </c>
      <c r="G2868">
        <v>1299</v>
      </c>
      <c r="H2868">
        <v>0.1</v>
      </c>
      <c r="I2868" t="s">
        <v>15</v>
      </c>
      <c r="J2868" t="s">
        <v>16</v>
      </c>
      <c r="K2868" t="s">
        <v>17</v>
      </c>
      <c r="L2868">
        <f>F2867*G2867*(1-H2867)</f>
        <v>1138.0999999999999</v>
      </c>
    </row>
    <row r="2869" spans="1:12">
      <c r="A2869" t="s">
        <v>3677</v>
      </c>
      <c r="B2869" s="1">
        <v>46121</v>
      </c>
      <c r="C2869" t="s">
        <v>513</v>
      </c>
      <c r="D2869" t="s">
        <v>43</v>
      </c>
      <c r="E2869" t="s">
        <v>35</v>
      </c>
      <c r="F2869">
        <v>2</v>
      </c>
      <c r="G2869">
        <v>1499</v>
      </c>
      <c r="H2869">
        <v>0</v>
      </c>
      <c r="I2869" t="s">
        <v>15</v>
      </c>
      <c r="J2869" t="s">
        <v>28</v>
      </c>
      <c r="K2869" t="s">
        <v>37</v>
      </c>
      <c r="L2869">
        <f>F2868*G2868*(1-H2868)</f>
        <v>2338.2000000000003</v>
      </c>
    </row>
    <row r="2870" spans="1:12">
      <c r="A2870" t="s">
        <v>3678</v>
      </c>
      <c r="B2870" s="1">
        <v>46126</v>
      </c>
      <c r="C2870" t="s">
        <v>287</v>
      </c>
      <c r="D2870" t="s">
        <v>56</v>
      </c>
      <c r="E2870" t="s">
        <v>40</v>
      </c>
      <c r="F2870">
        <v>2</v>
      </c>
      <c r="G2870">
        <v>1299</v>
      </c>
      <c r="H2870">
        <v>0.1</v>
      </c>
      <c r="I2870" t="s">
        <v>44</v>
      </c>
      <c r="J2870" t="s">
        <v>28</v>
      </c>
      <c r="K2870" t="s">
        <v>17</v>
      </c>
      <c r="L2870">
        <f>F2869*G2869*(1-H2869)</f>
        <v>2998</v>
      </c>
    </row>
    <row r="2871" spans="1:12">
      <c r="A2871" t="s">
        <v>3679</v>
      </c>
      <c r="B2871" s="1">
        <v>46041</v>
      </c>
      <c r="C2871" t="s">
        <v>874</v>
      </c>
      <c r="D2871" t="s">
        <v>13</v>
      </c>
      <c r="E2871" t="s">
        <v>35</v>
      </c>
      <c r="F2871">
        <v>5</v>
      </c>
      <c r="G2871">
        <v>1299</v>
      </c>
      <c r="H2871">
        <v>0.05</v>
      </c>
      <c r="I2871" t="s">
        <v>15</v>
      </c>
      <c r="J2871" t="s">
        <v>51</v>
      </c>
      <c r="K2871" t="s">
        <v>17</v>
      </c>
      <c r="L2871">
        <f>F2870*G2870*(1-H2870)</f>
        <v>2338.2000000000003</v>
      </c>
    </row>
    <row r="2872" spans="1:12">
      <c r="A2872" t="s">
        <v>3680</v>
      </c>
      <c r="B2872" s="1">
        <v>46125</v>
      </c>
      <c r="C2872" t="s">
        <v>1194</v>
      </c>
      <c r="D2872" t="s">
        <v>78</v>
      </c>
      <c r="E2872" t="s">
        <v>40</v>
      </c>
      <c r="F2872">
        <v>4</v>
      </c>
      <c r="G2872">
        <v>799</v>
      </c>
      <c r="H2872">
        <v>0</v>
      </c>
      <c r="I2872" t="s">
        <v>32</v>
      </c>
      <c r="J2872" t="s">
        <v>36</v>
      </c>
      <c r="K2872" t="s">
        <v>37</v>
      </c>
      <c r="L2872">
        <f>F2871*G2871*(1-H2871)</f>
        <v>6170.25</v>
      </c>
    </row>
    <row r="2873" spans="1:12">
      <c r="A2873" t="s">
        <v>3681</v>
      </c>
      <c r="B2873" s="1">
        <v>46208</v>
      </c>
      <c r="C2873" t="s">
        <v>631</v>
      </c>
      <c r="D2873" t="s">
        <v>71</v>
      </c>
      <c r="E2873" t="s">
        <v>40</v>
      </c>
      <c r="F2873">
        <v>4</v>
      </c>
      <c r="G2873">
        <v>1299</v>
      </c>
      <c r="H2873">
        <v>0</v>
      </c>
      <c r="I2873" t="s">
        <v>44</v>
      </c>
      <c r="J2873" t="s">
        <v>16</v>
      </c>
      <c r="K2873" t="s">
        <v>23</v>
      </c>
      <c r="L2873">
        <f>F2872*G2872*(1-H2872)</f>
        <v>3196</v>
      </c>
    </row>
    <row r="2874" spans="1:12">
      <c r="A2874" t="s">
        <v>3682</v>
      </c>
      <c r="B2874" s="1">
        <v>46290</v>
      </c>
      <c r="C2874" t="s">
        <v>2856</v>
      </c>
      <c r="D2874" t="s">
        <v>62</v>
      </c>
      <c r="E2874" t="s">
        <v>21</v>
      </c>
      <c r="F2874">
        <v>2</v>
      </c>
      <c r="G2874">
        <v>499</v>
      </c>
      <c r="H2874">
        <v>0</v>
      </c>
      <c r="I2874" t="s">
        <v>50</v>
      </c>
      <c r="J2874" t="s">
        <v>22</v>
      </c>
      <c r="K2874" t="s">
        <v>17</v>
      </c>
      <c r="L2874">
        <f>F2873*G2873*(1-H2873)</f>
        <v>5196</v>
      </c>
    </row>
    <row r="2875" spans="1:12">
      <c r="A2875" t="s">
        <v>3683</v>
      </c>
      <c r="B2875" s="1">
        <v>46213</v>
      </c>
      <c r="C2875" t="s">
        <v>597</v>
      </c>
      <c r="D2875" t="s">
        <v>78</v>
      </c>
      <c r="E2875" t="s">
        <v>27</v>
      </c>
      <c r="F2875">
        <v>5</v>
      </c>
      <c r="G2875">
        <v>2499</v>
      </c>
      <c r="H2875">
        <v>0.1</v>
      </c>
      <c r="I2875" t="s">
        <v>15</v>
      </c>
      <c r="J2875" t="s">
        <v>36</v>
      </c>
      <c r="K2875" t="s">
        <v>23</v>
      </c>
      <c r="L2875">
        <f>F2874*G2874*(1-H2874)</f>
        <v>998</v>
      </c>
    </row>
    <row r="2876" spans="1:12">
      <c r="A2876" t="s">
        <v>3684</v>
      </c>
      <c r="B2876" s="1">
        <v>46251</v>
      </c>
      <c r="C2876" t="s">
        <v>2856</v>
      </c>
      <c r="D2876" t="s">
        <v>43</v>
      </c>
      <c r="E2876" t="s">
        <v>40</v>
      </c>
      <c r="F2876">
        <v>5</v>
      </c>
      <c r="G2876">
        <v>4999</v>
      </c>
      <c r="H2876">
        <v>0</v>
      </c>
      <c r="I2876" t="s">
        <v>47</v>
      </c>
      <c r="J2876" t="s">
        <v>16</v>
      </c>
      <c r="K2876" t="s">
        <v>23</v>
      </c>
      <c r="L2876">
        <f>F2875*G2875*(1-H2875)</f>
        <v>11245.5</v>
      </c>
    </row>
    <row r="2877" spans="1:12">
      <c r="A2877" t="s">
        <v>3685</v>
      </c>
      <c r="B2877" s="1">
        <v>46128</v>
      </c>
      <c r="C2877" t="s">
        <v>1169</v>
      </c>
      <c r="D2877" t="s">
        <v>59</v>
      </c>
      <c r="E2877" t="s">
        <v>21</v>
      </c>
      <c r="F2877">
        <v>1</v>
      </c>
      <c r="G2877">
        <v>799</v>
      </c>
      <c r="H2877">
        <v>0.15</v>
      </c>
      <c r="I2877" t="s">
        <v>50</v>
      </c>
      <c r="J2877" t="s">
        <v>51</v>
      </c>
      <c r="K2877" t="s">
        <v>23</v>
      </c>
      <c r="L2877">
        <f>F2876*G2876*(1-H2876)</f>
        <v>24995</v>
      </c>
    </row>
    <row r="2878" spans="1:12">
      <c r="A2878" t="s">
        <v>3686</v>
      </c>
      <c r="B2878" s="1">
        <v>46230</v>
      </c>
      <c r="C2878" t="s">
        <v>545</v>
      </c>
      <c r="D2878" t="s">
        <v>62</v>
      </c>
      <c r="E2878" t="s">
        <v>35</v>
      </c>
      <c r="F2878">
        <v>2</v>
      </c>
      <c r="G2878">
        <v>499</v>
      </c>
      <c r="H2878">
        <v>0</v>
      </c>
      <c r="I2878" t="s">
        <v>32</v>
      </c>
      <c r="J2878" t="s">
        <v>28</v>
      </c>
      <c r="K2878" t="s">
        <v>17</v>
      </c>
      <c r="L2878">
        <f>F2877*G2877*(1-H2877)</f>
        <v>679.15</v>
      </c>
    </row>
    <row r="2879" spans="1:12">
      <c r="A2879" t="s">
        <v>3687</v>
      </c>
      <c r="B2879" s="1">
        <v>46275</v>
      </c>
      <c r="C2879" t="s">
        <v>3530</v>
      </c>
      <c r="D2879" t="s">
        <v>13</v>
      </c>
      <c r="E2879" t="s">
        <v>21</v>
      </c>
      <c r="F2879">
        <v>5</v>
      </c>
      <c r="G2879">
        <v>499</v>
      </c>
      <c r="H2879">
        <v>0</v>
      </c>
      <c r="I2879" t="s">
        <v>50</v>
      </c>
      <c r="J2879" t="s">
        <v>36</v>
      </c>
      <c r="K2879" t="s">
        <v>17</v>
      </c>
      <c r="L2879">
        <f>F2878*G2878*(1-H2878)</f>
        <v>998</v>
      </c>
    </row>
    <row r="2880" spans="1:12">
      <c r="A2880" t="s">
        <v>3688</v>
      </c>
      <c r="B2880" s="1">
        <v>46068</v>
      </c>
      <c r="C2880" t="s">
        <v>1561</v>
      </c>
      <c r="D2880" t="s">
        <v>31</v>
      </c>
      <c r="E2880" t="s">
        <v>21</v>
      </c>
      <c r="F2880">
        <v>5</v>
      </c>
      <c r="G2880">
        <v>2499</v>
      </c>
      <c r="H2880">
        <v>0</v>
      </c>
      <c r="I2880" t="s">
        <v>50</v>
      </c>
      <c r="J2880" t="s">
        <v>22</v>
      </c>
      <c r="K2880" t="s">
        <v>23</v>
      </c>
      <c r="L2880">
        <f>F2879*G2879*(1-H2879)</f>
        <v>2495</v>
      </c>
    </row>
    <row r="2881" spans="1:12">
      <c r="A2881" t="s">
        <v>3689</v>
      </c>
      <c r="B2881" s="1">
        <v>46096</v>
      </c>
      <c r="C2881" t="s">
        <v>997</v>
      </c>
      <c r="D2881" t="s">
        <v>26</v>
      </c>
      <c r="E2881" t="s">
        <v>27</v>
      </c>
      <c r="F2881">
        <v>3</v>
      </c>
      <c r="G2881">
        <v>1999</v>
      </c>
      <c r="H2881">
        <v>0.15</v>
      </c>
      <c r="I2881" t="s">
        <v>44</v>
      </c>
      <c r="J2881" t="s">
        <v>22</v>
      </c>
      <c r="K2881" t="s">
        <v>17</v>
      </c>
      <c r="L2881">
        <f>F2880*G2880*(1-H2880)</f>
        <v>12495</v>
      </c>
    </row>
    <row r="2882" spans="1:12">
      <c r="A2882" t="s">
        <v>3690</v>
      </c>
      <c r="B2882" s="1">
        <v>46218</v>
      </c>
      <c r="C2882" t="s">
        <v>380</v>
      </c>
      <c r="D2882" t="s">
        <v>13</v>
      </c>
      <c r="E2882" t="s">
        <v>14</v>
      </c>
      <c r="F2882">
        <v>5</v>
      </c>
      <c r="G2882">
        <v>2499</v>
      </c>
      <c r="H2882">
        <v>0</v>
      </c>
      <c r="I2882" t="s">
        <v>50</v>
      </c>
      <c r="J2882" t="s">
        <v>22</v>
      </c>
      <c r="K2882" t="s">
        <v>17</v>
      </c>
      <c r="L2882">
        <f>F2881*G2881*(1-H2881)</f>
        <v>5097.45</v>
      </c>
    </row>
    <row r="2883" spans="1:12">
      <c r="A2883" t="s">
        <v>3691</v>
      </c>
      <c r="B2883" s="1">
        <v>46208</v>
      </c>
      <c r="C2883" t="s">
        <v>178</v>
      </c>
      <c r="D2883" t="s">
        <v>62</v>
      </c>
      <c r="E2883" t="s">
        <v>40</v>
      </c>
      <c r="F2883">
        <v>1</v>
      </c>
      <c r="G2883">
        <v>1999</v>
      </c>
      <c r="H2883">
        <v>0</v>
      </c>
      <c r="I2883" t="s">
        <v>44</v>
      </c>
      <c r="J2883" t="s">
        <v>22</v>
      </c>
      <c r="K2883" t="s">
        <v>17</v>
      </c>
      <c r="L2883">
        <f>F2882*G2882*(1-H2882)</f>
        <v>12495</v>
      </c>
    </row>
    <row r="2884" spans="1:12">
      <c r="A2884" t="s">
        <v>3692</v>
      </c>
      <c r="B2884" s="1">
        <v>46286</v>
      </c>
      <c r="C2884" t="s">
        <v>649</v>
      </c>
      <c r="D2884" t="s">
        <v>62</v>
      </c>
      <c r="E2884" t="s">
        <v>35</v>
      </c>
      <c r="F2884">
        <v>3</v>
      </c>
      <c r="G2884">
        <v>599</v>
      </c>
      <c r="H2884">
        <v>0.1</v>
      </c>
      <c r="I2884" t="s">
        <v>15</v>
      </c>
      <c r="J2884" t="s">
        <v>16</v>
      </c>
      <c r="K2884" t="s">
        <v>17</v>
      </c>
      <c r="L2884">
        <f>F2883*G2883*(1-H2883)</f>
        <v>1999</v>
      </c>
    </row>
    <row r="2885" spans="1:12">
      <c r="A2885" t="s">
        <v>3693</v>
      </c>
      <c r="B2885" s="1">
        <v>46277</v>
      </c>
      <c r="C2885" t="s">
        <v>1859</v>
      </c>
      <c r="D2885" t="s">
        <v>20</v>
      </c>
      <c r="E2885" t="s">
        <v>21</v>
      </c>
      <c r="F2885">
        <v>1</v>
      </c>
      <c r="G2885">
        <v>1499</v>
      </c>
      <c r="H2885">
        <v>0</v>
      </c>
      <c r="I2885" t="s">
        <v>50</v>
      </c>
      <c r="J2885" t="s">
        <v>51</v>
      </c>
      <c r="K2885" t="s">
        <v>37</v>
      </c>
      <c r="L2885">
        <f>F2884*G2884*(1-H2884)</f>
        <v>1617.3</v>
      </c>
    </row>
    <row r="2886" spans="1:12">
      <c r="A2886" t="s">
        <v>3694</v>
      </c>
      <c r="B2886" s="1">
        <v>46156</v>
      </c>
      <c r="C2886" t="s">
        <v>1578</v>
      </c>
      <c r="D2886" t="s">
        <v>71</v>
      </c>
      <c r="E2886" t="s">
        <v>27</v>
      </c>
      <c r="F2886">
        <v>1</v>
      </c>
      <c r="G2886">
        <v>1999</v>
      </c>
      <c r="H2886">
        <v>0.05</v>
      </c>
      <c r="I2886" t="s">
        <v>47</v>
      </c>
      <c r="J2886" t="s">
        <v>36</v>
      </c>
      <c r="K2886" t="s">
        <v>17</v>
      </c>
      <c r="L2886">
        <f>F2885*G2885*(1-H2885)</f>
        <v>1499</v>
      </c>
    </row>
    <row r="2887" spans="1:12">
      <c r="A2887" t="s">
        <v>3695</v>
      </c>
      <c r="B2887" s="1">
        <v>46126</v>
      </c>
      <c r="C2887" t="s">
        <v>3696</v>
      </c>
      <c r="D2887" t="s">
        <v>62</v>
      </c>
      <c r="E2887" t="s">
        <v>27</v>
      </c>
      <c r="F2887">
        <v>1</v>
      </c>
      <c r="G2887">
        <v>599</v>
      </c>
      <c r="H2887">
        <v>0</v>
      </c>
      <c r="I2887" t="s">
        <v>32</v>
      </c>
      <c r="J2887" t="s">
        <v>22</v>
      </c>
      <c r="K2887" t="s">
        <v>17</v>
      </c>
      <c r="L2887">
        <f>F2886*G2886*(1-H2886)</f>
        <v>1899.05</v>
      </c>
    </row>
    <row r="2888" spans="1:12">
      <c r="A2888" t="s">
        <v>3697</v>
      </c>
      <c r="B2888" s="1">
        <v>46123</v>
      </c>
      <c r="C2888" t="s">
        <v>524</v>
      </c>
      <c r="D2888" t="s">
        <v>31</v>
      </c>
      <c r="E2888" t="s">
        <v>40</v>
      </c>
      <c r="F2888">
        <v>1</v>
      </c>
      <c r="G2888">
        <v>599</v>
      </c>
      <c r="H2888">
        <v>0.1</v>
      </c>
      <c r="I2888" t="s">
        <v>15</v>
      </c>
      <c r="J2888" t="s">
        <v>22</v>
      </c>
      <c r="K2888" t="s">
        <v>37</v>
      </c>
      <c r="L2888">
        <f>F2887*G2887*(1-H2887)</f>
        <v>599</v>
      </c>
    </row>
    <row r="2889" spans="1:12">
      <c r="A2889" t="s">
        <v>3698</v>
      </c>
      <c r="B2889" s="1">
        <v>46063</v>
      </c>
      <c r="C2889" t="s">
        <v>1188</v>
      </c>
      <c r="D2889" t="s">
        <v>59</v>
      </c>
      <c r="E2889" t="s">
        <v>27</v>
      </c>
      <c r="F2889">
        <v>5</v>
      </c>
      <c r="G2889">
        <v>1499</v>
      </c>
      <c r="H2889">
        <v>0</v>
      </c>
      <c r="I2889" t="s">
        <v>32</v>
      </c>
      <c r="J2889" t="s">
        <v>28</v>
      </c>
      <c r="K2889" t="s">
        <v>23</v>
      </c>
      <c r="L2889">
        <f>F2888*G2888*(1-H2888)</f>
        <v>539.1</v>
      </c>
    </row>
    <row r="2890" spans="1:12">
      <c r="A2890" t="s">
        <v>3699</v>
      </c>
      <c r="B2890" s="1">
        <v>46257</v>
      </c>
      <c r="C2890" t="s">
        <v>857</v>
      </c>
      <c r="D2890" t="s">
        <v>31</v>
      </c>
      <c r="E2890" t="s">
        <v>40</v>
      </c>
      <c r="F2890">
        <v>3</v>
      </c>
      <c r="G2890">
        <v>1299</v>
      </c>
      <c r="H2890">
        <v>0.05</v>
      </c>
      <c r="I2890" t="s">
        <v>32</v>
      </c>
      <c r="J2890" t="s">
        <v>51</v>
      </c>
      <c r="K2890" t="s">
        <v>17</v>
      </c>
      <c r="L2890">
        <f>F2889*G2889*(1-H2889)</f>
        <v>7495</v>
      </c>
    </row>
    <row r="2891" spans="1:12">
      <c r="A2891" t="s">
        <v>3700</v>
      </c>
      <c r="B2891" s="1">
        <v>46134</v>
      </c>
      <c r="C2891" t="s">
        <v>905</v>
      </c>
      <c r="D2891" t="s">
        <v>26</v>
      </c>
      <c r="E2891" t="s">
        <v>35</v>
      </c>
      <c r="F2891">
        <v>1</v>
      </c>
      <c r="G2891">
        <v>1299</v>
      </c>
      <c r="H2891">
        <v>0.05</v>
      </c>
      <c r="I2891" t="s">
        <v>15</v>
      </c>
      <c r="J2891" t="s">
        <v>28</v>
      </c>
      <c r="K2891" t="s">
        <v>23</v>
      </c>
      <c r="L2891">
        <f>F2890*G2890*(1-H2890)</f>
        <v>3702.1499999999996</v>
      </c>
    </row>
    <row r="2892" spans="1:12">
      <c r="A2892" t="s">
        <v>3701</v>
      </c>
      <c r="B2892" s="1">
        <v>46221</v>
      </c>
      <c r="C2892" t="s">
        <v>64</v>
      </c>
      <c r="D2892" t="s">
        <v>62</v>
      </c>
      <c r="E2892" t="s">
        <v>40</v>
      </c>
      <c r="F2892">
        <v>4</v>
      </c>
      <c r="G2892">
        <v>599</v>
      </c>
      <c r="H2892">
        <v>0</v>
      </c>
      <c r="I2892" t="s">
        <v>47</v>
      </c>
      <c r="J2892" t="s">
        <v>16</v>
      </c>
      <c r="K2892" t="s">
        <v>23</v>
      </c>
      <c r="L2892">
        <f>F2891*G2891*(1-H2891)</f>
        <v>1234.05</v>
      </c>
    </row>
    <row r="2893" spans="1:12">
      <c r="A2893" t="s">
        <v>3702</v>
      </c>
      <c r="B2893" s="1">
        <v>46204</v>
      </c>
      <c r="C2893" t="s">
        <v>2713</v>
      </c>
      <c r="D2893" t="s">
        <v>43</v>
      </c>
      <c r="E2893" t="s">
        <v>14</v>
      </c>
      <c r="F2893">
        <v>1</v>
      </c>
      <c r="G2893">
        <v>4999</v>
      </c>
      <c r="H2893">
        <v>0</v>
      </c>
      <c r="I2893" t="s">
        <v>44</v>
      </c>
      <c r="J2893" t="s">
        <v>22</v>
      </c>
      <c r="K2893" t="s">
        <v>17</v>
      </c>
      <c r="L2893">
        <f>F2892*G2892*(1-H2892)</f>
        <v>2396</v>
      </c>
    </row>
    <row r="2894" spans="1:12">
      <c r="A2894" t="s">
        <v>3703</v>
      </c>
      <c r="B2894" s="1">
        <v>46040</v>
      </c>
      <c r="C2894" t="s">
        <v>705</v>
      </c>
      <c r="D2894" t="s">
        <v>62</v>
      </c>
      <c r="E2894" t="s">
        <v>40</v>
      </c>
      <c r="F2894">
        <v>4</v>
      </c>
      <c r="G2894">
        <v>599</v>
      </c>
      <c r="H2894">
        <v>0.1</v>
      </c>
      <c r="I2894" t="s">
        <v>44</v>
      </c>
      <c r="J2894" t="s">
        <v>22</v>
      </c>
      <c r="K2894" t="s">
        <v>23</v>
      </c>
      <c r="L2894">
        <f>F2893*G2893*(1-H2893)</f>
        <v>4999</v>
      </c>
    </row>
    <row r="2895" spans="1:12">
      <c r="A2895" t="s">
        <v>3704</v>
      </c>
      <c r="B2895" s="1">
        <v>46086</v>
      </c>
      <c r="C2895" t="s">
        <v>134</v>
      </c>
      <c r="D2895" t="s">
        <v>43</v>
      </c>
      <c r="E2895" t="s">
        <v>35</v>
      </c>
      <c r="F2895">
        <v>2</v>
      </c>
      <c r="G2895">
        <v>4999</v>
      </c>
      <c r="H2895">
        <v>0.05</v>
      </c>
      <c r="I2895" t="s">
        <v>44</v>
      </c>
      <c r="J2895" t="s">
        <v>36</v>
      </c>
      <c r="K2895" t="s">
        <v>17</v>
      </c>
      <c r="L2895">
        <f>F2894*G2894*(1-H2894)</f>
        <v>2156.4</v>
      </c>
    </row>
    <row r="2896" spans="1:12">
      <c r="A2896" t="s">
        <v>3705</v>
      </c>
      <c r="B2896" s="1">
        <v>46284</v>
      </c>
      <c r="C2896" t="s">
        <v>80</v>
      </c>
      <c r="D2896" t="s">
        <v>71</v>
      </c>
      <c r="E2896" t="s">
        <v>27</v>
      </c>
      <c r="F2896">
        <v>3</v>
      </c>
      <c r="G2896">
        <v>7999</v>
      </c>
      <c r="H2896">
        <v>0.05</v>
      </c>
      <c r="I2896" t="s">
        <v>44</v>
      </c>
      <c r="J2896" t="s">
        <v>28</v>
      </c>
      <c r="K2896" t="s">
        <v>17</v>
      </c>
      <c r="L2896">
        <f>F2895*G2895*(1-H2895)</f>
        <v>9498.1</v>
      </c>
    </row>
    <row r="2897" spans="1:12">
      <c r="A2897" t="s">
        <v>3706</v>
      </c>
      <c r="B2897" s="1">
        <v>46248</v>
      </c>
      <c r="C2897" t="s">
        <v>530</v>
      </c>
      <c r="D2897" t="s">
        <v>31</v>
      </c>
      <c r="E2897" t="s">
        <v>27</v>
      </c>
      <c r="F2897">
        <v>5</v>
      </c>
      <c r="G2897">
        <v>999</v>
      </c>
      <c r="H2897">
        <v>0.05</v>
      </c>
      <c r="I2897" t="s">
        <v>47</v>
      </c>
      <c r="J2897" t="s">
        <v>51</v>
      </c>
      <c r="K2897" t="s">
        <v>37</v>
      </c>
      <c r="L2897">
        <f>F2896*G2896*(1-H2896)</f>
        <v>22797.149999999998</v>
      </c>
    </row>
    <row r="2898" spans="1:12">
      <c r="A2898" t="s">
        <v>3707</v>
      </c>
      <c r="B2898" s="1">
        <v>46183</v>
      </c>
      <c r="C2898" t="s">
        <v>55</v>
      </c>
      <c r="D2898" t="s">
        <v>13</v>
      </c>
      <c r="E2898" t="s">
        <v>14</v>
      </c>
      <c r="F2898">
        <v>2</v>
      </c>
      <c r="G2898">
        <v>4999</v>
      </c>
      <c r="H2898">
        <v>0.15</v>
      </c>
      <c r="I2898" t="s">
        <v>50</v>
      </c>
      <c r="J2898" t="s">
        <v>16</v>
      </c>
      <c r="K2898" t="s">
        <v>37</v>
      </c>
      <c r="L2898">
        <f>F2897*G2897*(1-H2897)</f>
        <v>4745.25</v>
      </c>
    </row>
    <row r="2899" spans="1:12">
      <c r="A2899" t="s">
        <v>3708</v>
      </c>
      <c r="B2899" s="1">
        <v>46249</v>
      </c>
      <c r="C2899" t="s">
        <v>560</v>
      </c>
      <c r="D2899" t="s">
        <v>62</v>
      </c>
      <c r="E2899" t="s">
        <v>21</v>
      </c>
      <c r="F2899">
        <v>3</v>
      </c>
      <c r="G2899">
        <v>1299</v>
      </c>
      <c r="H2899">
        <v>0.15</v>
      </c>
      <c r="I2899" t="s">
        <v>50</v>
      </c>
      <c r="J2899" t="s">
        <v>51</v>
      </c>
      <c r="K2899" t="s">
        <v>17</v>
      </c>
      <c r="L2899">
        <f>F2898*G2898*(1-H2898)</f>
        <v>8498.2999999999993</v>
      </c>
    </row>
    <row r="2900" spans="1:12">
      <c r="A2900" t="s">
        <v>3709</v>
      </c>
      <c r="B2900" s="1">
        <v>46098</v>
      </c>
      <c r="C2900" t="s">
        <v>1800</v>
      </c>
      <c r="D2900" t="s">
        <v>31</v>
      </c>
      <c r="E2900" t="s">
        <v>27</v>
      </c>
      <c r="F2900">
        <v>3</v>
      </c>
      <c r="G2900">
        <v>499</v>
      </c>
      <c r="H2900">
        <v>0</v>
      </c>
      <c r="I2900" t="s">
        <v>32</v>
      </c>
      <c r="J2900" t="s">
        <v>36</v>
      </c>
      <c r="K2900" t="s">
        <v>23</v>
      </c>
      <c r="L2900">
        <f>F2899*G2899*(1-H2899)</f>
        <v>3312.45</v>
      </c>
    </row>
    <row r="2901" spans="1:12">
      <c r="A2901" t="s">
        <v>3710</v>
      </c>
      <c r="B2901" s="1">
        <v>46211</v>
      </c>
      <c r="C2901" t="s">
        <v>2130</v>
      </c>
      <c r="D2901" t="s">
        <v>20</v>
      </c>
      <c r="E2901" t="s">
        <v>40</v>
      </c>
      <c r="F2901">
        <v>5</v>
      </c>
      <c r="G2901">
        <v>7999</v>
      </c>
      <c r="H2901">
        <v>0.15</v>
      </c>
      <c r="I2901" t="s">
        <v>44</v>
      </c>
      <c r="J2901" t="s">
        <v>16</v>
      </c>
      <c r="K2901" t="s">
        <v>17</v>
      </c>
      <c r="L2901">
        <f>F2900*G2900*(1-H2900)</f>
        <v>1497</v>
      </c>
    </row>
    <row r="2902" spans="1:12">
      <c r="A2902" t="s">
        <v>3711</v>
      </c>
      <c r="B2902" s="1">
        <v>46143</v>
      </c>
      <c r="C2902" t="s">
        <v>1363</v>
      </c>
      <c r="D2902" t="s">
        <v>62</v>
      </c>
      <c r="E2902" t="s">
        <v>21</v>
      </c>
      <c r="F2902">
        <v>5</v>
      </c>
      <c r="G2902">
        <v>1499</v>
      </c>
      <c r="H2902">
        <v>0</v>
      </c>
      <c r="I2902" t="s">
        <v>47</v>
      </c>
      <c r="J2902" t="s">
        <v>22</v>
      </c>
      <c r="K2902" t="s">
        <v>23</v>
      </c>
      <c r="L2902">
        <f>F2901*G2901*(1-H2901)</f>
        <v>33995.75</v>
      </c>
    </row>
    <row r="2903" spans="1:12">
      <c r="A2903" t="s">
        <v>3712</v>
      </c>
      <c r="B2903" s="1">
        <v>46271</v>
      </c>
      <c r="C2903" t="s">
        <v>1861</v>
      </c>
      <c r="D2903" t="s">
        <v>26</v>
      </c>
      <c r="E2903" t="s">
        <v>21</v>
      </c>
      <c r="F2903">
        <v>1</v>
      </c>
      <c r="G2903">
        <v>1999</v>
      </c>
      <c r="H2903">
        <v>0.15</v>
      </c>
      <c r="I2903" t="s">
        <v>15</v>
      </c>
      <c r="J2903" t="s">
        <v>28</v>
      </c>
      <c r="K2903" t="s">
        <v>17</v>
      </c>
      <c r="L2903">
        <f>F2902*G2902*(1-H2902)</f>
        <v>7495</v>
      </c>
    </row>
    <row r="2904" spans="1:12">
      <c r="A2904" t="s">
        <v>3713</v>
      </c>
      <c r="B2904" s="1">
        <v>46145</v>
      </c>
      <c r="C2904" t="s">
        <v>243</v>
      </c>
      <c r="D2904" t="s">
        <v>13</v>
      </c>
      <c r="E2904" t="s">
        <v>14</v>
      </c>
      <c r="F2904">
        <v>1</v>
      </c>
      <c r="G2904">
        <v>1299</v>
      </c>
      <c r="H2904">
        <v>0.05</v>
      </c>
      <c r="I2904" t="s">
        <v>15</v>
      </c>
      <c r="J2904" t="s">
        <v>22</v>
      </c>
      <c r="K2904" t="s">
        <v>17</v>
      </c>
      <c r="L2904">
        <f>F2903*G2903*(1-H2903)</f>
        <v>1699.1499999999999</v>
      </c>
    </row>
    <row r="2905" spans="1:12">
      <c r="A2905" t="s">
        <v>3714</v>
      </c>
      <c r="B2905" s="1">
        <v>46140</v>
      </c>
      <c r="C2905" t="s">
        <v>205</v>
      </c>
      <c r="D2905" t="s">
        <v>71</v>
      </c>
      <c r="E2905" t="s">
        <v>35</v>
      </c>
      <c r="F2905">
        <v>2</v>
      </c>
      <c r="G2905">
        <v>1299</v>
      </c>
      <c r="H2905">
        <v>0</v>
      </c>
      <c r="I2905" t="s">
        <v>50</v>
      </c>
      <c r="J2905" t="s">
        <v>22</v>
      </c>
      <c r="K2905" t="s">
        <v>23</v>
      </c>
      <c r="L2905">
        <f>F2904*G2904*(1-H2904)</f>
        <v>1234.05</v>
      </c>
    </row>
    <row r="2906" spans="1:12">
      <c r="A2906" t="s">
        <v>3715</v>
      </c>
      <c r="B2906" s="1">
        <v>46259</v>
      </c>
      <c r="C2906" t="s">
        <v>1216</v>
      </c>
      <c r="D2906" t="s">
        <v>43</v>
      </c>
      <c r="E2906" t="s">
        <v>21</v>
      </c>
      <c r="F2906">
        <v>4</v>
      </c>
      <c r="G2906">
        <v>499</v>
      </c>
      <c r="H2906">
        <v>0.1</v>
      </c>
      <c r="I2906" t="s">
        <v>15</v>
      </c>
      <c r="J2906" t="s">
        <v>51</v>
      </c>
      <c r="K2906" t="s">
        <v>17</v>
      </c>
      <c r="L2906">
        <f>F2905*G2905*(1-H2905)</f>
        <v>2598</v>
      </c>
    </row>
    <row r="2907" spans="1:12">
      <c r="A2907" t="s">
        <v>3716</v>
      </c>
      <c r="B2907" s="1">
        <v>46233</v>
      </c>
      <c r="C2907" t="s">
        <v>1923</v>
      </c>
      <c r="D2907" t="s">
        <v>59</v>
      </c>
      <c r="E2907" t="s">
        <v>27</v>
      </c>
      <c r="F2907">
        <v>5</v>
      </c>
      <c r="G2907">
        <v>4999</v>
      </c>
      <c r="H2907">
        <v>0</v>
      </c>
      <c r="I2907" t="s">
        <v>32</v>
      </c>
      <c r="J2907" t="s">
        <v>28</v>
      </c>
      <c r="K2907" t="s">
        <v>17</v>
      </c>
      <c r="L2907">
        <f>F2906*G2906*(1-H2906)</f>
        <v>1796.4</v>
      </c>
    </row>
    <row r="2908" spans="1:12">
      <c r="A2908" t="s">
        <v>3717</v>
      </c>
      <c r="B2908" s="1">
        <v>46250</v>
      </c>
      <c r="C2908" t="s">
        <v>709</v>
      </c>
      <c r="D2908" t="s">
        <v>62</v>
      </c>
      <c r="E2908" t="s">
        <v>14</v>
      </c>
      <c r="F2908">
        <v>1</v>
      </c>
      <c r="G2908">
        <v>1299</v>
      </c>
      <c r="H2908">
        <v>0</v>
      </c>
      <c r="I2908" t="s">
        <v>47</v>
      </c>
      <c r="J2908" t="s">
        <v>51</v>
      </c>
      <c r="K2908" t="s">
        <v>17</v>
      </c>
      <c r="L2908">
        <f>F2907*G2907*(1-H2907)</f>
        <v>24995</v>
      </c>
    </row>
    <row r="2909" spans="1:12">
      <c r="A2909" t="s">
        <v>3718</v>
      </c>
      <c r="B2909" s="1">
        <v>46094</v>
      </c>
      <c r="C2909" t="s">
        <v>113</v>
      </c>
      <c r="D2909" t="s">
        <v>43</v>
      </c>
      <c r="E2909" t="s">
        <v>21</v>
      </c>
      <c r="F2909">
        <v>4</v>
      </c>
      <c r="G2909">
        <v>2499</v>
      </c>
      <c r="H2909">
        <v>0.15</v>
      </c>
      <c r="I2909" t="s">
        <v>44</v>
      </c>
      <c r="J2909" t="s">
        <v>36</v>
      </c>
      <c r="K2909" t="s">
        <v>17</v>
      </c>
      <c r="L2909">
        <f>F2908*G2908*(1-H2908)</f>
        <v>1299</v>
      </c>
    </row>
    <row r="2910" spans="1:12">
      <c r="A2910" t="s">
        <v>3719</v>
      </c>
      <c r="B2910" s="1">
        <v>46234</v>
      </c>
      <c r="C2910" t="s">
        <v>1220</v>
      </c>
      <c r="D2910" t="s">
        <v>59</v>
      </c>
      <c r="E2910" t="s">
        <v>21</v>
      </c>
      <c r="F2910">
        <v>3</v>
      </c>
      <c r="G2910">
        <v>599</v>
      </c>
      <c r="H2910">
        <v>0.15</v>
      </c>
      <c r="I2910" t="s">
        <v>44</v>
      </c>
      <c r="J2910" t="s">
        <v>51</v>
      </c>
      <c r="K2910" t="s">
        <v>17</v>
      </c>
      <c r="L2910">
        <f>F2909*G2909*(1-H2909)</f>
        <v>8496.6</v>
      </c>
    </row>
    <row r="2911" spans="1:12">
      <c r="A2911" t="s">
        <v>3720</v>
      </c>
      <c r="B2911" s="1">
        <v>46275</v>
      </c>
      <c r="C2911" t="s">
        <v>860</v>
      </c>
      <c r="D2911" t="s">
        <v>62</v>
      </c>
      <c r="E2911" t="s">
        <v>27</v>
      </c>
      <c r="F2911">
        <v>4</v>
      </c>
      <c r="G2911">
        <v>999</v>
      </c>
      <c r="H2911">
        <v>0</v>
      </c>
      <c r="I2911" t="s">
        <v>47</v>
      </c>
      <c r="J2911" t="s">
        <v>16</v>
      </c>
      <c r="K2911" t="s">
        <v>17</v>
      </c>
      <c r="L2911">
        <f>F2910*G2910*(1-H2910)</f>
        <v>1527.45</v>
      </c>
    </row>
    <row r="2912" spans="1:12">
      <c r="A2912" t="s">
        <v>3721</v>
      </c>
      <c r="B2912" s="1">
        <v>46185</v>
      </c>
      <c r="C2912" t="s">
        <v>1412</v>
      </c>
      <c r="D2912" t="s">
        <v>43</v>
      </c>
      <c r="E2912" t="s">
        <v>40</v>
      </c>
      <c r="F2912">
        <v>1</v>
      </c>
      <c r="G2912">
        <v>1499</v>
      </c>
      <c r="H2912">
        <v>0.1</v>
      </c>
      <c r="I2912" t="s">
        <v>44</v>
      </c>
      <c r="J2912" t="s">
        <v>51</v>
      </c>
      <c r="K2912" t="s">
        <v>23</v>
      </c>
      <c r="L2912">
        <f>F2911*G2911*(1-H2911)</f>
        <v>3996</v>
      </c>
    </row>
    <row r="2913" spans="1:12">
      <c r="A2913" t="s">
        <v>3722</v>
      </c>
      <c r="B2913" s="1">
        <v>46255</v>
      </c>
      <c r="C2913" t="s">
        <v>3252</v>
      </c>
      <c r="D2913" t="s">
        <v>56</v>
      </c>
      <c r="E2913" t="s">
        <v>35</v>
      </c>
      <c r="F2913">
        <v>2</v>
      </c>
      <c r="G2913">
        <v>1999</v>
      </c>
      <c r="H2913">
        <v>0.05</v>
      </c>
      <c r="I2913" t="s">
        <v>50</v>
      </c>
      <c r="J2913" t="s">
        <v>22</v>
      </c>
      <c r="K2913" t="s">
        <v>17</v>
      </c>
      <c r="L2913">
        <f>F2912*G2912*(1-H2912)</f>
        <v>1349.1000000000001</v>
      </c>
    </row>
    <row r="2914" spans="1:12">
      <c r="A2914" t="s">
        <v>3723</v>
      </c>
      <c r="B2914" s="1">
        <v>46063</v>
      </c>
      <c r="C2914" t="s">
        <v>1374</v>
      </c>
      <c r="D2914" t="s">
        <v>13</v>
      </c>
      <c r="E2914" t="s">
        <v>35</v>
      </c>
      <c r="F2914">
        <v>1</v>
      </c>
      <c r="G2914">
        <v>1999</v>
      </c>
      <c r="H2914">
        <v>0.05</v>
      </c>
      <c r="I2914" t="s">
        <v>32</v>
      </c>
      <c r="J2914" t="s">
        <v>22</v>
      </c>
      <c r="K2914" t="s">
        <v>17</v>
      </c>
      <c r="L2914">
        <f>F2913*G2913*(1-H2913)</f>
        <v>3798.1</v>
      </c>
    </row>
    <row r="2915" spans="1:12">
      <c r="A2915" t="s">
        <v>3724</v>
      </c>
      <c r="B2915" s="1">
        <v>46212</v>
      </c>
      <c r="C2915" t="s">
        <v>509</v>
      </c>
      <c r="D2915" t="s">
        <v>26</v>
      </c>
      <c r="E2915" t="s">
        <v>40</v>
      </c>
      <c r="F2915">
        <v>3</v>
      </c>
      <c r="G2915">
        <v>7999</v>
      </c>
      <c r="H2915">
        <v>0.1</v>
      </c>
      <c r="I2915" t="s">
        <v>50</v>
      </c>
      <c r="J2915" t="s">
        <v>36</v>
      </c>
      <c r="K2915" t="s">
        <v>37</v>
      </c>
      <c r="L2915">
        <f>F2914*G2914*(1-H2914)</f>
        <v>1899.05</v>
      </c>
    </row>
    <row r="2916" spans="1:12">
      <c r="A2916" t="s">
        <v>3725</v>
      </c>
      <c r="B2916" s="1">
        <v>46138</v>
      </c>
      <c r="C2916" t="s">
        <v>3594</v>
      </c>
      <c r="D2916" t="s">
        <v>62</v>
      </c>
      <c r="E2916" t="s">
        <v>27</v>
      </c>
      <c r="F2916">
        <v>3</v>
      </c>
      <c r="G2916">
        <v>2499</v>
      </c>
      <c r="H2916">
        <v>0.15</v>
      </c>
      <c r="I2916" t="s">
        <v>32</v>
      </c>
      <c r="J2916" t="s">
        <v>36</v>
      </c>
      <c r="K2916" t="s">
        <v>17</v>
      </c>
      <c r="L2916">
        <f>F2915*G2915*(1-H2915)</f>
        <v>21597.3</v>
      </c>
    </row>
    <row r="2917" spans="1:12">
      <c r="A2917" t="s">
        <v>3726</v>
      </c>
      <c r="B2917" s="1">
        <v>46289</v>
      </c>
      <c r="C2917" t="s">
        <v>3279</v>
      </c>
      <c r="D2917" t="s">
        <v>31</v>
      </c>
      <c r="E2917" t="s">
        <v>21</v>
      </c>
      <c r="F2917">
        <v>2</v>
      </c>
      <c r="G2917">
        <v>1299</v>
      </c>
      <c r="H2917">
        <v>0.15</v>
      </c>
      <c r="I2917" t="s">
        <v>50</v>
      </c>
      <c r="J2917" t="s">
        <v>28</v>
      </c>
      <c r="K2917" t="s">
        <v>37</v>
      </c>
      <c r="L2917">
        <f>F2916*G2916*(1-H2916)</f>
        <v>6372.45</v>
      </c>
    </row>
    <row r="2918" spans="1:12">
      <c r="A2918" t="s">
        <v>3727</v>
      </c>
      <c r="B2918" s="1">
        <v>46242</v>
      </c>
      <c r="C2918" t="s">
        <v>1207</v>
      </c>
      <c r="D2918" t="s">
        <v>13</v>
      </c>
      <c r="E2918" t="s">
        <v>40</v>
      </c>
      <c r="F2918">
        <v>2</v>
      </c>
      <c r="G2918">
        <v>499</v>
      </c>
      <c r="H2918">
        <v>0.15</v>
      </c>
      <c r="I2918" t="s">
        <v>15</v>
      </c>
      <c r="J2918" t="s">
        <v>22</v>
      </c>
      <c r="K2918" t="s">
        <v>17</v>
      </c>
      <c r="L2918">
        <f>F2917*G2917*(1-H2917)</f>
        <v>2208.2999999999997</v>
      </c>
    </row>
    <row r="2919" spans="1:12">
      <c r="A2919" t="s">
        <v>3728</v>
      </c>
      <c r="B2919" s="1">
        <v>46241</v>
      </c>
      <c r="C2919" t="s">
        <v>1831</v>
      </c>
      <c r="D2919" t="s">
        <v>43</v>
      </c>
      <c r="E2919" t="s">
        <v>14</v>
      </c>
      <c r="F2919">
        <v>4</v>
      </c>
      <c r="G2919">
        <v>7999</v>
      </c>
      <c r="H2919">
        <v>0.05</v>
      </c>
      <c r="I2919" t="s">
        <v>47</v>
      </c>
      <c r="J2919" t="s">
        <v>22</v>
      </c>
      <c r="K2919" t="s">
        <v>37</v>
      </c>
      <c r="L2919">
        <f>F2918*G2918*(1-H2918)</f>
        <v>848.3</v>
      </c>
    </row>
    <row r="2920" spans="1:12">
      <c r="A2920" t="s">
        <v>3729</v>
      </c>
      <c r="B2920" s="1">
        <v>46068</v>
      </c>
      <c r="C2920" t="s">
        <v>1559</v>
      </c>
      <c r="D2920" t="s">
        <v>56</v>
      </c>
      <c r="E2920" t="s">
        <v>27</v>
      </c>
      <c r="F2920">
        <v>5</v>
      </c>
      <c r="G2920">
        <v>7999</v>
      </c>
      <c r="H2920">
        <v>0.1</v>
      </c>
      <c r="I2920" t="s">
        <v>15</v>
      </c>
      <c r="J2920" t="s">
        <v>36</v>
      </c>
      <c r="K2920" t="s">
        <v>17</v>
      </c>
      <c r="L2920">
        <f>F2919*G2919*(1-H2919)</f>
        <v>30396.199999999997</v>
      </c>
    </row>
    <row r="2921" spans="1:12">
      <c r="A2921" t="s">
        <v>3730</v>
      </c>
      <c r="B2921" s="1">
        <v>46181</v>
      </c>
      <c r="C2921" t="s">
        <v>152</v>
      </c>
      <c r="D2921" t="s">
        <v>59</v>
      </c>
      <c r="E2921" t="s">
        <v>14</v>
      </c>
      <c r="F2921">
        <v>1</v>
      </c>
      <c r="G2921">
        <v>599</v>
      </c>
      <c r="H2921">
        <v>0.1</v>
      </c>
      <c r="I2921" t="s">
        <v>50</v>
      </c>
      <c r="J2921" t="s">
        <v>36</v>
      </c>
      <c r="K2921" t="s">
        <v>17</v>
      </c>
      <c r="L2921">
        <f>F2920*G2920*(1-H2920)</f>
        <v>35995.5</v>
      </c>
    </row>
    <row r="2922" spans="1:12">
      <c r="A2922" t="s">
        <v>3731</v>
      </c>
      <c r="B2922" s="1">
        <v>46052</v>
      </c>
      <c r="C2922" t="s">
        <v>237</v>
      </c>
      <c r="D2922" t="s">
        <v>62</v>
      </c>
      <c r="E2922" t="s">
        <v>40</v>
      </c>
      <c r="F2922">
        <v>1</v>
      </c>
      <c r="G2922">
        <v>799</v>
      </c>
      <c r="H2922">
        <v>0</v>
      </c>
      <c r="I2922" t="s">
        <v>15</v>
      </c>
      <c r="J2922" t="s">
        <v>22</v>
      </c>
      <c r="K2922" t="s">
        <v>37</v>
      </c>
      <c r="L2922">
        <f>F2921*G2921*(1-H2921)</f>
        <v>539.1</v>
      </c>
    </row>
    <row r="2923" spans="1:12">
      <c r="A2923" t="s">
        <v>3732</v>
      </c>
      <c r="B2923" s="1">
        <v>46086</v>
      </c>
      <c r="C2923" t="s">
        <v>322</v>
      </c>
      <c r="D2923" t="s">
        <v>71</v>
      </c>
      <c r="E2923" t="s">
        <v>27</v>
      </c>
      <c r="F2923">
        <v>1</v>
      </c>
      <c r="G2923">
        <v>599</v>
      </c>
      <c r="H2923">
        <v>0</v>
      </c>
      <c r="I2923" t="s">
        <v>44</v>
      </c>
      <c r="J2923" t="s">
        <v>22</v>
      </c>
      <c r="K2923" t="s">
        <v>17</v>
      </c>
      <c r="L2923">
        <f>F2922*G2922*(1-H2922)</f>
        <v>799</v>
      </c>
    </row>
    <row r="2924" spans="1:12">
      <c r="A2924" t="s">
        <v>3733</v>
      </c>
      <c r="B2924" s="1">
        <v>46182</v>
      </c>
      <c r="C2924" t="s">
        <v>3734</v>
      </c>
      <c r="D2924" t="s">
        <v>43</v>
      </c>
      <c r="E2924" t="s">
        <v>27</v>
      </c>
      <c r="F2924">
        <v>1</v>
      </c>
      <c r="G2924">
        <v>1499</v>
      </c>
      <c r="H2924">
        <v>0.05</v>
      </c>
      <c r="I2924" t="s">
        <v>32</v>
      </c>
      <c r="J2924" t="s">
        <v>22</v>
      </c>
      <c r="K2924" t="s">
        <v>17</v>
      </c>
      <c r="L2924">
        <f>F2923*G2923*(1-H2923)</f>
        <v>599</v>
      </c>
    </row>
    <row r="2925" spans="1:12">
      <c r="A2925" t="s">
        <v>3735</v>
      </c>
      <c r="B2925" s="1">
        <v>46292</v>
      </c>
      <c r="C2925" t="s">
        <v>646</v>
      </c>
      <c r="D2925" t="s">
        <v>59</v>
      </c>
      <c r="E2925" t="s">
        <v>27</v>
      </c>
      <c r="F2925">
        <v>5</v>
      </c>
      <c r="G2925">
        <v>1499</v>
      </c>
      <c r="H2925">
        <v>0</v>
      </c>
      <c r="I2925" t="s">
        <v>15</v>
      </c>
      <c r="J2925" t="s">
        <v>28</v>
      </c>
      <c r="K2925" t="s">
        <v>17</v>
      </c>
      <c r="L2925">
        <f>F2924*G2924*(1-H2924)</f>
        <v>1424.05</v>
      </c>
    </row>
    <row r="2926" spans="1:12">
      <c r="A2926" t="s">
        <v>3736</v>
      </c>
      <c r="B2926" s="1">
        <v>46206</v>
      </c>
      <c r="C2926" t="s">
        <v>1456</v>
      </c>
      <c r="D2926" t="s">
        <v>78</v>
      </c>
      <c r="E2926" t="s">
        <v>21</v>
      </c>
      <c r="F2926">
        <v>5</v>
      </c>
      <c r="G2926">
        <v>2499</v>
      </c>
      <c r="H2926">
        <v>0</v>
      </c>
      <c r="I2926" t="s">
        <v>50</v>
      </c>
      <c r="J2926" t="s">
        <v>16</v>
      </c>
      <c r="K2926" t="s">
        <v>37</v>
      </c>
      <c r="L2926">
        <f>F2925*G2925*(1-H2925)</f>
        <v>7495</v>
      </c>
    </row>
    <row r="2927" spans="1:12">
      <c r="A2927" t="s">
        <v>3737</v>
      </c>
      <c r="B2927" s="1">
        <v>46035</v>
      </c>
      <c r="C2927" t="s">
        <v>1068</v>
      </c>
      <c r="D2927" t="s">
        <v>71</v>
      </c>
      <c r="E2927" t="s">
        <v>40</v>
      </c>
      <c r="F2927">
        <v>2</v>
      </c>
      <c r="G2927">
        <v>1999</v>
      </c>
      <c r="H2927">
        <v>0.1</v>
      </c>
      <c r="I2927" t="s">
        <v>44</v>
      </c>
      <c r="J2927" t="s">
        <v>22</v>
      </c>
      <c r="K2927" t="s">
        <v>17</v>
      </c>
      <c r="L2927">
        <f>F2926*G2926*(1-H2926)</f>
        <v>12495</v>
      </c>
    </row>
    <row r="2928" spans="1:12">
      <c r="A2928" t="s">
        <v>3738</v>
      </c>
      <c r="B2928" s="1">
        <v>46246</v>
      </c>
      <c r="C2928" t="s">
        <v>1511</v>
      </c>
      <c r="D2928" t="s">
        <v>59</v>
      </c>
      <c r="E2928" t="s">
        <v>14</v>
      </c>
      <c r="F2928">
        <v>5</v>
      </c>
      <c r="G2928">
        <v>1499</v>
      </c>
      <c r="H2928">
        <v>0</v>
      </c>
      <c r="I2928" t="s">
        <v>44</v>
      </c>
      <c r="J2928" t="s">
        <v>28</v>
      </c>
      <c r="K2928" t="s">
        <v>17</v>
      </c>
      <c r="L2928">
        <f>F2927*G2927*(1-H2927)</f>
        <v>3598.2000000000003</v>
      </c>
    </row>
    <row r="2929" spans="1:12">
      <c r="A2929" t="s">
        <v>3739</v>
      </c>
      <c r="B2929" s="1">
        <v>46279</v>
      </c>
      <c r="C2929" t="s">
        <v>2167</v>
      </c>
      <c r="D2929" t="s">
        <v>43</v>
      </c>
      <c r="E2929" t="s">
        <v>40</v>
      </c>
      <c r="F2929">
        <v>3</v>
      </c>
      <c r="G2929">
        <v>599</v>
      </c>
      <c r="H2929">
        <v>0</v>
      </c>
      <c r="I2929" t="s">
        <v>47</v>
      </c>
      <c r="J2929" t="s">
        <v>28</v>
      </c>
      <c r="K2929" t="s">
        <v>23</v>
      </c>
      <c r="L2929">
        <f>F2928*G2928*(1-H2928)</f>
        <v>7495</v>
      </c>
    </row>
    <row r="2930" spans="1:12">
      <c r="A2930" t="s">
        <v>3740</v>
      </c>
      <c r="B2930" s="1">
        <v>46150</v>
      </c>
      <c r="C2930" t="s">
        <v>594</v>
      </c>
      <c r="D2930" t="s">
        <v>31</v>
      </c>
      <c r="E2930" t="s">
        <v>40</v>
      </c>
      <c r="F2930">
        <v>5</v>
      </c>
      <c r="G2930">
        <v>499</v>
      </c>
      <c r="H2930">
        <v>0.1</v>
      </c>
      <c r="I2930" t="s">
        <v>15</v>
      </c>
      <c r="J2930" t="s">
        <v>36</v>
      </c>
      <c r="K2930" t="s">
        <v>17</v>
      </c>
      <c r="L2930">
        <f>F2929*G2929*(1-H2929)</f>
        <v>1797</v>
      </c>
    </row>
    <row r="2931" spans="1:12">
      <c r="A2931" t="s">
        <v>3741</v>
      </c>
      <c r="B2931" s="1">
        <v>46262</v>
      </c>
      <c r="C2931" t="s">
        <v>713</v>
      </c>
      <c r="D2931" t="s">
        <v>71</v>
      </c>
      <c r="E2931" t="s">
        <v>14</v>
      </c>
      <c r="F2931">
        <v>4</v>
      </c>
      <c r="G2931">
        <v>1499</v>
      </c>
      <c r="H2931">
        <v>0.05</v>
      </c>
      <c r="I2931" t="s">
        <v>47</v>
      </c>
      <c r="J2931" t="s">
        <v>22</v>
      </c>
      <c r="K2931" t="s">
        <v>23</v>
      </c>
      <c r="L2931">
        <f>F2930*G2930*(1-H2930)</f>
        <v>2245.5</v>
      </c>
    </row>
    <row r="2932" spans="1:12">
      <c r="A2932" t="s">
        <v>3742</v>
      </c>
      <c r="B2932" s="1">
        <v>46198</v>
      </c>
      <c r="C2932" t="s">
        <v>1136</v>
      </c>
      <c r="D2932" t="s">
        <v>56</v>
      </c>
      <c r="E2932" t="s">
        <v>40</v>
      </c>
      <c r="F2932">
        <v>5</v>
      </c>
      <c r="G2932">
        <v>1299</v>
      </c>
      <c r="H2932">
        <v>0.1</v>
      </c>
      <c r="I2932" t="s">
        <v>32</v>
      </c>
      <c r="J2932" t="s">
        <v>22</v>
      </c>
      <c r="K2932" t="s">
        <v>17</v>
      </c>
      <c r="L2932">
        <f>F2931*G2931*(1-H2931)</f>
        <v>5696.2</v>
      </c>
    </row>
    <row r="2933" spans="1:12">
      <c r="A2933" t="s">
        <v>3743</v>
      </c>
      <c r="B2933" s="1">
        <v>46101</v>
      </c>
      <c r="C2933" t="s">
        <v>910</v>
      </c>
      <c r="D2933" t="s">
        <v>20</v>
      </c>
      <c r="E2933" t="s">
        <v>40</v>
      </c>
      <c r="F2933">
        <v>3</v>
      </c>
      <c r="G2933">
        <v>2499</v>
      </c>
      <c r="H2933">
        <v>0</v>
      </c>
      <c r="I2933" t="s">
        <v>47</v>
      </c>
      <c r="J2933" t="s">
        <v>16</v>
      </c>
      <c r="K2933" t="s">
        <v>17</v>
      </c>
      <c r="L2933">
        <f>F2932*G2932*(1-H2932)</f>
        <v>5845.5</v>
      </c>
    </row>
    <row r="2934" spans="1:12">
      <c r="A2934" t="s">
        <v>3744</v>
      </c>
      <c r="B2934" s="1">
        <v>46100</v>
      </c>
      <c r="C2934" t="s">
        <v>796</v>
      </c>
      <c r="D2934" t="s">
        <v>20</v>
      </c>
      <c r="E2934" t="s">
        <v>35</v>
      </c>
      <c r="F2934">
        <v>3</v>
      </c>
      <c r="G2934">
        <v>1499</v>
      </c>
      <c r="H2934">
        <v>0.05</v>
      </c>
      <c r="I2934" t="s">
        <v>47</v>
      </c>
      <c r="J2934" t="s">
        <v>28</v>
      </c>
      <c r="K2934" t="s">
        <v>17</v>
      </c>
      <c r="L2934">
        <f>F2933*G2933*(1-H2933)</f>
        <v>7497</v>
      </c>
    </row>
    <row r="2935" spans="1:12">
      <c r="A2935" t="s">
        <v>3745</v>
      </c>
      <c r="B2935" s="1">
        <v>46147</v>
      </c>
      <c r="C2935" t="s">
        <v>1355</v>
      </c>
      <c r="D2935" t="s">
        <v>31</v>
      </c>
      <c r="E2935" t="s">
        <v>35</v>
      </c>
      <c r="F2935">
        <v>5</v>
      </c>
      <c r="G2935">
        <v>1299</v>
      </c>
      <c r="H2935">
        <v>0.15</v>
      </c>
      <c r="I2935" t="s">
        <v>47</v>
      </c>
      <c r="J2935" t="s">
        <v>22</v>
      </c>
      <c r="K2935" t="s">
        <v>17</v>
      </c>
      <c r="L2935">
        <f>F2934*G2934*(1-H2934)</f>
        <v>4272.1499999999996</v>
      </c>
    </row>
    <row r="2936" spans="1:12">
      <c r="A2936" t="s">
        <v>3746</v>
      </c>
      <c r="B2936" s="1">
        <v>46245</v>
      </c>
      <c r="C2936" t="s">
        <v>1351</v>
      </c>
      <c r="D2936" t="s">
        <v>56</v>
      </c>
      <c r="E2936" t="s">
        <v>14</v>
      </c>
      <c r="F2936">
        <v>5</v>
      </c>
      <c r="G2936">
        <v>4999</v>
      </c>
      <c r="H2936">
        <v>0.15</v>
      </c>
      <c r="I2936" t="s">
        <v>44</v>
      </c>
      <c r="J2936" t="s">
        <v>36</v>
      </c>
      <c r="K2936" t="s">
        <v>23</v>
      </c>
      <c r="L2936">
        <f>F2935*G2935*(1-H2935)</f>
        <v>5520.75</v>
      </c>
    </row>
    <row r="2937" spans="1:12">
      <c r="A2937" t="s">
        <v>3747</v>
      </c>
      <c r="B2937" s="1">
        <v>46081</v>
      </c>
      <c r="C2937" t="s">
        <v>1432</v>
      </c>
      <c r="D2937" t="s">
        <v>13</v>
      </c>
      <c r="E2937" t="s">
        <v>40</v>
      </c>
      <c r="F2937">
        <v>5</v>
      </c>
      <c r="G2937">
        <v>1499</v>
      </c>
      <c r="H2937">
        <v>0</v>
      </c>
      <c r="I2937" t="s">
        <v>32</v>
      </c>
      <c r="J2937" t="s">
        <v>22</v>
      </c>
      <c r="K2937" t="s">
        <v>17</v>
      </c>
      <c r="L2937">
        <f>F2936*G2936*(1-H2936)</f>
        <v>21245.75</v>
      </c>
    </row>
    <row r="2938" spans="1:12">
      <c r="A2938" t="s">
        <v>3748</v>
      </c>
      <c r="B2938" s="1">
        <v>46129</v>
      </c>
      <c r="C2938" t="s">
        <v>401</v>
      </c>
      <c r="D2938" t="s">
        <v>26</v>
      </c>
      <c r="E2938" t="s">
        <v>40</v>
      </c>
      <c r="F2938">
        <v>3</v>
      </c>
      <c r="G2938">
        <v>1999</v>
      </c>
      <c r="H2938">
        <v>0.05</v>
      </c>
      <c r="I2938" t="s">
        <v>15</v>
      </c>
      <c r="J2938" t="s">
        <v>36</v>
      </c>
      <c r="K2938" t="s">
        <v>23</v>
      </c>
      <c r="L2938">
        <f>F2937*G2937*(1-H2937)</f>
        <v>7495</v>
      </c>
    </row>
    <row r="2939" spans="1:12">
      <c r="A2939" t="s">
        <v>3749</v>
      </c>
      <c r="B2939" s="1">
        <v>46074</v>
      </c>
      <c r="C2939" t="s">
        <v>237</v>
      </c>
      <c r="D2939" t="s">
        <v>20</v>
      </c>
      <c r="E2939" t="s">
        <v>27</v>
      </c>
      <c r="F2939">
        <v>5</v>
      </c>
      <c r="G2939">
        <v>1999</v>
      </c>
      <c r="H2939">
        <v>0</v>
      </c>
      <c r="I2939" t="s">
        <v>47</v>
      </c>
      <c r="J2939" t="s">
        <v>22</v>
      </c>
      <c r="K2939" t="s">
        <v>17</v>
      </c>
      <c r="L2939">
        <f>F2938*G2938*(1-H2938)</f>
        <v>5697.15</v>
      </c>
    </row>
    <row r="2940" spans="1:12">
      <c r="A2940" t="s">
        <v>3750</v>
      </c>
      <c r="B2940" s="1">
        <v>46077</v>
      </c>
      <c r="C2940" t="s">
        <v>677</v>
      </c>
      <c r="D2940" t="s">
        <v>59</v>
      </c>
      <c r="E2940" t="s">
        <v>27</v>
      </c>
      <c r="F2940">
        <v>3</v>
      </c>
      <c r="G2940">
        <v>1999</v>
      </c>
      <c r="H2940">
        <v>0.05</v>
      </c>
      <c r="I2940" t="s">
        <v>50</v>
      </c>
      <c r="J2940" t="s">
        <v>28</v>
      </c>
      <c r="K2940" t="s">
        <v>17</v>
      </c>
      <c r="L2940">
        <f>F2939*G2939*(1-H2939)</f>
        <v>9995</v>
      </c>
    </row>
    <row r="2941" spans="1:12">
      <c r="A2941" t="s">
        <v>3751</v>
      </c>
      <c r="B2941" s="1">
        <v>46235</v>
      </c>
      <c r="C2941" t="s">
        <v>2576</v>
      </c>
      <c r="D2941" t="s">
        <v>56</v>
      </c>
      <c r="E2941" t="s">
        <v>14</v>
      </c>
      <c r="F2941">
        <v>1</v>
      </c>
      <c r="G2941">
        <v>599</v>
      </c>
      <c r="H2941">
        <v>0.05</v>
      </c>
      <c r="I2941" t="s">
        <v>15</v>
      </c>
      <c r="J2941" t="s">
        <v>36</v>
      </c>
      <c r="K2941" t="s">
        <v>17</v>
      </c>
      <c r="L2941">
        <f>F2940*G2940*(1-H2940)</f>
        <v>5697.15</v>
      </c>
    </row>
    <row r="2942" spans="1:12">
      <c r="A2942" t="s">
        <v>3752</v>
      </c>
      <c r="B2942" s="1">
        <v>46073</v>
      </c>
      <c r="C2942" t="s">
        <v>3227</v>
      </c>
      <c r="D2942" t="s">
        <v>78</v>
      </c>
      <c r="E2942" t="s">
        <v>40</v>
      </c>
      <c r="F2942">
        <v>2</v>
      </c>
      <c r="G2942">
        <v>1299</v>
      </c>
      <c r="H2942">
        <v>0</v>
      </c>
      <c r="I2942" t="s">
        <v>15</v>
      </c>
      <c r="J2942" t="s">
        <v>36</v>
      </c>
      <c r="K2942" t="s">
        <v>17</v>
      </c>
      <c r="L2942">
        <f>F2941*G2941*(1-H2941)</f>
        <v>569.04999999999995</v>
      </c>
    </row>
    <row r="2943" spans="1:12">
      <c r="A2943" t="s">
        <v>3753</v>
      </c>
      <c r="B2943" s="1">
        <v>46076</v>
      </c>
      <c r="C2943" t="s">
        <v>2182</v>
      </c>
      <c r="D2943" t="s">
        <v>71</v>
      </c>
      <c r="E2943" t="s">
        <v>40</v>
      </c>
      <c r="F2943">
        <v>3</v>
      </c>
      <c r="G2943">
        <v>999</v>
      </c>
      <c r="H2943">
        <v>0</v>
      </c>
      <c r="I2943" t="s">
        <v>44</v>
      </c>
      <c r="J2943" t="s">
        <v>28</v>
      </c>
      <c r="K2943" t="s">
        <v>37</v>
      </c>
      <c r="L2943">
        <f>F2942*G2942*(1-H2942)</f>
        <v>2598</v>
      </c>
    </row>
    <row r="2944" spans="1:12">
      <c r="A2944" t="s">
        <v>3754</v>
      </c>
      <c r="B2944" s="1">
        <v>46132</v>
      </c>
      <c r="C2944" t="s">
        <v>2353</v>
      </c>
      <c r="D2944" t="s">
        <v>13</v>
      </c>
      <c r="E2944" t="s">
        <v>40</v>
      </c>
      <c r="F2944">
        <v>2</v>
      </c>
      <c r="G2944">
        <v>1499</v>
      </c>
      <c r="H2944">
        <v>0</v>
      </c>
      <c r="I2944" t="s">
        <v>32</v>
      </c>
      <c r="J2944" t="s">
        <v>28</v>
      </c>
      <c r="K2944" t="s">
        <v>17</v>
      </c>
      <c r="L2944">
        <f>F2943*G2943*(1-H2943)</f>
        <v>2997</v>
      </c>
    </row>
    <row r="2945" spans="1:12">
      <c r="A2945" t="s">
        <v>3755</v>
      </c>
      <c r="B2945" s="1">
        <v>46107</v>
      </c>
      <c r="C2945" t="s">
        <v>1521</v>
      </c>
      <c r="D2945" t="s">
        <v>13</v>
      </c>
      <c r="E2945" t="s">
        <v>14</v>
      </c>
      <c r="F2945">
        <v>2</v>
      </c>
      <c r="G2945">
        <v>2499</v>
      </c>
      <c r="H2945">
        <v>0</v>
      </c>
      <c r="I2945" t="s">
        <v>15</v>
      </c>
      <c r="J2945" t="s">
        <v>16</v>
      </c>
      <c r="K2945" t="s">
        <v>17</v>
      </c>
      <c r="L2945">
        <f>F2944*G2944*(1-H2944)</f>
        <v>2998</v>
      </c>
    </row>
    <row r="2946" spans="1:12">
      <c r="A2946" t="s">
        <v>3756</v>
      </c>
      <c r="B2946" s="1">
        <v>46126</v>
      </c>
      <c r="C2946" t="s">
        <v>3757</v>
      </c>
      <c r="D2946" t="s">
        <v>20</v>
      </c>
      <c r="E2946" t="s">
        <v>40</v>
      </c>
      <c r="F2946">
        <v>3</v>
      </c>
      <c r="G2946">
        <v>799</v>
      </c>
      <c r="H2946">
        <v>0</v>
      </c>
      <c r="I2946" t="s">
        <v>44</v>
      </c>
      <c r="J2946" t="s">
        <v>22</v>
      </c>
      <c r="K2946" t="s">
        <v>23</v>
      </c>
      <c r="L2946">
        <f>F2945*G2945*(1-H2945)</f>
        <v>4998</v>
      </c>
    </row>
    <row r="2947" spans="1:12">
      <c r="A2947" t="s">
        <v>3758</v>
      </c>
      <c r="B2947" s="1">
        <v>46050</v>
      </c>
      <c r="C2947" t="s">
        <v>773</v>
      </c>
      <c r="D2947" t="s">
        <v>43</v>
      </c>
      <c r="E2947" t="s">
        <v>14</v>
      </c>
      <c r="F2947">
        <v>4</v>
      </c>
      <c r="G2947">
        <v>999</v>
      </c>
      <c r="H2947">
        <v>0.15</v>
      </c>
      <c r="I2947" t="s">
        <v>50</v>
      </c>
      <c r="J2947" t="s">
        <v>28</v>
      </c>
      <c r="K2947" t="s">
        <v>37</v>
      </c>
      <c r="L2947">
        <f>F2946*G2946*(1-H2946)</f>
        <v>2397</v>
      </c>
    </row>
    <row r="2948" spans="1:12">
      <c r="A2948" t="s">
        <v>3759</v>
      </c>
      <c r="B2948" s="1">
        <v>46041</v>
      </c>
      <c r="C2948" t="s">
        <v>417</v>
      </c>
      <c r="D2948" t="s">
        <v>71</v>
      </c>
      <c r="E2948" t="s">
        <v>14</v>
      </c>
      <c r="F2948">
        <v>4</v>
      </c>
      <c r="G2948">
        <v>499</v>
      </c>
      <c r="H2948">
        <v>0.15</v>
      </c>
      <c r="I2948" t="s">
        <v>32</v>
      </c>
      <c r="J2948" t="s">
        <v>16</v>
      </c>
      <c r="K2948" t="s">
        <v>17</v>
      </c>
      <c r="L2948">
        <f>F2947*G2947*(1-H2947)</f>
        <v>3396.6</v>
      </c>
    </row>
    <row r="2949" spans="1:12">
      <c r="A2949" t="s">
        <v>3760</v>
      </c>
      <c r="B2949" s="1">
        <v>46087</v>
      </c>
      <c r="C2949" t="s">
        <v>3204</v>
      </c>
      <c r="D2949" t="s">
        <v>56</v>
      </c>
      <c r="E2949" t="s">
        <v>27</v>
      </c>
      <c r="F2949">
        <v>3</v>
      </c>
      <c r="G2949">
        <v>499</v>
      </c>
      <c r="H2949">
        <v>0.1</v>
      </c>
      <c r="I2949" t="s">
        <v>32</v>
      </c>
      <c r="J2949" t="s">
        <v>16</v>
      </c>
      <c r="K2949" t="s">
        <v>37</v>
      </c>
      <c r="L2949">
        <f>F2948*G2948*(1-H2948)</f>
        <v>1696.6</v>
      </c>
    </row>
    <row r="2950" spans="1:12">
      <c r="A2950" t="s">
        <v>3761</v>
      </c>
      <c r="B2950" s="1">
        <v>46045</v>
      </c>
      <c r="C2950" t="s">
        <v>680</v>
      </c>
      <c r="D2950" t="s">
        <v>56</v>
      </c>
      <c r="E2950" t="s">
        <v>21</v>
      </c>
      <c r="F2950">
        <v>5</v>
      </c>
      <c r="G2950">
        <v>599</v>
      </c>
      <c r="H2950">
        <v>0</v>
      </c>
      <c r="I2950" t="s">
        <v>44</v>
      </c>
      <c r="J2950" t="s">
        <v>22</v>
      </c>
      <c r="K2950" t="s">
        <v>17</v>
      </c>
      <c r="L2950">
        <f>F2949*G2949*(1-H2949)</f>
        <v>1347.3</v>
      </c>
    </row>
    <row r="2951" spans="1:12">
      <c r="A2951" t="s">
        <v>3762</v>
      </c>
      <c r="B2951" s="1">
        <v>46259</v>
      </c>
      <c r="C2951" t="s">
        <v>3448</v>
      </c>
      <c r="D2951" t="s">
        <v>13</v>
      </c>
      <c r="E2951" t="s">
        <v>27</v>
      </c>
      <c r="F2951">
        <v>1</v>
      </c>
      <c r="G2951">
        <v>1999</v>
      </c>
      <c r="H2951">
        <v>0</v>
      </c>
      <c r="I2951" t="s">
        <v>15</v>
      </c>
      <c r="J2951" t="s">
        <v>16</v>
      </c>
      <c r="K2951" t="s">
        <v>23</v>
      </c>
      <c r="L2951">
        <f>F2950*G2950*(1-H2950)</f>
        <v>2995</v>
      </c>
    </row>
    <row r="2952" spans="1:12">
      <c r="A2952" t="s">
        <v>3763</v>
      </c>
      <c r="B2952" s="1">
        <v>46127</v>
      </c>
      <c r="C2952" t="s">
        <v>2987</v>
      </c>
      <c r="D2952" t="s">
        <v>31</v>
      </c>
      <c r="E2952" t="s">
        <v>27</v>
      </c>
      <c r="F2952">
        <v>3</v>
      </c>
      <c r="G2952">
        <v>1499</v>
      </c>
      <c r="H2952">
        <v>0.05</v>
      </c>
      <c r="I2952" t="s">
        <v>32</v>
      </c>
      <c r="J2952" t="s">
        <v>16</v>
      </c>
      <c r="K2952" t="s">
        <v>37</v>
      </c>
      <c r="L2952">
        <f>F2951*G2951*(1-H2951)</f>
        <v>1999</v>
      </c>
    </row>
    <row r="2953" spans="1:12">
      <c r="A2953" t="s">
        <v>3764</v>
      </c>
      <c r="B2953" s="1">
        <v>46178</v>
      </c>
      <c r="C2953" t="s">
        <v>207</v>
      </c>
      <c r="D2953" t="s">
        <v>62</v>
      </c>
      <c r="E2953" t="s">
        <v>21</v>
      </c>
      <c r="F2953">
        <v>3</v>
      </c>
      <c r="G2953">
        <v>4999</v>
      </c>
      <c r="H2953">
        <v>0</v>
      </c>
      <c r="I2953" t="s">
        <v>50</v>
      </c>
      <c r="J2953" t="s">
        <v>16</v>
      </c>
      <c r="K2953" t="s">
        <v>23</v>
      </c>
      <c r="L2953">
        <f>F2952*G2952*(1-H2952)</f>
        <v>4272.1499999999996</v>
      </c>
    </row>
    <row r="2954" spans="1:12">
      <c r="A2954" t="s">
        <v>3765</v>
      </c>
      <c r="B2954" s="1">
        <v>46184</v>
      </c>
      <c r="C2954" t="s">
        <v>442</v>
      </c>
      <c r="D2954" t="s">
        <v>71</v>
      </c>
      <c r="E2954" t="s">
        <v>27</v>
      </c>
      <c r="F2954">
        <v>4</v>
      </c>
      <c r="G2954">
        <v>999</v>
      </c>
      <c r="H2954">
        <v>0.15</v>
      </c>
      <c r="I2954" t="s">
        <v>32</v>
      </c>
      <c r="J2954" t="s">
        <v>36</v>
      </c>
      <c r="K2954" t="s">
        <v>23</v>
      </c>
      <c r="L2954">
        <f>F2953*G2953*(1-H2953)</f>
        <v>14997</v>
      </c>
    </row>
    <row r="2955" spans="1:12">
      <c r="A2955" t="s">
        <v>3766</v>
      </c>
      <c r="B2955" s="1">
        <v>46216</v>
      </c>
      <c r="C2955" t="s">
        <v>92</v>
      </c>
      <c r="D2955" t="s">
        <v>20</v>
      </c>
      <c r="E2955" t="s">
        <v>40</v>
      </c>
      <c r="F2955">
        <v>3</v>
      </c>
      <c r="G2955">
        <v>499</v>
      </c>
      <c r="H2955">
        <v>0</v>
      </c>
      <c r="I2955" t="s">
        <v>15</v>
      </c>
      <c r="J2955" t="s">
        <v>36</v>
      </c>
      <c r="K2955" t="s">
        <v>17</v>
      </c>
      <c r="L2955">
        <f>F2954*G2954*(1-H2954)</f>
        <v>3396.6</v>
      </c>
    </row>
    <row r="2956" spans="1:12">
      <c r="A2956" t="s">
        <v>3767</v>
      </c>
      <c r="B2956" s="1">
        <v>46060</v>
      </c>
      <c r="C2956" t="s">
        <v>1359</v>
      </c>
      <c r="D2956" t="s">
        <v>13</v>
      </c>
      <c r="E2956" t="s">
        <v>14</v>
      </c>
      <c r="F2956">
        <v>1</v>
      </c>
      <c r="G2956">
        <v>1299</v>
      </c>
      <c r="H2956">
        <v>0.15</v>
      </c>
      <c r="I2956" t="s">
        <v>32</v>
      </c>
      <c r="J2956" t="s">
        <v>28</v>
      </c>
      <c r="K2956" t="s">
        <v>17</v>
      </c>
      <c r="L2956">
        <f>F2955*G2955*(1-H2955)</f>
        <v>1497</v>
      </c>
    </row>
    <row r="2957" spans="1:12">
      <c r="A2957" t="s">
        <v>3768</v>
      </c>
      <c r="B2957" s="1">
        <v>46187</v>
      </c>
      <c r="C2957" t="s">
        <v>481</v>
      </c>
      <c r="D2957" t="s">
        <v>26</v>
      </c>
      <c r="E2957" t="s">
        <v>40</v>
      </c>
      <c r="F2957">
        <v>4</v>
      </c>
      <c r="G2957">
        <v>1499</v>
      </c>
      <c r="H2957">
        <v>0.1</v>
      </c>
      <c r="I2957" t="s">
        <v>47</v>
      </c>
      <c r="J2957" t="s">
        <v>51</v>
      </c>
      <c r="K2957" t="s">
        <v>37</v>
      </c>
      <c r="L2957">
        <f>F2956*G2956*(1-H2956)</f>
        <v>1104.1499999999999</v>
      </c>
    </row>
    <row r="2958" spans="1:12">
      <c r="A2958" t="s">
        <v>3769</v>
      </c>
      <c r="B2958" s="1">
        <v>46183</v>
      </c>
      <c r="C2958" t="s">
        <v>837</v>
      </c>
      <c r="D2958" t="s">
        <v>13</v>
      </c>
      <c r="E2958" t="s">
        <v>27</v>
      </c>
      <c r="F2958">
        <v>1</v>
      </c>
      <c r="G2958">
        <v>499</v>
      </c>
      <c r="H2958">
        <v>0.05</v>
      </c>
      <c r="I2958" t="s">
        <v>44</v>
      </c>
      <c r="J2958" t="s">
        <v>51</v>
      </c>
      <c r="K2958" t="s">
        <v>17</v>
      </c>
      <c r="L2958">
        <f>F2957*G2957*(1-H2957)</f>
        <v>5396.4000000000005</v>
      </c>
    </row>
    <row r="2959" spans="1:12">
      <c r="A2959" t="s">
        <v>3770</v>
      </c>
      <c r="B2959" s="1">
        <v>46046</v>
      </c>
      <c r="C2959" t="s">
        <v>1845</v>
      </c>
      <c r="D2959" t="s">
        <v>13</v>
      </c>
      <c r="E2959" t="s">
        <v>21</v>
      </c>
      <c r="F2959">
        <v>2</v>
      </c>
      <c r="G2959">
        <v>4999</v>
      </c>
      <c r="H2959">
        <v>0.1</v>
      </c>
      <c r="I2959" t="s">
        <v>44</v>
      </c>
      <c r="J2959" t="s">
        <v>36</v>
      </c>
      <c r="K2959" t="s">
        <v>17</v>
      </c>
      <c r="L2959">
        <f>F2958*G2958*(1-H2958)</f>
        <v>474.04999999999995</v>
      </c>
    </row>
    <row r="2960" spans="1:12">
      <c r="A2960" t="s">
        <v>3771</v>
      </c>
      <c r="B2960" s="1">
        <v>46270</v>
      </c>
      <c r="C2960" t="s">
        <v>148</v>
      </c>
      <c r="D2960" t="s">
        <v>13</v>
      </c>
      <c r="E2960" t="s">
        <v>14</v>
      </c>
      <c r="F2960">
        <v>1</v>
      </c>
      <c r="G2960">
        <v>599</v>
      </c>
      <c r="H2960">
        <v>0.05</v>
      </c>
      <c r="I2960" t="s">
        <v>50</v>
      </c>
      <c r="J2960" t="s">
        <v>36</v>
      </c>
      <c r="K2960" t="s">
        <v>17</v>
      </c>
      <c r="L2960">
        <f>F2959*G2959*(1-H2959)</f>
        <v>8998.2000000000007</v>
      </c>
    </row>
    <row r="2961" spans="1:12">
      <c r="A2961" t="s">
        <v>3772</v>
      </c>
      <c r="B2961" s="1">
        <v>46038</v>
      </c>
      <c r="C2961" t="s">
        <v>916</v>
      </c>
      <c r="D2961" t="s">
        <v>78</v>
      </c>
      <c r="E2961" t="s">
        <v>40</v>
      </c>
      <c r="F2961">
        <v>3</v>
      </c>
      <c r="G2961">
        <v>999</v>
      </c>
      <c r="H2961">
        <v>0</v>
      </c>
      <c r="I2961" t="s">
        <v>44</v>
      </c>
      <c r="J2961" t="s">
        <v>28</v>
      </c>
      <c r="K2961" t="s">
        <v>37</v>
      </c>
      <c r="L2961">
        <f>F2960*G2960*(1-H2960)</f>
        <v>569.04999999999995</v>
      </c>
    </row>
    <row r="2962" spans="1:12">
      <c r="A2962" t="s">
        <v>3773</v>
      </c>
      <c r="B2962" s="1">
        <v>46150</v>
      </c>
      <c r="C2962" t="s">
        <v>2898</v>
      </c>
      <c r="D2962" t="s">
        <v>62</v>
      </c>
      <c r="E2962" t="s">
        <v>35</v>
      </c>
      <c r="F2962">
        <v>3</v>
      </c>
      <c r="G2962">
        <v>1999</v>
      </c>
      <c r="H2962">
        <v>0</v>
      </c>
      <c r="I2962" t="s">
        <v>15</v>
      </c>
      <c r="J2962" t="s">
        <v>36</v>
      </c>
      <c r="K2962" t="s">
        <v>17</v>
      </c>
      <c r="L2962">
        <f>F2961*G2961*(1-H2961)</f>
        <v>2997</v>
      </c>
    </row>
    <row r="2963" spans="1:12">
      <c r="A2963" t="s">
        <v>3774</v>
      </c>
      <c r="B2963" s="1">
        <v>46176</v>
      </c>
      <c r="C2963" t="s">
        <v>3317</v>
      </c>
      <c r="D2963" t="s">
        <v>62</v>
      </c>
      <c r="E2963" t="s">
        <v>35</v>
      </c>
      <c r="F2963">
        <v>1</v>
      </c>
      <c r="G2963">
        <v>999</v>
      </c>
      <c r="H2963">
        <v>0.1</v>
      </c>
      <c r="I2963" t="s">
        <v>50</v>
      </c>
      <c r="J2963" t="s">
        <v>28</v>
      </c>
      <c r="K2963" t="s">
        <v>37</v>
      </c>
      <c r="L2963">
        <f>F2962*G2962*(1-H2962)</f>
        <v>5997</v>
      </c>
    </row>
    <row r="2964" spans="1:12">
      <c r="A2964" t="s">
        <v>3775</v>
      </c>
      <c r="B2964" s="1">
        <v>46061</v>
      </c>
      <c r="C2964" t="s">
        <v>82</v>
      </c>
      <c r="D2964" t="s">
        <v>78</v>
      </c>
      <c r="E2964" t="s">
        <v>21</v>
      </c>
      <c r="F2964">
        <v>2</v>
      </c>
      <c r="G2964">
        <v>799</v>
      </c>
      <c r="H2964">
        <v>0</v>
      </c>
      <c r="I2964" t="s">
        <v>32</v>
      </c>
      <c r="J2964" t="s">
        <v>36</v>
      </c>
      <c r="K2964" t="s">
        <v>23</v>
      </c>
      <c r="L2964">
        <f>F2963*G2963*(1-H2963)</f>
        <v>899.1</v>
      </c>
    </row>
    <row r="2965" spans="1:12">
      <c r="A2965" t="s">
        <v>3776</v>
      </c>
      <c r="B2965" s="1">
        <v>46239</v>
      </c>
      <c r="C2965" t="s">
        <v>1235</v>
      </c>
      <c r="D2965" t="s">
        <v>62</v>
      </c>
      <c r="E2965" t="s">
        <v>27</v>
      </c>
      <c r="F2965">
        <v>5</v>
      </c>
      <c r="G2965">
        <v>599</v>
      </c>
      <c r="H2965">
        <v>0.05</v>
      </c>
      <c r="I2965" t="s">
        <v>50</v>
      </c>
      <c r="J2965" t="s">
        <v>16</v>
      </c>
      <c r="K2965" t="s">
        <v>17</v>
      </c>
      <c r="L2965">
        <f>F2964*G2964*(1-H2964)</f>
        <v>1598</v>
      </c>
    </row>
    <row r="2966" spans="1:12">
      <c r="A2966" t="s">
        <v>3777</v>
      </c>
      <c r="B2966" s="1">
        <v>46188</v>
      </c>
      <c r="C2966" t="s">
        <v>534</v>
      </c>
      <c r="D2966" t="s">
        <v>71</v>
      </c>
      <c r="E2966" t="s">
        <v>21</v>
      </c>
      <c r="F2966">
        <v>2</v>
      </c>
      <c r="G2966">
        <v>1299</v>
      </c>
      <c r="H2966">
        <v>0</v>
      </c>
      <c r="I2966" t="s">
        <v>15</v>
      </c>
      <c r="J2966" t="s">
        <v>28</v>
      </c>
      <c r="K2966" t="s">
        <v>17</v>
      </c>
      <c r="L2966">
        <f>F2965*G2965*(1-H2965)</f>
        <v>2845.25</v>
      </c>
    </row>
    <row r="2967" spans="1:12">
      <c r="A2967" t="s">
        <v>3778</v>
      </c>
      <c r="B2967" s="1">
        <v>46093</v>
      </c>
      <c r="C2967" t="s">
        <v>426</v>
      </c>
      <c r="D2967" t="s">
        <v>59</v>
      </c>
      <c r="E2967" t="s">
        <v>35</v>
      </c>
      <c r="F2967">
        <v>2</v>
      </c>
      <c r="G2967">
        <v>1299</v>
      </c>
      <c r="H2967">
        <v>0</v>
      </c>
      <c r="I2967" t="s">
        <v>15</v>
      </c>
      <c r="J2967" t="s">
        <v>28</v>
      </c>
      <c r="K2967" t="s">
        <v>17</v>
      </c>
      <c r="L2967">
        <f>F2966*G2966*(1-H2966)</f>
        <v>2598</v>
      </c>
    </row>
    <row r="2968" spans="1:12">
      <c r="A2968" t="s">
        <v>3779</v>
      </c>
      <c r="B2968" s="1">
        <v>46291</v>
      </c>
      <c r="C2968" t="s">
        <v>3672</v>
      </c>
      <c r="D2968" t="s">
        <v>78</v>
      </c>
      <c r="E2968" t="s">
        <v>27</v>
      </c>
      <c r="F2968">
        <v>1</v>
      </c>
      <c r="G2968">
        <v>4999</v>
      </c>
      <c r="H2968">
        <v>0.15</v>
      </c>
      <c r="I2968" t="s">
        <v>44</v>
      </c>
      <c r="J2968" t="s">
        <v>51</v>
      </c>
      <c r="K2968" t="s">
        <v>17</v>
      </c>
      <c r="L2968">
        <f>F2967*G2967*(1-H2967)</f>
        <v>2598</v>
      </c>
    </row>
    <row r="2969" spans="1:12">
      <c r="A2969" t="s">
        <v>3780</v>
      </c>
      <c r="B2969" s="1">
        <v>46063</v>
      </c>
      <c r="C2969" t="s">
        <v>304</v>
      </c>
      <c r="D2969" t="s">
        <v>43</v>
      </c>
      <c r="E2969" t="s">
        <v>21</v>
      </c>
      <c r="F2969">
        <v>2</v>
      </c>
      <c r="G2969">
        <v>7999</v>
      </c>
      <c r="H2969">
        <v>0</v>
      </c>
      <c r="I2969" t="s">
        <v>44</v>
      </c>
      <c r="J2969" t="s">
        <v>28</v>
      </c>
      <c r="K2969" t="s">
        <v>17</v>
      </c>
      <c r="L2969">
        <f>F2968*G2968*(1-H2968)</f>
        <v>4249.1499999999996</v>
      </c>
    </row>
    <row r="2970" spans="1:12">
      <c r="A2970" t="s">
        <v>3781</v>
      </c>
      <c r="B2970" s="1">
        <v>46285</v>
      </c>
      <c r="C2970" t="s">
        <v>1291</v>
      </c>
      <c r="D2970" t="s">
        <v>56</v>
      </c>
      <c r="E2970" t="s">
        <v>21</v>
      </c>
      <c r="F2970">
        <v>2</v>
      </c>
      <c r="G2970">
        <v>1299</v>
      </c>
      <c r="H2970">
        <v>0.1</v>
      </c>
      <c r="I2970" t="s">
        <v>32</v>
      </c>
      <c r="J2970" t="s">
        <v>28</v>
      </c>
      <c r="K2970" t="s">
        <v>23</v>
      </c>
      <c r="L2970">
        <f>F2969*G2969*(1-H2969)</f>
        <v>15998</v>
      </c>
    </row>
    <row r="2971" spans="1:12">
      <c r="A2971" t="s">
        <v>3782</v>
      </c>
      <c r="B2971" s="1">
        <v>46262</v>
      </c>
      <c r="C2971" t="s">
        <v>826</v>
      </c>
      <c r="D2971" t="s">
        <v>71</v>
      </c>
      <c r="E2971" t="s">
        <v>27</v>
      </c>
      <c r="F2971">
        <v>3</v>
      </c>
      <c r="G2971">
        <v>4999</v>
      </c>
      <c r="H2971">
        <v>0.05</v>
      </c>
      <c r="I2971" t="s">
        <v>44</v>
      </c>
      <c r="J2971" t="s">
        <v>28</v>
      </c>
      <c r="K2971" t="s">
        <v>17</v>
      </c>
      <c r="L2971">
        <f>F2970*G2970*(1-H2970)</f>
        <v>2338.2000000000003</v>
      </c>
    </row>
    <row r="2972" spans="1:12">
      <c r="A2972" t="s">
        <v>3783</v>
      </c>
      <c r="B2972" s="1">
        <v>46295</v>
      </c>
      <c r="C2972" t="s">
        <v>382</v>
      </c>
      <c r="D2972" t="s">
        <v>13</v>
      </c>
      <c r="E2972" t="s">
        <v>14</v>
      </c>
      <c r="F2972">
        <v>5</v>
      </c>
      <c r="G2972">
        <v>1999</v>
      </c>
      <c r="H2972">
        <v>0.15</v>
      </c>
      <c r="I2972" t="s">
        <v>15</v>
      </c>
      <c r="J2972" t="s">
        <v>51</v>
      </c>
      <c r="K2972" t="s">
        <v>23</v>
      </c>
      <c r="L2972">
        <f>F2971*G2971*(1-H2971)</f>
        <v>14247.15</v>
      </c>
    </row>
    <row r="2973" spans="1:12">
      <c r="A2973" t="s">
        <v>3784</v>
      </c>
      <c r="B2973" s="1">
        <v>46056</v>
      </c>
      <c r="C2973" t="s">
        <v>725</v>
      </c>
      <c r="D2973" t="s">
        <v>31</v>
      </c>
      <c r="E2973" t="s">
        <v>21</v>
      </c>
      <c r="F2973">
        <v>4</v>
      </c>
      <c r="G2973">
        <v>7999</v>
      </c>
      <c r="H2973">
        <v>0.1</v>
      </c>
      <c r="I2973" t="s">
        <v>32</v>
      </c>
      <c r="J2973" t="s">
        <v>51</v>
      </c>
      <c r="K2973" t="s">
        <v>37</v>
      </c>
      <c r="L2973">
        <f>F2972*G2972*(1-H2972)</f>
        <v>8495.75</v>
      </c>
    </row>
    <row r="2974" spans="1:12">
      <c r="A2974" t="s">
        <v>3785</v>
      </c>
      <c r="B2974" s="1">
        <v>46288</v>
      </c>
      <c r="C2974" t="s">
        <v>1724</v>
      </c>
      <c r="D2974" t="s">
        <v>43</v>
      </c>
      <c r="E2974" t="s">
        <v>35</v>
      </c>
      <c r="F2974">
        <v>3</v>
      </c>
      <c r="G2974">
        <v>7999</v>
      </c>
      <c r="H2974">
        <v>0.15</v>
      </c>
      <c r="I2974" t="s">
        <v>32</v>
      </c>
      <c r="J2974" t="s">
        <v>36</v>
      </c>
      <c r="K2974" t="s">
        <v>17</v>
      </c>
      <c r="L2974">
        <f>F2973*G2973*(1-H2973)</f>
        <v>28796.400000000001</v>
      </c>
    </row>
    <row r="2975" spans="1:12">
      <c r="A2975" t="s">
        <v>3786</v>
      </c>
      <c r="B2975" s="1">
        <v>46160</v>
      </c>
      <c r="C2975" t="s">
        <v>66</v>
      </c>
      <c r="D2975" t="s">
        <v>78</v>
      </c>
      <c r="E2975" t="s">
        <v>21</v>
      </c>
      <c r="F2975">
        <v>5</v>
      </c>
      <c r="G2975">
        <v>599</v>
      </c>
      <c r="H2975">
        <v>0</v>
      </c>
      <c r="I2975" t="s">
        <v>50</v>
      </c>
      <c r="J2975" t="s">
        <v>28</v>
      </c>
      <c r="K2975" t="s">
        <v>37</v>
      </c>
      <c r="L2975">
        <f>F2974*G2974*(1-H2974)</f>
        <v>20397.45</v>
      </c>
    </row>
    <row r="2976" spans="1:12">
      <c r="A2976" t="s">
        <v>3787</v>
      </c>
      <c r="B2976" s="1">
        <v>46274</v>
      </c>
      <c r="C2976" t="s">
        <v>649</v>
      </c>
      <c r="D2976" t="s">
        <v>43</v>
      </c>
      <c r="E2976" t="s">
        <v>14</v>
      </c>
      <c r="F2976">
        <v>2</v>
      </c>
      <c r="G2976">
        <v>1999</v>
      </c>
      <c r="H2976">
        <v>0.05</v>
      </c>
      <c r="I2976" t="s">
        <v>32</v>
      </c>
      <c r="J2976" t="s">
        <v>16</v>
      </c>
      <c r="K2976" t="s">
        <v>17</v>
      </c>
      <c r="L2976">
        <f>F2975*G2975*(1-H2975)</f>
        <v>2995</v>
      </c>
    </row>
    <row r="2977" spans="1:12">
      <c r="A2977" t="s">
        <v>3788</v>
      </c>
      <c r="B2977" s="1">
        <v>46046</v>
      </c>
      <c r="C2977" t="s">
        <v>703</v>
      </c>
      <c r="D2977" t="s">
        <v>56</v>
      </c>
      <c r="E2977" t="s">
        <v>40</v>
      </c>
      <c r="F2977">
        <v>1</v>
      </c>
      <c r="G2977">
        <v>1499</v>
      </c>
      <c r="H2977">
        <v>0.15</v>
      </c>
      <c r="I2977" t="s">
        <v>50</v>
      </c>
      <c r="J2977" t="s">
        <v>28</v>
      </c>
      <c r="K2977" t="s">
        <v>37</v>
      </c>
      <c r="L2977">
        <f>F2976*G2976*(1-H2976)</f>
        <v>3798.1</v>
      </c>
    </row>
    <row r="2978" spans="1:12">
      <c r="A2978" t="s">
        <v>3789</v>
      </c>
      <c r="B2978" s="1">
        <v>46279</v>
      </c>
      <c r="C2978" t="s">
        <v>384</v>
      </c>
      <c r="D2978" t="s">
        <v>56</v>
      </c>
      <c r="E2978" t="s">
        <v>27</v>
      </c>
      <c r="F2978">
        <v>5</v>
      </c>
      <c r="G2978">
        <v>799</v>
      </c>
      <c r="H2978">
        <v>0.1</v>
      </c>
      <c r="I2978" t="s">
        <v>50</v>
      </c>
      <c r="J2978" t="s">
        <v>36</v>
      </c>
      <c r="K2978" t="s">
        <v>17</v>
      </c>
      <c r="L2978">
        <f>F2977*G2977*(1-H2977)</f>
        <v>1274.1499999999999</v>
      </c>
    </row>
    <row r="2979" spans="1:12">
      <c r="A2979" t="s">
        <v>3790</v>
      </c>
      <c r="B2979" s="1">
        <v>46167</v>
      </c>
      <c r="C2979" t="s">
        <v>102</v>
      </c>
      <c r="D2979" t="s">
        <v>62</v>
      </c>
      <c r="E2979" t="s">
        <v>27</v>
      </c>
      <c r="F2979">
        <v>2</v>
      </c>
      <c r="G2979">
        <v>599</v>
      </c>
      <c r="H2979">
        <v>0.15</v>
      </c>
      <c r="I2979" t="s">
        <v>15</v>
      </c>
      <c r="J2979" t="s">
        <v>16</v>
      </c>
      <c r="K2979" t="s">
        <v>37</v>
      </c>
      <c r="L2979">
        <f>F2978*G2978*(1-H2978)</f>
        <v>3595.5</v>
      </c>
    </row>
    <row r="2980" spans="1:12">
      <c r="A2980" t="s">
        <v>3791</v>
      </c>
      <c r="B2980" s="1">
        <v>46037</v>
      </c>
      <c r="C2980" t="s">
        <v>3792</v>
      </c>
      <c r="D2980" t="s">
        <v>31</v>
      </c>
      <c r="E2980" t="s">
        <v>27</v>
      </c>
      <c r="F2980">
        <v>3</v>
      </c>
      <c r="G2980">
        <v>499</v>
      </c>
      <c r="H2980">
        <v>0.15</v>
      </c>
      <c r="I2980" t="s">
        <v>47</v>
      </c>
      <c r="J2980" t="s">
        <v>51</v>
      </c>
      <c r="K2980" t="s">
        <v>37</v>
      </c>
      <c r="L2980">
        <f>F2979*G2979*(1-H2979)</f>
        <v>1018.3</v>
      </c>
    </row>
    <row r="2981" spans="1:12">
      <c r="A2981" t="s">
        <v>3793</v>
      </c>
      <c r="B2981" s="1">
        <v>46103</v>
      </c>
      <c r="C2981" t="s">
        <v>341</v>
      </c>
      <c r="D2981" t="s">
        <v>43</v>
      </c>
      <c r="E2981" t="s">
        <v>27</v>
      </c>
      <c r="F2981">
        <v>4</v>
      </c>
      <c r="G2981">
        <v>999</v>
      </c>
      <c r="H2981">
        <v>0.1</v>
      </c>
      <c r="I2981" t="s">
        <v>44</v>
      </c>
      <c r="J2981" t="s">
        <v>16</v>
      </c>
      <c r="K2981" t="s">
        <v>23</v>
      </c>
      <c r="L2981">
        <f>F2980*G2980*(1-H2980)</f>
        <v>1272.45</v>
      </c>
    </row>
    <row r="2982" spans="1:12">
      <c r="A2982" t="s">
        <v>3794</v>
      </c>
      <c r="B2982" s="1">
        <v>46059</v>
      </c>
      <c r="C2982" t="s">
        <v>940</v>
      </c>
      <c r="D2982" t="s">
        <v>43</v>
      </c>
      <c r="E2982" t="s">
        <v>14</v>
      </c>
      <c r="F2982">
        <v>3</v>
      </c>
      <c r="G2982">
        <v>799</v>
      </c>
      <c r="H2982">
        <v>0.1</v>
      </c>
      <c r="I2982" t="s">
        <v>32</v>
      </c>
      <c r="J2982" t="s">
        <v>36</v>
      </c>
      <c r="K2982" t="s">
        <v>17</v>
      </c>
      <c r="L2982">
        <f>F2981*G2981*(1-H2981)</f>
        <v>3596.4</v>
      </c>
    </row>
    <row r="2983" spans="1:12">
      <c r="A2983" t="s">
        <v>3795</v>
      </c>
      <c r="B2983" s="1">
        <v>46040</v>
      </c>
      <c r="C2983" t="s">
        <v>789</v>
      </c>
      <c r="D2983" t="s">
        <v>62</v>
      </c>
      <c r="E2983" t="s">
        <v>40</v>
      </c>
      <c r="F2983">
        <v>5</v>
      </c>
      <c r="G2983">
        <v>1299</v>
      </c>
      <c r="H2983">
        <v>0</v>
      </c>
      <c r="I2983" t="s">
        <v>15</v>
      </c>
      <c r="J2983" t="s">
        <v>22</v>
      </c>
      <c r="K2983" t="s">
        <v>37</v>
      </c>
      <c r="L2983">
        <f>F2982*G2982*(1-H2982)</f>
        <v>2157.3000000000002</v>
      </c>
    </row>
    <row r="2984" spans="1:12">
      <c r="A2984" t="s">
        <v>3796</v>
      </c>
      <c r="B2984" s="1">
        <v>46271</v>
      </c>
      <c r="C2984" t="s">
        <v>597</v>
      </c>
      <c r="D2984" t="s">
        <v>71</v>
      </c>
      <c r="E2984" t="s">
        <v>40</v>
      </c>
      <c r="F2984">
        <v>5</v>
      </c>
      <c r="G2984">
        <v>2499</v>
      </c>
      <c r="H2984">
        <v>0.05</v>
      </c>
      <c r="I2984" t="s">
        <v>44</v>
      </c>
      <c r="J2984" t="s">
        <v>51</v>
      </c>
      <c r="K2984" t="s">
        <v>17</v>
      </c>
      <c r="L2984">
        <f>F2983*G2983*(1-H2983)</f>
        <v>6495</v>
      </c>
    </row>
    <row r="2985" spans="1:12">
      <c r="A2985" t="s">
        <v>3797</v>
      </c>
      <c r="B2985" s="1">
        <v>46236</v>
      </c>
      <c r="C2985" t="s">
        <v>675</v>
      </c>
      <c r="D2985" t="s">
        <v>31</v>
      </c>
      <c r="E2985" t="s">
        <v>14</v>
      </c>
      <c r="F2985">
        <v>4</v>
      </c>
      <c r="G2985">
        <v>1299</v>
      </c>
      <c r="H2985">
        <v>0.05</v>
      </c>
      <c r="I2985" t="s">
        <v>44</v>
      </c>
      <c r="J2985" t="s">
        <v>22</v>
      </c>
      <c r="K2985" t="s">
        <v>17</v>
      </c>
      <c r="L2985">
        <f>F2984*G2984*(1-H2984)</f>
        <v>11870.25</v>
      </c>
    </row>
    <row r="2986" spans="1:12">
      <c r="A2986" t="s">
        <v>3798</v>
      </c>
      <c r="B2986" s="1">
        <v>46069</v>
      </c>
      <c r="C2986" t="s">
        <v>862</v>
      </c>
      <c r="D2986" t="s">
        <v>43</v>
      </c>
      <c r="E2986" t="s">
        <v>14</v>
      </c>
      <c r="F2986">
        <v>3</v>
      </c>
      <c r="G2986">
        <v>1299</v>
      </c>
      <c r="H2986">
        <v>0</v>
      </c>
      <c r="I2986" t="s">
        <v>15</v>
      </c>
      <c r="J2986" t="s">
        <v>16</v>
      </c>
      <c r="K2986" t="s">
        <v>37</v>
      </c>
      <c r="L2986">
        <f>F2985*G2985*(1-H2985)</f>
        <v>4936.2</v>
      </c>
    </row>
    <row r="2987" spans="1:12">
      <c r="A2987" t="s">
        <v>3799</v>
      </c>
      <c r="B2987" s="1">
        <v>46058</v>
      </c>
      <c r="C2987" t="s">
        <v>64</v>
      </c>
      <c r="D2987" t="s">
        <v>26</v>
      </c>
      <c r="E2987" t="s">
        <v>27</v>
      </c>
      <c r="F2987">
        <v>3</v>
      </c>
      <c r="G2987">
        <v>2499</v>
      </c>
      <c r="H2987">
        <v>0</v>
      </c>
      <c r="I2987" t="s">
        <v>32</v>
      </c>
      <c r="J2987" t="s">
        <v>36</v>
      </c>
      <c r="K2987" t="s">
        <v>17</v>
      </c>
      <c r="L2987">
        <f>F2986*G2986*(1-H2986)</f>
        <v>3897</v>
      </c>
    </row>
    <row r="2988" spans="1:12">
      <c r="A2988" t="s">
        <v>3800</v>
      </c>
      <c r="B2988" s="1">
        <v>46251</v>
      </c>
      <c r="C2988" t="s">
        <v>253</v>
      </c>
      <c r="D2988" t="s">
        <v>59</v>
      </c>
      <c r="E2988" t="s">
        <v>35</v>
      </c>
      <c r="F2988">
        <v>4</v>
      </c>
      <c r="G2988">
        <v>1499</v>
      </c>
      <c r="H2988">
        <v>0.05</v>
      </c>
      <c r="I2988" t="s">
        <v>32</v>
      </c>
      <c r="J2988" t="s">
        <v>51</v>
      </c>
      <c r="K2988" t="s">
        <v>17</v>
      </c>
      <c r="L2988">
        <f>F2987*G2987*(1-H2987)</f>
        <v>7497</v>
      </c>
    </row>
    <row r="2989" spans="1:12">
      <c r="A2989" t="s">
        <v>3801</v>
      </c>
      <c r="B2989" s="1">
        <v>46237</v>
      </c>
      <c r="C2989" t="s">
        <v>255</v>
      </c>
      <c r="D2989" t="s">
        <v>59</v>
      </c>
      <c r="E2989" t="s">
        <v>35</v>
      </c>
      <c r="F2989">
        <v>2</v>
      </c>
      <c r="G2989">
        <v>7999</v>
      </c>
      <c r="H2989">
        <v>0</v>
      </c>
      <c r="I2989" t="s">
        <v>15</v>
      </c>
      <c r="J2989" t="s">
        <v>28</v>
      </c>
      <c r="K2989" t="s">
        <v>17</v>
      </c>
      <c r="L2989">
        <f>F2988*G2988*(1-H2988)</f>
        <v>5696.2</v>
      </c>
    </row>
    <row r="2990" spans="1:12">
      <c r="A2990" t="s">
        <v>3802</v>
      </c>
      <c r="B2990" s="1">
        <v>46114</v>
      </c>
      <c r="C2990" t="s">
        <v>796</v>
      </c>
      <c r="D2990" t="s">
        <v>31</v>
      </c>
      <c r="E2990" t="s">
        <v>40</v>
      </c>
      <c r="F2990">
        <v>5</v>
      </c>
      <c r="G2990">
        <v>599</v>
      </c>
      <c r="H2990">
        <v>0.15</v>
      </c>
      <c r="I2990" t="s">
        <v>44</v>
      </c>
      <c r="J2990" t="s">
        <v>22</v>
      </c>
      <c r="K2990" t="s">
        <v>17</v>
      </c>
      <c r="L2990">
        <f>F2989*G2989*(1-H2989)</f>
        <v>15998</v>
      </c>
    </row>
    <row r="2991" spans="1:12">
      <c r="A2991" t="s">
        <v>3803</v>
      </c>
      <c r="B2991" s="1">
        <v>46078</v>
      </c>
      <c r="C2991" t="s">
        <v>470</v>
      </c>
      <c r="D2991" t="s">
        <v>56</v>
      </c>
      <c r="E2991" t="s">
        <v>27</v>
      </c>
      <c r="F2991">
        <v>1</v>
      </c>
      <c r="G2991">
        <v>1299</v>
      </c>
      <c r="H2991">
        <v>0.15</v>
      </c>
      <c r="I2991" t="s">
        <v>47</v>
      </c>
      <c r="J2991" t="s">
        <v>28</v>
      </c>
      <c r="K2991" t="s">
        <v>17</v>
      </c>
      <c r="L2991">
        <f>F2990*G2990*(1-H2990)</f>
        <v>2545.75</v>
      </c>
    </row>
    <row r="2992" spans="1:12">
      <c r="A2992" t="s">
        <v>3804</v>
      </c>
      <c r="B2992" s="1">
        <v>46116</v>
      </c>
      <c r="C2992" t="s">
        <v>1326</v>
      </c>
      <c r="D2992" t="s">
        <v>13</v>
      </c>
      <c r="E2992" t="s">
        <v>40</v>
      </c>
      <c r="F2992">
        <v>2</v>
      </c>
      <c r="G2992">
        <v>4999</v>
      </c>
      <c r="H2992">
        <v>0</v>
      </c>
      <c r="I2992" t="s">
        <v>50</v>
      </c>
      <c r="J2992" t="s">
        <v>28</v>
      </c>
      <c r="K2992" t="s">
        <v>23</v>
      </c>
      <c r="L2992">
        <f>F2991*G2991*(1-H2991)</f>
        <v>1104.1499999999999</v>
      </c>
    </row>
    <row r="2993" spans="1:12">
      <c r="A2993" t="s">
        <v>3805</v>
      </c>
      <c r="B2993" s="1">
        <v>46149</v>
      </c>
      <c r="C2993" t="s">
        <v>843</v>
      </c>
      <c r="D2993" t="s">
        <v>62</v>
      </c>
      <c r="E2993" t="s">
        <v>21</v>
      </c>
      <c r="F2993">
        <v>5</v>
      </c>
      <c r="G2993">
        <v>799</v>
      </c>
      <c r="H2993">
        <v>0.15</v>
      </c>
      <c r="I2993" t="s">
        <v>32</v>
      </c>
      <c r="J2993" t="s">
        <v>22</v>
      </c>
      <c r="K2993" t="s">
        <v>17</v>
      </c>
      <c r="L2993">
        <f>F2992*G2992*(1-H2992)</f>
        <v>9998</v>
      </c>
    </row>
    <row r="2994" spans="1:12">
      <c r="A2994" t="s">
        <v>3806</v>
      </c>
      <c r="B2994" s="1">
        <v>46148</v>
      </c>
      <c r="C2994" t="s">
        <v>302</v>
      </c>
      <c r="D2994" t="s">
        <v>43</v>
      </c>
      <c r="E2994" t="s">
        <v>40</v>
      </c>
      <c r="F2994">
        <v>2</v>
      </c>
      <c r="G2994">
        <v>1999</v>
      </c>
      <c r="H2994">
        <v>0.15</v>
      </c>
      <c r="I2994" t="s">
        <v>15</v>
      </c>
      <c r="J2994" t="s">
        <v>36</v>
      </c>
      <c r="K2994" t="s">
        <v>23</v>
      </c>
      <c r="L2994">
        <f>F2993*G2993*(1-H2993)</f>
        <v>3395.75</v>
      </c>
    </row>
    <row r="2995" spans="1:12">
      <c r="A2995" t="s">
        <v>3807</v>
      </c>
      <c r="B2995" s="1">
        <v>46097</v>
      </c>
      <c r="C2995" t="s">
        <v>1132</v>
      </c>
      <c r="D2995" t="s">
        <v>78</v>
      </c>
      <c r="E2995" t="s">
        <v>27</v>
      </c>
      <c r="F2995">
        <v>5</v>
      </c>
      <c r="G2995">
        <v>4999</v>
      </c>
      <c r="H2995">
        <v>0</v>
      </c>
      <c r="I2995" t="s">
        <v>47</v>
      </c>
      <c r="J2995" t="s">
        <v>51</v>
      </c>
      <c r="K2995" t="s">
        <v>37</v>
      </c>
      <c r="L2995">
        <f>F2994*G2994*(1-H2994)</f>
        <v>3398.2999999999997</v>
      </c>
    </row>
    <row r="2996" spans="1:12">
      <c r="A2996" t="s">
        <v>3808</v>
      </c>
      <c r="B2996" s="1">
        <v>46226</v>
      </c>
      <c r="C2996" t="s">
        <v>883</v>
      </c>
      <c r="D2996" t="s">
        <v>78</v>
      </c>
      <c r="E2996" t="s">
        <v>21</v>
      </c>
      <c r="F2996">
        <v>3</v>
      </c>
      <c r="G2996">
        <v>799</v>
      </c>
      <c r="H2996">
        <v>0.15</v>
      </c>
      <c r="I2996" t="s">
        <v>44</v>
      </c>
      <c r="J2996" t="s">
        <v>51</v>
      </c>
      <c r="K2996" t="s">
        <v>17</v>
      </c>
      <c r="L2996">
        <f>F2995*G2995*(1-H2995)</f>
        <v>24995</v>
      </c>
    </row>
    <row r="2997" spans="1:12">
      <c r="A2997" t="s">
        <v>3809</v>
      </c>
      <c r="B2997" s="1">
        <v>46250</v>
      </c>
      <c r="C2997" t="s">
        <v>306</v>
      </c>
      <c r="D2997" t="s">
        <v>13</v>
      </c>
      <c r="E2997" t="s">
        <v>14</v>
      </c>
      <c r="F2997">
        <v>3</v>
      </c>
      <c r="G2997">
        <v>4999</v>
      </c>
      <c r="H2997">
        <v>0.1</v>
      </c>
      <c r="I2997" t="s">
        <v>15</v>
      </c>
      <c r="J2997" t="s">
        <v>28</v>
      </c>
      <c r="K2997" t="s">
        <v>37</v>
      </c>
      <c r="L2997">
        <f>F2996*G2996*(1-H2996)</f>
        <v>2037.45</v>
      </c>
    </row>
    <row r="2998" spans="1:12">
      <c r="A2998" t="s">
        <v>3810</v>
      </c>
      <c r="B2998" s="1">
        <v>46290</v>
      </c>
      <c r="C2998" t="s">
        <v>1125</v>
      </c>
      <c r="D2998" t="s">
        <v>59</v>
      </c>
      <c r="E2998" t="s">
        <v>27</v>
      </c>
      <c r="F2998">
        <v>3</v>
      </c>
      <c r="G2998">
        <v>499</v>
      </c>
      <c r="H2998">
        <v>0.1</v>
      </c>
      <c r="I2998" t="s">
        <v>47</v>
      </c>
      <c r="J2998" t="s">
        <v>16</v>
      </c>
      <c r="K2998" t="s">
        <v>37</v>
      </c>
      <c r="L2998">
        <f>F2997*G2997*(1-H2997)</f>
        <v>13497.300000000001</v>
      </c>
    </row>
    <row r="2999" spans="1:12">
      <c r="A2999" t="s">
        <v>3811</v>
      </c>
      <c r="B2999" s="1">
        <v>46069</v>
      </c>
      <c r="C2999" t="s">
        <v>273</v>
      </c>
      <c r="D2999" t="s">
        <v>13</v>
      </c>
      <c r="E2999" t="s">
        <v>35</v>
      </c>
      <c r="F2999">
        <v>1</v>
      </c>
      <c r="G2999">
        <v>499</v>
      </c>
      <c r="H2999">
        <v>0</v>
      </c>
      <c r="I2999" t="s">
        <v>44</v>
      </c>
      <c r="J2999" t="s">
        <v>16</v>
      </c>
      <c r="K2999" t="s">
        <v>37</v>
      </c>
      <c r="L2999">
        <f>F2998*G2998*(1-H2998)</f>
        <v>1347.3</v>
      </c>
    </row>
    <row r="3000" spans="1:12">
      <c r="A3000" t="s">
        <v>3812</v>
      </c>
      <c r="B3000" s="1">
        <v>46219</v>
      </c>
      <c r="C3000" t="s">
        <v>699</v>
      </c>
      <c r="D3000" t="s">
        <v>13</v>
      </c>
      <c r="E3000" t="s">
        <v>35</v>
      </c>
      <c r="F3000">
        <v>2</v>
      </c>
      <c r="G3000">
        <v>1499</v>
      </c>
      <c r="H3000">
        <v>0</v>
      </c>
      <c r="I3000" t="s">
        <v>44</v>
      </c>
      <c r="J3000" t="s">
        <v>28</v>
      </c>
      <c r="K3000" t="s">
        <v>23</v>
      </c>
      <c r="L3000">
        <f>F2999*G2999*(1-H2999)</f>
        <v>499</v>
      </c>
    </row>
    <row r="3001" spans="1:12">
      <c r="A3001" t="s">
        <v>3813</v>
      </c>
      <c r="B3001" s="1">
        <v>46050</v>
      </c>
      <c r="C3001" t="s">
        <v>199</v>
      </c>
      <c r="D3001" t="s">
        <v>31</v>
      </c>
      <c r="E3001" t="s">
        <v>14</v>
      </c>
      <c r="F3001">
        <v>4</v>
      </c>
      <c r="G3001">
        <v>7999</v>
      </c>
      <c r="H3001">
        <v>0</v>
      </c>
      <c r="I3001" t="s">
        <v>47</v>
      </c>
      <c r="J3001" t="s">
        <v>28</v>
      </c>
      <c r="K3001" t="s">
        <v>17</v>
      </c>
      <c r="L3001">
        <f>F3000*G3000*(1-H3000)</f>
        <v>2998</v>
      </c>
    </row>
    <row r="3002" spans="1:12">
      <c r="A3002" t="s">
        <v>3814</v>
      </c>
      <c r="B3002" s="1">
        <v>46155</v>
      </c>
      <c r="C3002" t="s">
        <v>1058</v>
      </c>
      <c r="D3002" t="s">
        <v>13</v>
      </c>
      <c r="E3002" t="s">
        <v>21</v>
      </c>
      <c r="F3002">
        <v>4</v>
      </c>
      <c r="G3002">
        <v>4999</v>
      </c>
      <c r="H3002">
        <v>0.1</v>
      </c>
      <c r="I3002" t="s">
        <v>47</v>
      </c>
      <c r="J3002" t="s">
        <v>51</v>
      </c>
      <c r="K3002" t="s">
        <v>17</v>
      </c>
      <c r="L3002">
        <f>F3001*G3001*(1-H3001)</f>
        <v>31996</v>
      </c>
    </row>
    <row r="3003" spans="1:12">
      <c r="A3003" t="s">
        <v>3815</v>
      </c>
      <c r="B3003" s="1">
        <v>46156</v>
      </c>
      <c r="C3003" t="s">
        <v>1578</v>
      </c>
      <c r="D3003" t="s">
        <v>31</v>
      </c>
      <c r="E3003" t="s">
        <v>35</v>
      </c>
      <c r="F3003">
        <v>1</v>
      </c>
      <c r="G3003">
        <v>999</v>
      </c>
      <c r="H3003">
        <v>0</v>
      </c>
      <c r="I3003" t="s">
        <v>44</v>
      </c>
      <c r="J3003" t="s">
        <v>28</v>
      </c>
      <c r="K3003" t="s">
        <v>17</v>
      </c>
      <c r="L3003">
        <f>F3002*G3002*(1-H3002)</f>
        <v>17996.400000000001</v>
      </c>
    </row>
    <row r="3004" spans="1:12">
      <c r="A3004" t="s">
        <v>3816</v>
      </c>
      <c r="B3004" s="1">
        <v>46079</v>
      </c>
      <c r="C3004" t="s">
        <v>1486</v>
      </c>
      <c r="D3004" t="s">
        <v>78</v>
      </c>
      <c r="E3004" t="s">
        <v>35</v>
      </c>
      <c r="F3004">
        <v>4</v>
      </c>
      <c r="G3004">
        <v>799</v>
      </c>
      <c r="H3004">
        <v>0.1</v>
      </c>
      <c r="I3004" t="s">
        <v>50</v>
      </c>
      <c r="J3004" t="s">
        <v>28</v>
      </c>
      <c r="K3004" t="s">
        <v>17</v>
      </c>
      <c r="L3004">
        <f>F3003*G3003*(1-H3003)</f>
        <v>999</v>
      </c>
    </row>
    <row r="3005" spans="1:12">
      <c r="A3005" t="s">
        <v>3817</v>
      </c>
      <c r="B3005" s="1">
        <v>46110</v>
      </c>
      <c r="C3005" t="s">
        <v>1118</v>
      </c>
      <c r="D3005" t="s">
        <v>71</v>
      </c>
      <c r="E3005" t="s">
        <v>21</v>
      </c>
      <c r="F3005">
        <v>5</v>
      </c>
      <c r="G3005">
        <v>599</v>
      </c>
      <c r="H3005">
        <v>0.15</v>
      </c>
      <c r="I3005" t="s">
        <v>15</v>
      </c>
      <c r="J3005" t="s">
        <v>36</v>
      </c>
      <c r="K3005" t="s">
        <v>37</v>
      </c>
      <c r="L3005">
        <f>F3004*G3004*(1-H3004)</f>
        <v>2876.4</v>
      </c>
    </row>
    <row r="3006" spans="1:12">
      <c r="A3006" t="s">
        <v>3818</v>
      </c>
      <c r="B3006" s="1">
        <v>46086</v>
      </c>
      <c r="C3006" t="s">
        <v>910</v>
      </c>
      <c r="D3006" t="s">
        <v>43</v>
      </c>
      <c r="E3006" t="s">
        <v>35</v>
      </c>
      <c r="F3006">
        <v>3</v>
      </c>
      <c r="G3006">
        <v>499</v>
      </c>
      <c r="H3006">
        <v>0.1</v>
      </c>
      <c r="I3006" t="s">
        <v>50</v>
      </c>
      <c r="J3006" t="s">
        <v>22</v>
      </c>
      <c r="K3006" t="s">
        <v>17</v>
      </c>
      <c r="L3006">
        <f>F3005*G3005*(1-H3005)</f>
        <v>2545.75</v>
      </c>
    </row>
    <row r="3007" spans="1:12">
      <c r="A3007" t="s">
        <v>3819</v>
      </c>
      <c r="B3007" s="1">
        <v>46153</v>
      </c>
      <c r="C3007" t="s">
        <v>257</v>
      </c>
      <c r="D3007" t="s">
        <v>78</v>
      </c>
      <c r="E3007" t="s">
        <v>27</v>
      </c>
      <c r="F3007">
        <v>1</v>
      </c>
      <c r="G3007">
        <v>999</v>
      </c>
      <c r="H3007">
        <v>0.15</v>
      </c>
      <c r="I3007" t="s">
        <v>44</v>
      </c>
      <c r="J3007" t="s">
        <v>16</v>
      </c>
      <c r="K3007" t="s">
        <v>17</v>
      </c>
      <c r="L3007">
        <f>F3006*G3006*(1-H3006)</f>
        <v>1347.3</v>
      </c>
    </row>
    <row r="3008" spans="1:12">
      <c r="A3008" t="s">
        <v>3820</v>
      </c>
      <c r="B3008" s="1">
        <v>46207</v>
      </c>
      <c r="C3008" t="s">
        <v>205</v>
      </c>
      <c r="D3008" t="s">
        <v>59</v>
      </c>
      <c r="E3008" t="s">
        <v>27</v>
      </c>
      <c r="F3008">
        <v>3</v>
      </c>
      <c r="G3008">
        <v>1999</v>
      </c>
      <c r="H3008">
        <v>0</v>
      </c>
      <c r="I3008" t="s">
        <v>50</v>
      </c>
      <c r="J3008" t="s">
        <v>51</v>
      </c>
      <c r="K3008" t="s">
        <v>17</v>
      </c>
      <c r="L3008">
        <f>F3007*G3007*(1-H3007)</f>
        <v>849.15</v>
      </c>
    </row>
    <row r="3009" spans="1:12">
      <c r="A3009" t="s">
        <v>3821</v>
      </c>
      <c r="B3009" s="1">
        <v>46130</v>
      </c>
      <c r="C3009" t="s">
        <v>646</v>
      </c>
      <c r="D3009" t="s">
        <v>78</v>
      </c>
      <c r="E3009" t="s">
        <v>27</v>
      </c>
      <c r="F3009">
        <v>2</v>
      </c>
      <c r="G3009">
        <v>1999</v>
      </c>
      <c r="H3009">
        <v>0.05</v>
      </c>
      <c r="I3009" t="s">
        <v>32</v>
      </c>
      <c r="J3009" t="s">
        <v>36</v>
      </c>
      <c r="K3009" t="s">
        <v>17</v>
      </c>
      <c r="L3009">
        <f>F3008*G3008*(1-H3008)</f>
        <v>5997</v>
      </c>
    </row>
    <row r="3010" spans="1:12">
      <c r="A3010" t="s">
        <v>3822</v>
      </c>
      <c r="B3010" s="1">
        <v>46164</v>
      </c>
      <c r="C3010" t="s">
        <v>3594</v>
      </c>
      <c r="D3010" t="s">
        <v>59</v>
      </c>
      <c r="E3010" t="s">
        <v>14</v>
      </c>
      <c r="F3010">
        <v>4</v>
      </c>
      <c r="G3010">
        <v>4999</v>
      </c>
      <c r="H3010">
        <v>0</v>
      </c>
      <c r="I3010" t="s">
        <v>32</v>
      </c>
      <c r="J3010" t="s">
        <v>51</v>
      </c>
      <c r="K3010" t="s">
        <v>17</v>
      </c>
      <c r="L3010">
        <f>F3009*G3009*(1-H3009)</f>
        <v>3798.1</v>
      </c>
    </row>
    <row r="3011" spans="1:12">
      <c r="A3011" t="s">
        <v>3823</v>
      </c>
      <c r="B3011" s="1">
        <v>46131</v>
      </c>
      <c r="C3011" t="s">
        <v>991</v>
      </c>
      <c r="D3011" t="s">
        <v>26</v>
      </c>
      <c r="E3011" t="s">
        <v>14</v>
      </c>
      <c r="F3011">
        <v>1</v>
      </c>
      <c r="G3011">
        <v>599</v>
      </c>
      <c r="H3011">
        <v>0.15</v>
      </c>
      <c r="I3011" t="s">
        <v>50</v>
      </c>
      <c r="J3011" t="s">
        <v>28</v>
      </c>
      <c r="K3011" t="s">
        <v>17</v>
      </c>
      <c r="L3011">
        <f>F3010*G3010*(1-H3010)</f>
        <v>19996</v>
      </c>
    </row>
    <row r="3012" spans="1:12">
      <c r="A3012" t="s">
        <v>3824</v>
      </c>
      <c r="B3012" s="1">
        <v>46194</v>
      </c>
      <c r="C3012" t="s">
        <v>963</v>
      </c>
      <c r="D3012" t="s">
        <v>13</v>
      </c>
      <c r="E3012" t="s">
        <v>14</v>
      </c>
      <c r="F3012">
        <v>2</v>
      </c>
      <c r="G3012">
        <v>999</v>
      </c>
      <c r="H3012">
        <v>0</v>
      </c>
      <c r="I3012" t="s">
        <v>15</v>
      </c>
      <c r="J3012" t="s">
        <v>16</v>
      </c>
      <c r="K3012" t="s">
        <v>17</v>
      </c>
      <c r="L3012">
        <f>F3011*G3011*(1-H3011)</f>
        <v>509.15</v>
      </c>
    </row>
    <row r="3013" spans="1:12">
      <c r="A3013" t="s">
        <v>3825</v>
      </c>
      <c r="B3013" s="1">
        <v>46186</v>
      </c>
      <c r="C3013" t="s">
        <v>2403</v>
      </c>
      <c r="D3013" t="s">
        <v>56</v>
      </c>
      <c r="E3013" t="s">
        <v>35</v>
      </c>
      <c r="F3013">
        <v>4</v>
      </c>
      <c r="G3013">
        <v>1999</v>
      </c>
      <c r="H3013">
        <v>0</v>
      </c>
      <c r="I3013" t="s">
        <v>15</v>
      </c>
      <c r="J3013" t="s">
        <v>22</v>
      </c>
      <c r="K3013" t="s">
        <v>17</v>
      </c>
      <c r="L3013">
        <f>F3012*G3012*(1-H3012)</f>
        <v>1998</v>
      </c>
    </row>
    <row r="3014" spans="1:12">
      <c r="A3014" t="s">
        <v>3826</v>
      </c>
      <c r="B3014" s="1">
        <v>46130</v>
      </c>
      <c r="C3014" t="s">
        <v>1495</v>
      </c>
      <c r="D3014" t="s">
        <v>31</v>
      </c>
      <c r="E3014" t="s">
        <v>35</v>
      </c>
      <c r="F3014">
        <v>4</v>
      </c>
      <c r="G3014">
        <v>999</v>
      </c>
      <c r="H3014">
        <v>0.15</v>
      </c>
      <c r="I3014" t="s">
        <v>15</v>
      </c>
      <c r="J3014" t="s">
        <v>28</v>
      </c>
      <c r="K3014" t="s">
        <v>17</v>
      </c>
      <c r="L3014">
        <f>F3013*G3013*(1-H3013)</f>
        <v>7996</v>
      </c>
    </row>
    <row r="3015" spans="1:12">
      <c r="A3015" t="s">
        <v>3827</v>
      </c>
      <c r="B3015" s="1">
        <v>46288</v>
      </c>
      <c r="C3015" t="s">
        <v>2191</v>
      </c>
      <c r="D3015" t="s">
        <v>31</v>
      </c>
      <c r="E3015" t="s">
        <v>27</v>
      </c>
      <c r="F3015">
        <v>4</v>
      </c>
      <c r="G3015">
        <v>999</v>
      </c>
      <c r="H3015">
        <v>0.15</v>
      </c>
      <c r="I3015" t="s">
        <v>44</v>
      </c>
      <c r="J3015" t="s">
        <v>16</v>
      </c>
      <c r="K3015" t="s">
        <v>23</v>
      </c>
      <c r="L3015">
        <f>F3014*G3014*(1-H3014)</f>
        <v>3396.6</v>
      </c>
    </row>
    <row r="3016" spans="1:12">
      <c r="A3016" t="s">
        <v>3828</v>
      </c>
      <c r="B3016" s="1">
        <v>46045</v>
      </c>
      <c r="C3016" t="s">
        <v>366</v>
      </c>
      <c r="D3016" t="s">
        <v>71</v>
      </c>
      <c r="E3016" t="s">
        <v>21</v>
      </c>
      <c r="F3016">
        <v>4</v>
      </c>
      <c r="G3016">
        <v>999</v>
      </c>
      <c r="H3016">
        <v>0.1</v>
      </c>
      <c r="I3016" t="s">
        <v>44</v>
      </c>
      <c r="J3016" t="s">
        <v>51</v>
      </c>
      <c r="K3016" t="s">
        <v>17</v>
      </c>
      <c r="L3016">
        <f>F3015*G3015*(1-H3015)</f>
        <v>3396.6</v>
      </c>
    </row>
    <row r="3017" spans="1:12">
      <c r="A3017" t="s">
        <v>3829</v>
      </c>
      <c r="B3017" s="1">
        <v>46096</v>
      </c>
      <c r="C3017" t="s">
        <v>3830</v>
      </c>
      <c r="D3017" t="s">
        <v>31</v>
      </c>
      <c r="E3017" t="s">
        <v>35</v>
      </c>
      <c r="F3017">
        <v>1</v>
      </c>
      <c r="G3017">
        <v>499</v>
      </c>
      <c r="H3017">
        <v>0.1</v>
      </c>
      <c r="I3017" t="s">
        <v>50</v>
      </c>
      <c r="J3017" t="s">
        <v>22</v>
      </c>
      <c r="K3017" t="s">
        <v>17</v>
      </c>
      <c r="L3017">
        <f>F3016*G3016*(1-H3016)</f>
        <v>3596.4</v>
      </c>
    </row>
    <row r="3018" spans="1:12">
      <c r="A3018" t="s">
        <v>3831</v>
      </c>
      <c r="B3018" s="1">
        <v>46111</v>
      </c>
      <c r="C3018" t="s">
        <v>454</v>
      </c>
      <c r="D3018" t="s">
        <v>31</v>
      </c>
      <c r="E3018" t="s">
        <v>40</v>
      </c>
      <c r="F3018">
        <v>3</v>
      </c>
      <c r="G3018">
        <v>499</v>
      </c>
      <c r="H3018">
        <v>0.15</v>
      </c>
      <c r="I3018" t="s">
        <v>47</v>
      </c>
      <c r="J3018" t="s">
        <v>28</v>
      </c>
      <c r="K3018" t="s">
        <v>37</v>
      </c>
      <c r="L3018">
        <f>F3017*G3017*(1-H3017)</f>
        <v>449.1</v>
      </c>
    </row>
    <row r="3019" spans="1:12">
      <c r="A3019" t="s">
        <v>3832</v>
      </c>
      <c r="B3019" s="1">
        <v>46248</v>
      </c>
      <c r="C3019" t="s">
        <v>2579</v>
      </c>
      <c r="D3019" t="s">
        <v>56</v>
      </c>
      <c r="E3019" t="s">
        <v>14</v>
      </c>
      <c r="F3019">
        <v>2</v>
      </c>
      <c r="G3019">
        <v>799</v>
      </c>
      <c r="H3019">
        <v>0.15</v>
      </c>
      <c r="I3019" t="s">
        <v>32</v>
      </c>
      <c r="J3019" t="s">
        <v>16</v>
      </c>
      <c r="K3019" t="s">
        <v>23</v>
      </c>
      <c r="L3019">
        <f>F3018*G3018*(1-H3018)</f>
        <v>1272.45</v>
      </c>
    </row>
    <row r="3020" spans="1:12">
      <c r="A3020" t="s">
        <v>3833</v>
      </c>
      <c r="B3020" s="1">
        <v>46142</v>
      </c>
      <c r="C3020" t="s">
        <v>132</v>
      </c>
      <c r="D3020" t="s">
        <v>31</v>
      </c>
      <c r="E3020" t="s">
        <v>40</v>
      </c>
      <c r="F3020">
        <v>3</v>
      </c>
      <c r="G3020">
        <v>499</v>
      </c>
      <c r="H3020">
        <v>0.1</v>
      </c>
      <c r="I3020" t="s">
        <v>44</v>
      </c>
      <c r="J3020" t="s">
        <v>28</v>
      </c>
      <c r="K3020" t="s">
        <v>17</v>
      </c>
      <c r="L3020">
        <f>F3019*G3019*(1-H3019)</f>
        <v>1358.3</v>
      </c>
    </row>
    <row r="3021" spans="1:12">
      <c r="A3021" t="s">
        <v>3834</v>
      </c>
      <c r="B3021" s="1">
        <v>46277</v>
      </c>
      <c r="C3021" t="s">
        <v>1125</v>
      </c>
      <c r="D3021" t="s">
        <v>13</v>
      </c>
      <c r="E3021" t="s">
        <v>14</v>
      </c>
      <c r="F3021">
        <v>1</v>
      </c>
      <c r="G3021">
        <v>1999</v>
      </c>
      <c r="H3021">
        <v>0</v>
      </c>
      <c r="I3021" t="s">
        <v>50</v>
      </c>
      <c r="J3021" t="s">
        <v>16</v>
      </c>
      <c r="K3021" t="s">
        <v>23</v>
      </c>
      <c r="L3021">
        <f>F3020*G3020*(1-H3020)</f>
        <v>1347.3</v>
      </c>
    </row>
    <row r="3022" spans="1:12">
      <c r="A3022" t="s">
        <v>3835</v>
      </c>
      <c r="B3022" s="1">
        <v>46112</v>
      </c>
      <c r="C3022" t="s">
        <v>1034</v>
      </c>
      <c r="D3022" t="s">
        <v>56</v>
      </c>
      <c r="E3022" t="s">
        <v>27</v>
      </c>
      <c r="F3022">
        <v>4</v>
      </c>
      <c r="G3022">
        <v>499</v>
      </c>
      <c r="H3022">
        <v>0</v>
      </c>
      <c r="I3022" t="s">
        <v>50</v>
      </c>
      <c r="J3022" t="s">
        <v>16</v>
      </c>
      <c r="K3022" t="s">
        <v>17</v>
      </c>
      <c r="L3022">
        <f>F3021*G3021*(1-H3021)</f>
        <v>1999</v>
      </c>
    </row>
    <row r="3023" spans="1:12">
      <c r="A3023" t="s">
        <v>3836</v>
      </c>
      <c r="B3023" s="1">
        <v>46262</v>
      </c>
      <c r="C3023" t="s">
        <v>1257</v>
      </c>
      <c r="D3023" t="s">
        <v>13</v>
      </c>
      <c r="E3023" t="s">
        <v>27</v>
      </c>
      <c r="F3023">
        <v>1</v>
      </c>
      <c r="G3023">
        <v>599</v>
      </c>
      <c r="H3023">
        <v>0</v>
      </c>
      <c r="I3023" t="s">
        <v>47</v>
      </c>
      <c r="J3023" t="s">
        <v>28</v>
      </c>
      <c r="K3023" t="s">
        <v>37</v>
      </c>
      <c r="L3023">
        <f>F3022*G3022*(1-H3022)</f>
        <v>1996</v>
      </c>
    </row>
    <row r="3024" spans="1:12">
      <c r="A3024" t="s">
        <v>3837</v>
      </c>
      <c r="B3024" s="1">
        <v>46056</v>
      </c>
      <c r="C3024" t="s">
        <v>494</v>
      </c>
      <c r="D3024" t="s">
        <v>13</v>
      </c>
      <c r="E3024" t="s">
        <v>14</v>
      </c>
      <c r="F3024">
        <v>1</v>
      </c>
      <c r="G3024">
        <v>1299</v>
      </c>
      <c r="H3024">
        <v>0.1</v>
      </c>
      <c r="I3024" t="s">
        <v>47</v>
      </c>
      <c r="J3024" t="s">
        <v>36</v>
      </c>
      <c r="K3024" t="s">
        <v>23</v>
      </c>
      <c r="L3024">
        <f>F3023*G3023*(1-H3023)</f>
        <v>599</v>
      </c>
    </row>
    <row r="3025" spans="1:12">
      <c r="A3025" t="s">
        <v>3838</v>
      </c>
      <c r="B3025" s="1">
        <v>46113</v>
      </c>
      <c r="C3025" t="s">
        <v>1013</v>
      </c>
      <c r="D3025" t="s">
        <v>62</v>
      </c>
      <c r="E3025" t="s">
        <v>14</v>
      </c>
      <c r="F3025">
        <v>2</v>
      </c>
      <c r="G3025">
        <v>999</v>
      </c>
      <c r="H3025">
        <v>0.05</v>
      </c>
      <c r="I3025" t="s">
        <v>47</v>
      </c>
      <c r="J3025" t="s">
        <v>51</v>
      </c>
      <c r="K3025" t="s">
        <v>17</v>
      </c>
      <c r="L3025">
        <f>F3024*G3024*(1-H3024)</f>
        <v>1169.1000000000001</v>
      </c>
    </row>
    <row r="3026" spans="1:12">
      <c r="A3026" t="s">
        <v>3839</v>
      </c>
      <c r="B3026" s="1">
        <v>46095</v>
      </c>
      <c r="C3026" t="s">
        <v>150</v>
      </c>
      <c r="D3026" t="s">
        <v>62</v>
      </c>
      <c r="E3026" t="s">
        <v>27</v>
      </c>
      <c r="F3026">
        <v>5</v>
      </c>
      <c r="G3026">
        <v>599</v>
      </c>
      <c r="H3026">
        <v>0</v>
      </c>
      <c r="I3026" t="s">
        <v>15</v>
      </c>
      <c r="J3026" t="s">
        <v>28</v>
      </c>
      <c r="K3026" t="s">
        <v>17</v>
      </c>
      <c r="L3026">
        <f>F3025*G3025*(1-H3025)</f>
        <v>1898.1</v>
      </c>
    </row>
    <row r="3027" spans="1:12">
      <c r="A3027" t="s">
        <v>3840</v>
      </c>
      <c r="B3027" s="1">
        <v>46148</v>
      </c>
      <c r="C3027" t="s">
        <v>364</v>
      </c>
      <c r="D3027" t="s">
        <v>62</v>
      </c>
      <c r="E3027" t="s">
        <v>40</v>
      </c>
      <c r="F3027">
        <v>3</v>
      </c>
      <c r="G3027">
        <v>499</v>
      </c>
      <c r="H3027">
        <v>0.05</v>
      </c>
      <c r="I3027" t="s">
        <v>15</v>
      </c>
      <c r="J3027" t="s">
        <v>16</v>
      </c>
      <c r="K3027" t="s">
        <v>17</v>
      </c>
      <c r="L3027">
        <f>F3026*G3026*(1-H3026)</f>
        <v>2995</v>
      </c>
    </row>
    <row r="3028" spans="1:12">
      <c r="A3028" t="s">
        <v>3841</v>
      </c>
      <c r="B3028" s="1">
        <v>46214</v>
      </c>
      <c r="C3028" t="s">
        <v>1590</v>
      </c>
      <c r="D3028" t="s">
        <v>59</v>
      </c>
      <c r="E3028" t="s">
        <v>40</v>
      </c>
      <c r="F3028">
        <v>4</v>
      </c>
      <c r="G3028">
        <v>1499</v>
      </c>
      <c r="H3028">
        <v>0.05</v>
      </c>
      <c r="I3028" t="s">
        <v>32</v>
      </c>
      <c r="J3028" t="s">
        <v>51</v>
      </c>
      <c r="K3028" t="s">
        <v>17</v>
      </c>
      <c r="L3028">
        <f>F3027*G3027*(1-H3027)</f>
        <v>1422.1499999999999</v>
      </c>
    </row>
    <row r="3029" spans="1:12">
      <c r="A3029" t="s">
        <v>3842</v>
      </c>
      <c r="B3029" s="1">
        <v>46135</v>
      </c>
      <c r="C3029" t="s">
        <v>90</v>
      </c>
      <c r="D3029" t="s">
        <v>71</v>
      </c>
      <c r="E3029" t="s">
        <v>35</v>
      </c>
      <c r="F3029">
        <v>3</v>
      </c>
      <c r="G3029">
        <v>7999</v>
      </c>
      <c r="H3029">
        <v>0.05</v>
      </c>
      <c r="I3029" t="s">
        <v>50</v>
      </c>
      <c r="J3029" t="s">
        <v>16</v>
      </c>
      <c r="K3029" t="s">
        <v>17</v>
      </c>
      <c r="L3029">
        <f>F3028*G3028*(1-H3028)</f>
        <v>5696.2</v>
      </c>
    </row>
    <row r="3030" spans="1:12">
      <c r="A3030" t="s">
        <v>3843</v>
      </c>
      <c r="B3030" s="1">
        <v>46033</v>
      </c>
      <c r="C3030" t="s">
        <v>1800</v>
      </c>
      <c r="D3030" t="s">
        <v>78</v>
      </c>
      <c r="E3030" t="s">
        <v>27</v>
      </c>
      <c r="F3030">
        <v>3</v>
      </c>
      <c r="G3030">
        <v>1499</v>
      </c>
      <c r="H3030">
        <v>0</v>
      </c>
      <c r="I3030" t="s">
        <v>47</v>
      </c>
      <c r="J3030" t="s">
        <v>51</v>
      </c>
      <c r="K3030" t="s">
        <v>17</v>
      </c>
      <c r="L3030">
        <f>F3029*G3029*(1-H3029)</f>
        <v>22797.149999999998</v>
      </c>
    </row>
    <row r="3031" spans="1:12">
      <c r="A3031" t="s">
        <v>3844</v>
      </c>
      <c r="B3031" s="1">
        <v>46201</v>
      </c>
      <c r="C3031" t="s">
        <v>1146</v>
      </c>
      <c r="D3031" t="s">
        <v>59</v>
      </c>
      <c r="E3031" t="s">
        <v>27</v>
      </c>
      <c r="F3031">
        <v>1</v>
      </c>
      <c r="G3031">
        <v>4999</v>
      </c>
      <c r="H3031">
        <v>0</v>
      </c>
      <c r="I3031" t="s">
        <v>50</v>
      </c>
      <c r="J3031" t="s">
        <v>28</v>
      </c>
      <c r="K3031" t="s">
        <v>17</v>
      </c>
      <c r="L3031">
        <f>F3030*G3030*(1-H3030)</f>
        <v>4497</v>
      </c>
    </row>
    <row r="3032" spans="1:12">
      <c r="A3032" t="s">
        <v>3845</v>
      </c>
      <c r="B3032" s="1">
        <v>46109</v>
      </c>
      <c r="C3032" t="s">
        <v>1786</v>
      </c>
      <c r="D3032" t="s">
        <v>71</v>
      </c>
      <c r="E3032" t="s">
        <v>21</v>
      </c>
      <c r="F3032">
        <v>5</v>
      </c>
      <c r="G3032">
        <v>1299</v>
      </c>
      <c r="H3032">
        <v>0.15</v>
      </c>
      <c r="I3032" t="s">
        <v>32</v>
      </c>
      <c r="J3032" t="s">
        <v>51</v>
      </c>
      <c r="K3032" t="s">
        <v>23</v>
      </c>
      <c r="L3032">
        <f>F3031*G3031*(1-H3031)</f>
        <v>4999</v>
      </c>
    </row>
    <row r="3033" spans="1:12">
      <c r="A3033" t="s">
        <v>3846</v>
      </c>
      <c r="B3033" s="1">
        <v>46034</v>
      </c>
      <c r="C3033" t="s">
        <v>1370</v>
      </c>
      <c r="D3033" t="s">
        <v>59</v>
      </c>
      <c r="E3033" t="s">
        <v>35</v>
      </c>
      <c r="F3033">
        <v>3</v>
      </c>
      <c r="G3033">
        <v>999</v>
      </c>
      <c r="H3033">
        <v>0.15</v>
      </c>
      <c r="I3033" t="s">
        <v>44</v>
      </c>
      <c r="J3033" t="s">
        <v>36</v>
      </c>
      <c r="K3033" t="s">
        <v>37</v>
      </c>
      <c r="L3033">
        <f>F3032*G3032*(1-H3032)</f>
        <v>5520.75</v>
      </c>
    </row>
    <row r="3034" spans="1:12">
      <c r="A3034" t="s">
        <v>3847</v>
      </c>
      <c r="B3034" s="1">
        <v>46139</v>
      </c>
      <c r="C3034" t="s">
        <v>1042</v>
      </c>
      <c r="D3034" t="s">
        <v>59</v>
      </c>
      <c r="E3034" t="s">
        <v>14</v>
      </c>
      <c r="F3034">
        <v>3</v>
      </c>
      <c r="G3034">
        <v>499</v>
      </c>
      <c r="H3034">
        <v>0</v>
      </c>
      <c r="I3034" t="s">
        <v>47</v>
      </c>
      <c r="J3034" t="s">
        <v>28</v>
      </c>
      <c r="K3034" t="s">
        <v>17</v>
      </c>
      <c r="L3034">
        <f>F3033*G3033*(1-H3033)</f>
        <v>2547.4499999999998</v>
      </c>
    </row>
    <row r="3035" spans="1:12">
      <c r="A3035" t="s">
        <v>3848</v>
      </c>
      <c r="B3035" s="1">
        <v>46224</v>
      </c>
      <c r="C3035" t="s">
        <v>633</v>
      </c>
      <c r="D3035" t="s">
        <v>59</v>
      </c>
      <c r="E3035" t="s">
        <v>35</v>
      </c>
      <c r="F3035">
        <v>5</v>
      </c>
      <c r="G3035">
        <v>2499</v>
      </c>
      <c r="H3035">
        <v>0.05</v>
      </c>
      <c r="I3035" t="s">
        <v>47</v>
      </c>
      <c r="J3035" t="s">
        <v>36</v>
      </c>
      <c r="K3035" t="s">
        <v>17</v>
      </c>
      <c r="L3035">
        <f>F3034*G3034*(1-H3034)</f>
        <v>1497</v>
      </c>
    </row>
    <row r="3036" spans="1:12">
      <c r="A3036" t="s">
        <v>3849</v>
      </c>
      <c r="B3036" s="1">
        <v>46237</v>
      </c>
      <c r="C3036" t="s">
        <v>470</v>
      </c>
      <c r="D3036" t="s">
        <v>59</v>
      </c>
      <c r="E3036" t="s">
        <v>35</v>
      </c>
      <c r="F3036">
        <v>2</v>
      </c>
      <c r="G3036">
        <v>499</v>
      </c>
      <c r="H3036">
        <v>0.1</v>
      </c>
      <c r="I3036" t="s">
        <v>15</v>
      </c>
      <c r="J3036" t="s">
        <v>36</v>
      </c>
      <c r="K3036" t="s">
        <v>17</v>
      </c>
      <c r="L3036">
        <f>F3035*G3035*(1-H3035)</f>
        <v>11870.25</v>
      </c>
    </row>
    <row r="3037" spans="1:12">
      <c r="A3037" t="s">
        <v>3850</v>
      </c>
      <c r="B3037" s="1">
        <v>46240</v>
      </c>
      <c r="C3037" t="s">
        <v>703</v>
      </c>
      <c r="D3037" t="s">
        <v>43</v>
      </c>
      <c r="E3037" t="s">
        <v>14</v>
      </c>
      <c r="F3037">
        <v>1</v>
      </c>
      <c r="G3037">
        <v>7999</v>
      </c>
      <c r="H3037">
        <v>0.05</v>
      </c>
      <c r="I3037" t="s">
        <v>47</v>
      </c>
      <c r="J3037" t="s">
        <v>36</v>
      </c>
      <c r="K3037" t="s">
        <v>17</v>
      </c>
      <c r="L3037">
        <f>F3036*G3036*(1-H3036)</f>
        <v>898.2</v>
      </c>
    </row>
    <row r="3038" spans="1:12">
      <c r="A3038" t="s">
        <v>3851</v>
      </c>
      <c r="B3038" s="1">
        <v>46186</v>
      </c>
      <c r="C3038" t="s">
        <v>1625</v>
      </c>
      <c r="D3038" t="s">
        <v>59</v>
      </c>
      <c r="E3038" t="s">
        <v>14</v>
      </c>
      <c r="F3038">
        <v>3</v>
      </c>
      <c r="G3038">
        <v>499</v>
      </c>
      <c r="H3038">
        <v>0</v>
      </c>
      <c r="I3038" t="s">
        <v>32</v>
      </c>
      <c r="J3038" t="s">
        <v>22</v>
      </c>
      <c r="K3038" t="s">
        <v>17</v>
      </c>
      <c r="L3038">
        <f>F3037*G3037*(1-H3037)</f>
        <v>7599.0499999999993</v>
      </c>
    </row>
    <row r="3039" spans="1:12">
      <c r="A3039" t="s">
        <v>3852</v>
      </c>
      <c r="B3039" s="1">
        <v>46041</v>
      </c>
      <c r="C3039" t="s">
        <v>881</v>
      </c>
      <c r="D3039" t="s">
        <v>20</v>
      </c>
      <c r="E3039" t="s">
        <v>35</v>
      </c>
      <c r="F3039">
        <v>4</v>
      </c>
      <c r="G3039">
        <v>799</v>
      </c>
      <c r="H3039">
        <v>0</v>
      </c>
      <c r="I3039" t="s">
        <v>47</v>
      </c>
      <c r="J3039" t="s">
        <v>16</v>
      </c>
      <c r="K3039" t="s">
        <v>17</v>
      </c>
      <c r="L3039">
        <f>F3038*G3038*(1-H3038)</f>
        <v>1497</v>
      </c>
    </row>
    <row r="3040" spans="1:12">
      <c r="A3040" t="s">
        <v>3853</v>
      </c>
      <c r="B3040" s="1">
        <v>46034</v>
      </c>
      <c r="C3040" t="s">
        <v>2094</v>
      </c>
      <c r="D3040" t="s">
        <v>31</v>
      </c>
      <c r="E3040" t="s">
        <v>35</v>
      </c>
      <c r="F3040">
        <v>4</v>
      </c>
      <c r="G3040">
        <v>999</v>
      </c>
      <c r="H3040">
        <v>0.1</v>
      </c>
      <c r="I3040" t="s">
        <v>47</v>
      </c>
      <c r="J3040" t="s">
        <v>22</v>
      </c>
      <c r="K3040" t="s">
        <v>17</v>
      </c>
      <c r="L3040">
        <f>F3039*G3039*(1-H3039)</f>
        <v>3196</v>
      </c>
    </row>
    <row r="3041" spans="1:12">
      <c r="A3041" t="s">
        <v>3854</v>
      </c>
      <c r="B3041" s="1">
        <v>46169</v>
      </c>
      <c r="C3041" t="s">
        <v>631</v>
      </c>
      <c r="D3041" t="s">
        <v>26</v>
      </c>
      <c r="E3041" t="s">
        <v>14</v>
      </c>
      <c r="F3041">
        <v>1</v>
      </c>
      <c r="G3041">
        <v>499</v>
      </c>
      <c r="H3041">
        <v>0.05</v>
      </c>
      <c r="I3041" t="s">
        <v>15</v>
      </c>
      <c r="J3041" t="s">
        <v>22</v>
      </c>
      <c r="K3041" t="s">
        <v>37</v>
      </c>
      <c r="L3041">
        <f>F3040*G3040*(1-H3040)</f>
        <v>3596.4</v>
      </c>
    </row>
    <row r="3042" spans="1:12">
      <c r="A3042" t="s">
        <v>3855</v>
      </c>
      <c r="B3042" s="1">
        <v>46143</v>
      </c>
      <c r="C3042" t="s">
        <v>477</v>
      </c>
      <c r="D3042" t="s">
        <v>26</v>
      </c>
      <c r="E3042" t="s">
        <v>35</v>
      </c>
      <c r="F3042">
        <v>2</v>
      </c>
      <c r="G3042">
        <v>1499</v>
      </c>
      <c r="H3042">
        <v>0.15</v>
      </c>
      <c r="I3042" t="s">
        <v>44</v>
      </c>
      <c r="J3042" t="s">
        <v>28</v>
      </c>
      <c r="K3042" t="s">
        <v>37</v>
      </c>
      <c r="L3042">
        <f>F3041*G3041*(1-H3041)</f>
        <v>474.04999999999995</v>
      </c>
    </row>
    <row r="3043" spans="1:12">
      <c r="A3043" t="s">
        <v>3856</v>
      </c>
      <c r="B3043" s="1">
        <v>46289</v>
      </c>
      <c r="C3043" t="s">
        <v>575</v>
      </c>
      <c r="D3043" t="s">
        <v>78</v>
      </c>
      <c r="E3043" t="s">
        <v>40</v>
      </c>
      <c r="F3043">
        <v>2</v>
      </c>
      <c r="G3043">
        <v>2499</v>
      </c>
      <c r="H3043">
        <v>0</v>
      </c>
      <c r="I3043" t="s">
        <v>32</v>
      </c>
      <c r="J3043" t="s">
        <v>28</v>
      </c>
      <c r="K3043" t="s">
        <v>37</v>
      </c>
      <c r="L3043">
        <f>F3042*G3042*(1-H3042)</f>
        <v>2548.2999999999997</v>
      </c>
    </row>
    <row r="3044" spans="1:12">
      <c r="A3044" t="s">
        <v>3857</v>
      </c>
      <c r="B3044" s="1">
        <v>46064</v>
      </c>
      <c r="C3044" t="s">
        <v>3858</v>
      </c>
      <c r="D3044" t="s">
        <v>43</v>
      </c>
      <c r="E3044" t="s">
        <v>40</v>
      </c>
      <c r="F3044">
        <v>5</v>
      </c>
      <c r="G3044">
        <v>7999</v>
      </c>
      <c r="H3044">
        <v>0.15</v>
      </c>
      <c r="I3044" t="s">
        <v>47</v>
      </c>
      <c r="J3044" t="s">
        <v>51</v>
      </c>
      <c r="K3044" t="s">
        <v>23</v>
      </c>
      <c r="L3044">
        <f>F3043*G3043*(1-H3043)</f>
        <v>4998</v>
      </c>
    </row>
    <row r="3045" spans="1:12">
      <c r="A3045" t="s">
        <v>3859</v>
      </c>
      <c r="B3045" s="1">
        <v>46070</v>
      </c>
      <c r="C3045" t="s">
        <v>1184</v>
      </c>
      <c r="D3045" t="s">
        <v>26</v>
      </c>
      <c r="E3045" t="s">
        <v>35</v>
      </c>
      <c r="F3045">
        <v>4</v>
      </c>
      <c r="G3045">
        <v>7999</v>
      </c>
      <c r="H3045">
        <v>0.15</v>
      </c>
      <c r="I3045" t="s">
        <v>44</v>
      </c>
      <c r="J3045" t="s">
        <v>28</v>
      </c>
      <c r="K3045" t="s">
        <v>37</v>
      </c>
      <c r="L3045">
        <f>F3044*G3044*(1-H3044)</f>
        <v>33995.75</v>
      </c>
    </row>
    <row r="3046" spans="1:12">
      <c r="A3046" t="s">
        <v>3860</v>
      </c>
      <c r="B3046" s="1">
        <v>46064</v>
      </c>
      <c r="C3046" t="s">
        <v>369</v>
      </c>
      <c r="D3046" t="s">
        <v>31</v>
      </c>
      <c r="E3046" t="s">
        <v>27</v>
      </c>
      <c r="F3046">
        <v>2</v>
      </c>
      <c r="G3046">
        <v>4999</v>
      </c>
      <c r="H3046">
        <v>0.1</v>
      </c>
      <c r="I3046" t="s">
        <v>47</v>
      </c>
      <c r="J3046" t="s">
        <v>22</v>
      </c>
      <c r="K3046" t="s">
        <v>17</v>
      </c>
      <c r="L3046">
        <f>F3045*G3045*(1-H3045)</f>
        <v>27196.6</v>
      </c>
    </row>
    <row r="3047" spans="1:12">
      <c r="A3047" t="s">
        <v>3861</v>
      </c>
      <c r="B3047" s="1">
        <v>46050</v>
      </c>
      <c r="C3047" t="s">
        <v>1374</v>
      </c>
      <c r="D3047" t="s">
        <v>13</v>
      </c>
      <c r="E3047" t="s">
        <v>40</v>
      </c>
      <c r="F3047">
        <v>4</v>
      </c>
      <c r="G3047">
        <v>1299</v>
      </c>
      <c r="H3047">
        <v>0</v>
      </c>
      <c r="I3047" t="s">
        <v>47</v>
      </c>
      <c r="J3047" t="s">
        <v>36</v>
      </c>
      <c r="K3047" t="s">
        <v>17</v>
      </c>
      <c r="L3047">
        <f>F3046*G3046*(1-H3046)</f>
        <v>8998.2000000000007</v>
      </c>
    </row>
    <row r="3048" spans="1:12">
      <c r="A3048" t="s">
        <v>3862</v>
      </c>
      <c r="B3048" s="1">
        <v>46259</v>
      </c>
      <c r="C3048" t="s">
        <v>2429</v>
      </c>
      <c r="D3048" t="s">
        <v>78</v>
      </c>
      <c r="E3048" t="s">
        <v>40</v>
      </c>
      <c r="F3048">
        <v>1</v>
      </c>
      <c r="G3048">
        <v>2499</v>
      </c>
      <c r="H3048">
        <v>0.15</v>
      </c>
      <c r="I3048" t="s">
        <v>47</v>
      </c>
      <c r="J3048" t="s">
        <v>51</v>
      </c>
      <c r="K3048" t="s">
        <v>23</v>
      </c>
      <c r="L3048">
        <f>F3047*G3047*(1-H3047)</f>
        <v>5196</v>
      </c>
    </row>
    <row r="3049" spans="1:12">
      <c r="A3049" t="s">
        <v>3863</v>
      </c>
      <c r="B3049" s="1">
        <v>46054</v>
      </c>
      <c r="C3049" t="s">
        <v>513</v>
      </c>
      <c r="D3049" t="s">
        <v>43</v>
      </c>
      <c r="E3049" t="s">
        <v>40</v>
      </c>
      <c r="F3049">
        <v>2</v>
      </c>
      <c r="G3049">
        <v>799</v>
      </c>
      <c r="H3049">
        <v>0.05</v>
      </c>
      <c r="I3049" t="s">
        <v>32</v>
      </c>
      <c r="J3049" t="s">
        <v>36</v>
      </c>
      <c r="K3049" t="s">
        <v>17</v>
      </c>
      <c r="L3049">
        <f>F3048*G3048*(1-H3048)</f>
        <v>2124.15</v>
      </c>
    </row>
    <row r="3050" spans="1:12">
      <c r="A3050" t="s">
        <v>3864</v>
      </c>
      <c r="B3050" s="1">
        <v>46140</v>
      </c>
      <c r="C3050" t="s">
        <v>123</v>
      </c>
      <c r="D3050" t="s">
        <v>26</v>
      </c>
      <c r="E3050" t="s">
        <v>27</v>
      </c>
      <c r="F3050">
        <v>4</v>
      </c>
      <c r="G3050">
        <v>1299</v>
      </c>
      <c r="H3050">
        <v>0</v>
      </c>
      <c r="I3050" t="s">
        <v>32</v>
      </c>
      <c r="J3050" t="s">
        <v>51</v>
      </c>
      <c r="K3050" t="s">
        <v>17</v>
      </c>
      <c r="L3050">
        <f>F3049*G3049*(1-H3049)</f>
        <v>1518.1</v>
      </c>
    </row>
    <row r="3051" spans="1:12">
      <c r="A3051" t="s">
        <v>3865</v>
      </c>
      <c r="B3051" s="1">
        <v>46189</v>
      </c>
      <c r="C3051" t="s">
        <v>498</v>
      </c>
      <c r="D3051" t="s">
        <v>20</v>
      </c>
      <c r="E3051" t="s">
        <v>14</v>
      </c>
      <c r="F3051">
        <v>3</v>
      </c>
      <c r="G3051">
        <v>799</v>
      </c>
      <c r="H3051">
        <v>0.05</v>
      </c>
      <c r="I3051" t="s">
        <v>15</v>
      </c>
      <c r="J3051" t="s">
        <v>28</v>
      </c>
      <c r="K3051" t="s">
        <v>17</v>
      </c>
      <c r="L3051">
        <f>F3050*G3050*(1-H3050)</f>
        <v>5196</v>
      </c>
    </row>
    <row r="3052" spans="1:12">
      <c r="A3052" t="s">
        <v>3866</v>
      </c>
      <c r="B3052" s="1">
        <v>46250</v>
      </c>
      <c r="C3052" t="s">
        <v>577</v>
      </c>
      <c r="D3052" t="s">
        <v>20</v>
      </c>
      <c r="E3052" t="s">
        <v>14</v>
      </c>
      <c r="F3052">
        <v>1</v>
      </c>
      <c r="G3052">
        <v>1499</v>
      </c>
      <c r="H3052">
        <v>0.15</v>
      </c>
      <c r="I3052" t="s">
        <v>47</v>
      </c>
      <c r="J3052" t="s">
        <v>16</v>
      </c>
      <c r="K3052" t="s">
        <v>37</v>
      </c>
      <c r="L3052">
        <f>F3051*G3051*(1-H3051)</f>
        <v>2277.15</v>
      </c>
    </row>
    <row r="3053" spans="1:12">
      <c r="A3053" t="s">
        <v>3867</v>
      </c>
      <c r="B3053" s="1">
        <v>46186</v>
      </c>
      <c r="C3053" t="s">
        <v>477</v>
      </c>
      <c r="D3053" t="s">
        <v>62</v>
      </c>
      <c r="E3053" t="s">
        <v>14</v>
      </c>
      <c r="F3053">
        <v>4</v>
      </c>
      <c r="G3053">
        <v>4999</v>
      </c>
      <c r="H3053">
        <v>0</v>
      </c>
      <c r="I3053" t="s">
        <v>44</v>
      </c>
      <c r="J3053" t="s">
        <v>51</v>
      </c>
      <c r="K3053" t="s">
        <v>17</v>
      </c>
      <c r="L3053">
        <f>F3052*G3052*(1-H3052)</f>
        <v>1274.1499999999999</v>
      </c>
    </row>
    <row r="3054" spans="1:12">
      <c r="A3054" t="s">
        <v>3868</v>
      </c>
      <c r="B3054" s="1">
        <v>46070</v>
      </c>
      <c r="C3054" t="s">
        <v>408</v>
      </c>
      <c r="D3054" t="s">
        <v>13</v>
      </c>
      <c r="E3054" t="s">
        <v>40</v>
      </c>
      <c r="F3054">
        <v>1</v>
      </c>
      <c r="G3054">
        <v>999</v>
      </c>
      <c r="H3054">
        <v>0.1</v>
      </c>
      <c r="I3054" t="s">
        <v>32</v>
      </c>
      <c r="J3054" t="s">
        <v>16</v>
      </c>
      <c r="K3054" t="s">
        <v>37</v>
      </c>
      <c r="L3054">
        <f>F3053*G3053*(1-H3053)</f>
        <v>19996</v>
      </c>
    </row>
    <row r="3055" spans="1:12">
      <c r="A3055" t="s">
        <v>3869</v>
      </c>
      <c r="B3055" s="1">
        <v>46232</v>
      </c>
      <c r="C3055" t="s">
        <v>1040</v>
      </c>
      <c r="D3055" t="s">
        <v>71</v>
      </c>
      <c r="E3055" t="s">
        <v>27</v>
      </c>
      <c r="F3055">
        <v>3</v>
      </c>
      <c r="G3055">
        <v>1999</v>
      </c>
      <c r="H3055">
        <v>0</v>
      </c>
      <c r="I3055" t="s">
        <v>44</v>
      </c>
      <c r="J3055" t="s">
        <v>36</v>
      </c>
      <c r="K3055" t="s">
        <v>37</v>
      </c>
      <c r="L3055">
        <f>F3054*G3054*(1-H3054)</f>
        <v>899.1</v>
      </c>
    </row>
    <row r="3056" spans="1:12">
      <c r="A3056" t="s">
        <v>3870</v>
      </c>
      <c r="B3056" s="1">
        <v>46258</v>
      </c>
      <c r="C3056" t="s">
        <v>1134</v>
      </c>
      <c r="D3056" t="s">
        <v>71</v>
      </c>
      <c r="E3056" t="s">
        <v>14</v>
      </c>
      <c r="F3056">
        <v>2</v>
      </c>
      <c r="G3056">
        <v>4999</v>
      </c>
      <c r="H3056">
        <v>0</v>
      </c>
      <c r="I3056" t="s">
        <v>15</v>
      </c>
      <c r="J3056" t="s">
        <v>28</v>
      </c>
      <c r="K3056" t="s">
        <v>23</v>
      </c>
      <c r="L3056">
        <f>F3055*G3055*(1-H3055)</f>
        <v>5997</v>
      </c>
    </row>
    <row r="3057" spans="1:12">
      <c r="A3057" t="s">
        <v>3871</v>
      </c>
      <c r="B3057" s="1">
        <v>46282</v>
      </c>
      <c r="C3057" t="s">
        <v>2032</v>
      </c>
      <c r="D3057" t="s">
        <v>20</v>
      </c>
      <c r="E3057" t="s">
        <v>35</v>
      </c>
      <c r="F3057">
        <v>1</v>
      </c>
      <c r="G3057">
        <v>1499</v>
      </c>
      <c r="H3057">
        <v>0.15</v>
      </c>
      <c r="I3057" t="s">
        <v>15</v>
      </c>
      <c r="J3057" t="s">
        <v>22</v>
      </c>
      <c r="K3057" t="s">
        <v>23</v>
      </c>
      <c r="L3057">
        <f>F3056*G3056*(1-H3056)</f>
        <v>9998</v>
      </c>
    </row>
    <row r="3058" spans="1:12">
      <c r="A3058" t="s">
        <v>3872</v>
      </c>
      <c r="B3058" s="1">
        <v>46235</v>
      </c>
      <c r="C3058" t="s">
        <v>1272</v>
      </c>
      <c r="D3058" t="s">
        <v>43</v>
      </c>
      <c r="E3058" t="s">
        <v>27</v>
      </c>
      <c r="F3058">
        <v>4</v>
      </c>
      <c r="G3058">
        <v>999</v>
      </c>
      <c r="H3058">
        <v>0.15</v>
      </c>
      <c r="I3058" t="s">
        <v>50</v>
      </c>
      <c r="J3058" t="s">
        <v>51</v>
      </c>
      <c r="K3058" t="s">
        <v>23</v>
      </c>
      <c r="L3058">
        <f>F3057*G3057*(1-H3057)</f>
        <v>1274.1499999999999</v>
      </c>
    </row>
    <row r="3059" spans="1:12">
      <c r="A3059" t="s">
        <v>3873</v>
      </c>
      <c r="B3059" s="1">
        <v>46202</v>
      </c>
      <c r="C3059" t="s">
        <v>680</v>
      </c>
      <c r="D3059" t="s">
        <v>13</v>
      </c>
      <c r="E3059" t="s">
        <v>21</v>
      </c>
      <c r="F3059">
        <v>4</v>
      </c>
      <c r="G3059">
        <v>499</v>
      </c>
      <c r="H3059">
        <v>0.15</v>
      </c>
      <c r="I3059" t="s">
        <v>32</v>
      </c>
      <c r="J3059" t="s">
        <v>22</v>
      </c>
      <c r="K3059" t="s">
        <v>17</v>
      </c>
      <c r="L3059">
        <f>F3058*G3058*(1-H3058)</f>
        <v>3396.6</v>
      </c>
    </row>
    <row r="3060" spans="1:12">
      <c r="A3060" t="s">
        <v>3874</v>
      </c>
      <c r="B3060" s="1">
        <v>46043</v>
      </c>
      <c r="C3060" t="s">
        <v>77</v>
      </c>
      <c r="D3060" t="s">
        <v>56</v>
      </c>
      <c r="E3060" t="s">
        <v>14</v>
      </c>
      <c r="F3060">
        <v>5</v>
      </c>
      <c r="G3060">
        <v>799</v>
      </c>
      <c r="H3060">
        <v>0</v>
      </c>
      <c r="I3060" t="s">
        <v>50</v>
      </c>
      <c r="J3060" t="s">
        <v>51</v>
      </c>
      <c r="K3060" t="s">
        <v>17</v>
      </c>
      <c r="L3060">
        <f>F3059*G3059*(1-H3059)</f>
        <v>1696.6</v>
      </c>
    </row>
    <row r="3061" spans="1:12">
      <c r="A3061" t="s">
        <v>3875</v>
      </c>
      <c r="B3061" s="1">
        <v>46186</v>
      </c>
      <c r="C3061" t="s">
        <v>1156</v>
      </c>
      <c r="D3061" t="s">
        <v>31</v>
      </c>
      <c r="E3061" t="s">
        <v>21</v>
      </c>
      <c r="F3061">
        <v>5</v>
      </c>
      <c r="G3061">
        <v>499</v>
      </c>
      <c r="H3061">
        <v>0.05</v>
      </c>
      <c r="I3061" t="s">
        <v>32</v>
      </c>
      <c r="J3061" t="s">
        <v>16</v>
      </c>
      <c r="K3061" t="s">
        <v>23</v>
      </c>
      <c r="L3061">
        <f>F3060*G3060*(1-H3060)</f>
        <v>3995</v>
      </c>
    </row>
    <row r="3062" spans="1:12">
      <c r="A3062" t="s">
        <v>3876</v>
      </c>
      <c r="B3062" s="1">
        <v>46103</v>
      </c>
      <c r="C3062" t="s">
        <v>1213</v>
      </c>
      <c r="D3062" t="s">
        <v>26</v>
      </c>
      <c r="E3062" t="s">
        <v>40</v>
      </c>
      <c r="F3062">
        <v>2</v>
      </c>
      <c r="G3062">
        <v>4999</v>
      </c>
      <c r="H3062">
        <v>0.15</v>
      </c>
      <c r="I3062" t="s">
        <v>15</v>
      </c>
      <c r="J3062" t="s">
        <v>36</v>
      </c>
      <c r="K3062" t="s">
        <v>37</v>
      </c>
      <c r="L3062">
        <f>F3061*G3061*(1-H3061)</f>
        <v>2370.25</v>
      </c>
    </row>
    <row r="3063" spans="1:12">
      <c r="A3063" t="s">
        <v>3877</v>
      </c>
      <c r="B3063" s="1">
        <v>46261</v>
      </c>
      <c r="C3063" t="s">
        <v>660</v>
      </c>
      <c r="D3063" t="s">
        <v>78</v>
      </c>
      <c r="E3063" t="s">
        <v>21</v>
      </c>
      <c r="F3063">
        <v>2</v>
      </c>
      <c r="G3063">
        <v>999</v>
      </c>
      <c r="H3063">
        <v>0</v>
      </c>
      <c r="I3063" t="s">
        <v>15</v>
      </c>
      <c r="J3063" t="s">
        <v>51</v>
      </c>
      <c r="K3063" t="s">
        <v>17</v>
      </c>
      <c r="L3063">
        <f>F3062*G3062*(1-H3062)</f>
        <v>8498.2999999999993</v>
      </c>
    </row>
    <row r="3064" spans="1:12">
      <c r="A3064" t="s">
        <v>3878</v>
      </c>
      <c r="B3064" s="1">
        <v>46236</v>
      </c>
      <c r="C3064" t="s">
        <v>298</v>
      </c>
      <c r="D3064" t="s">
        <v>13</v>
      </c>
      <c r="E3064" t="s">
        <v>35</v>
      </c>
      <c r="F3064">
        <v>3</v>
      </c>
      <c r="G3064">
        <v>799</v>
      </c>
      <c r="H3064">
        <v>0</v>
      </c>
      <c r="I3064" t="s">
        <v>15</v>
      </c>
      <c r="J3064" t="s">
        <v>16</v>
      </c>
      <c r="K3064" t="s">
        <v>17</v>
      </c>
      <c r="L3064">
        <f>F3063*G3063*(1-H3063)</f>
        <v>1998</v>
      </c>
    </row>
    <row r="3065" spans="1:12">
      <c r="A3065" t="s">
        <v>3879</v>
      </c>
      <c r="B3065" s="1">
        <v>46069</v>
      </c>
      <c r="C3065" t="s">
        <v>1437</v>
      </c>
      <c r="D3065" t="s">
        <v>59</v>
      </c>
      <c r="E3065" t="s">
        <v>27</v>
      </c>
      <c r="F3065">
        <v>5</v>
      </c>
      <c r="G3065">
        <v>599</v>
      </c>
      <c r="H3065">
        <v>0.05</v>
      </c>
      <c r="I3065" t="s">
        <v>15</v>
      </c>
      <c r="J3065" t="s">
        <v>36</v>
      </c>
      <c r="K3065" t="s">
        <v>17</v>
      </c>
      <c r="L3065">
        <f>F3064*G3064*(1-H3064)</f>
        <v>2397</v>
      </c>
    </row>
    <row r="3066" spans="1:12">
      <c r="A3066" t="s">
        <v>3880</v>
      </c>
      <c r="B3066" s="1">
        <v>46072</v>
      </c>
      <c r="C3066" t="s">
        <v>1462</v>
      </c>
      <c r="D3066" t="s">
        <v>71</v>
      </c>
      <c r="E3066" t="s">
        <v>27</v>
      </c>
      <c r="F3066">
        <v>5</v>
      </c>
      <c r="G3066">
        <v>2499</v>
      </c>
      <c r="H3066">
        <v>0.05</v>
      </c>
      <c r="I3066" t="s">
        <v>32</v>
      </c>
      <c r="J3066" t="s">
        <v>16</v>
      </c>
      <c r="K3066" t="s">
        <v>17</v>
      </c>
      <c r="L3066">
        <f>F3065*G3065*(1-H3065)</f>
        <v>2845.25</v>
      </c>
    </row>
    <row r="3067" spans="1:12">
      <c r="A3067" t="s">
        <v>3881</v>
      </c>
      <c r="B3067" s="1">
        <v>46067</v>
      </c>
      <c r="C3067" t="s">
        <v>626</v>
      </c>
      <c r="D3067" t="s">
        <v>43</v>
      </c>
      <c r="E3067" t="s">
        <v>21</v>
      </c>
      <c r="F3067">
        <v>3</v>
      </c>
      <c r="G3067">
        <v>1299</v>
      </c>
      <c r="H3067">
        <v>0</v>
      </c>
      <c r="I3067" t="s">
        <v>15</v>
      </c>
      <c r="J3067" t="s">
        <v>16</v>
      </c>
      <c r="K3067" t="s">
        <v>17</v>
      </c>
      <c r="L3067">
        <f>F3066*G3066*(1-H3066)</f>
        <v>11870.25</v>
      </c>
    </row>
    <row r="3068" spans="1:12">
      <c r="A3068" t="s">
        <v>3882</v>
      </c>
      <c r="B3068" s="1">
        <v>46156</v>
      </c>
      <c r="C3068" t="s">
        <v>767</v>
      </c>
      <c r="D3068" t="s">
        <v>20</v>
      </c>
      <c r="E3068" t="s">
        <v>35</v>
      </c>
      <c r="F3068">
        <v>5</v>
      </c>
      <c r="G3068">
        <v>799</v>
      </c>
      <c r="H3068">
        <v>0.15</v>
      </c>
      <c r="I3068" t="s">
        <v>50</v>
      </c>
      <c r="J3068" t="s">
        <v>16</v>
      </c>
      <c r="K3068" t="s">
        <v>37</v>
      </c>
      <c r="L3068">
        <f>F3067*G3067*(1-H3067)</f>
        <v>3897</v>
      </c>
    </row>
    <row r="3069" spans="1:12">
      <c r="A3069" t="s">
        <v>3883</v>
      </c>
      <c r="B3069" s="1">
        <v>46184</v>
      </c>
      <c r="C3069" t="s">
        <v>472</v>
      </c>
      <c r="D3069" t="s">
        <v>62</v>
      </c>
      <c r="E3069" t="s">
        <v>40</v>
      </c>
      <c r="F3069">
        <v>5</v>
      </c>
      <c r="G3069">
        <v>999</v>
      </c>
      <c r="H3069">
        <v>0.15</v>
      </c>
      <c r="I3069" t="s">
        <v>47</v>
      </c>
      <c r="J3069" t="s">
        <v>51</v>
      </c>
      <c r="K3069" t="s">
        <v>17</v>
      </c>
      <c r="L3069">
        <f>F3068*G3068*(1-H3068)</f>
        <v>3395.75</v>
      </c>
    </row>
    <row r="3070" spans="1:12">
      <c r="A3070" t="s">
        <v>3884</v>
      </c>
      <c r="B3070" s="1">
        <v>46264</v>
      </c>
      <c r="C3070" t="s">
        <v>466</v>
      </c>
      <c r="D3070" t="s">
        <v>62</v>
      </c>
      <c r="E3070" t="s">
        <v>14</v>
      </c>
      <c r="F3070">
        <v>5</v>
      </c>
      <c r="G3070">
        <v>799</v>
      </c>
      <c r="H3070">
        <v>0.15</v>
      </c>
      <c r="I3070" t="s">
        <v>47</v>
      </c>
      <c r="J3070" t="s">
        <v>36</v>
      </c>
      <c r="K3070" t="s">
        <v>17</v>
      </c>
      <c r="L3070">
        <f>F3069*G3069*(1-H3069)</f>
        <v>4245.75</v>
      </c>
    </row>
    <row r="3071" spans="1:12">
      <c r="A3071" t="s">
        <v>3885</v>
      </c>
      <c r="B3071" s="1">
        <v>46145</v>
      </c>
      <c r="C3071" t="s">
        <v>325</v>
      </c>
      <c r="D3071" t="s">
        <v>56</v>
      </c>
      <c r="E3071" t="s">
        <v>14</v>
      </c>
      <c r="F3071">
        <v>4</v>
      </c>
      <c r="G3071">
        <v>799</v>
      </c>
      <c r="H3071">
        <v>0.1</v>
      </c>
      <c r="I3071" t="s">
        <v>44</v>
      </c>
      <c r="J3071" t="s">
        <v>22</v>
      </c>
      <c r="K3071" t="s">
        <v>23</v>
      </c>
      <c r="L3071">
        <f>F3070*G3070*(1-H3070)</f>
        <v>3395.75</v>
      </c>
    </row>
    <row r="3072" spans="1:12">
      <c r="A3072" t="s">
        <v>3886</v>
      </c>
      <c r="B3072" s="1">
        <v>46030</v>
      </c>
      <c r="C3072" t="s">
        <v>466</v>
      </c>
      <c r="D3072" t="s">
        <v>59</v>
      </c>
      <c r="E3072" t="s">
        <v>35</v>
      </c>
      <c r="F3072">
        <v>1</v>
      </c>
      <c r="G3072">
        <v>2499</v>
      </c>
      <c r="H3072">
        <v>0</v>
      </c>
      <c r="I3072" t="s">
        <v>32</v>
      </c>
      <c r="J3072" t="s">
        <v>16</v>
      </c>
      <c r="K3072" t="s">
        <v>23</v>
      </c>
      <c r="L3072">
        <f>F3071*G3071*(1-H3071)</f>
        <v>2876.4</v>
      </c>
    </row>
    <row r="3073" spans="1:12">
      <c r="A3073" t="s">
        <v>3887</v>
      </c>
      <c r="B3073" s="1">
        <v>46177</v>
      </c>
      <c r="C3073" t="s">
        <v>1903</v>
      </c>
      <c r="D3073" t="s">
        <v>43</v>
      </c>
      <c r="E3073" t="s">
        <v>27</v>
      </c>
      <c r="F3073">
        <v>1</v>
      </c>
      <c r="G3073">
        <v>599</v>
      </c>
      <c r="H3073">
        <v>0</v>
      </c>
      <c r="I3073" t="s">
        <v>32</v>
      </c>
      <c r="J3073" t="s">
        <v>28</v>
      </c>
      <c r="K3073" t="s">
        <v>17</v>
      </c>
      <c r="L3073">
        <f>F3072*G3072*(1-H3072)</f>
        <v>2499</v>
      </c>
    </row>
    <row r="3074" spans="1:12">
      <c r="A3074" t="s">
        <v>3888</v>
      </c>
      <c r="B3074" s="1">
        <v>46095</v>
      </c>
      <c r="C3074" t="s">
        <v>2357</v>
      </c>
      <c r="D3074" t="s">
        <v>78</v>
      </c>
      <c r="E3074" t="s">
        <v>35</v>
      </c>
      <c r="F3074">
        <v>2</v>
      </c>
      <c r="G3074">
        <v>1299</v>
      </c>
      <c r="H3074">
        <v>0</v>
      </c>
      <c r="I3074" t="s">
        <v>32</v>
      </c>
      <c r="J3074" t="s">
        <v>22</v>
      </c>
      <c r="K3074" t="s">
        <v>17</v>
      </c>
      <c r="L3074">
        <f>F3073*G3073*(1-H3073)</f>
        <v>599</v>
      </c>
    </row>
    <row r="3075" spans="1:12">
      <c r="A3075" t="s">
        <v>3889</v>
      </c>
      <c r="B3075" s="1">
        <v>46201</v>
      </c>
      <c r="C3075" t="s">
        <v>1666</v>
      </c>
      <c r="D3075" t="s">
        <v>62</v>
      </c>
      <c r="E3075" t="s">
        <v>35</v>
      </c>
      <c r="F3075">
        <v>1</v>
      </c>
      <c r="G3075">
        <v>1999</v>
      </c>
      <c r="H3075">
        <v>0.1</v>
      </c>
      <c r="I3075" t="s">
        <v>15</v>
      </c>
      <c r="J3075" t="s">
        <v>16</v>
      </c>
      <c r="K3075" t="s">
        <v>23</v>
      </c>
      <c r="L3075">
        <f>F3074*G3074*(1-H3074)</f>
        <v>2598</v>
      </c>
    </row>
    <row r="3076" spans="1:12">
      <c r="A3076" t="s">
        <v>3890</v>
      </c>
      <c r="B3076" s="1">
        <v>46286</v>
      </c>
      <c r="C3076" t="s">
        <v>1216</v>
      </c>
      <c r="D3076" t="s">
        <v>62</v>
      </c>
      <c r="E3076" t="s">
        <v>40</v>
      </c>
      <c r="F3076">
        <v>5</v>
      </c>
      <c r="G3076">
        <v>1999</v>
      </c>
      <c r="H3076">
        <v>0.15</v>
      </c>
      <c r="I3076" t="s">
        <v>50</v>
      </c>
      <c r="J3076" t="s">
        <v>22</v>
      </c>
      <c r="K3076" t="s">
        <v>17</v>
      </c>
      <c r="L3076">
        <f>F3075*G3075*(1-H3075)</f>
        <v>1799.1000000000001</v>
      </c>
    </row>
    <row r="3077" spans="1:12">
      <c r="A3077" t="s">
        <v>3891</v>
      </c>
      <c r="B3077" s="1">
        <v>46106</v>
      </c>
      <c r="C3077" t="s">
        <v>1154</v>
      </c>
      <c r="D3077" t="s">
        <v>78</v>
      </c>
      <c r="E3077" t="s">
        <v>14</v>
      </c>
      <c r="F3077">
        <v>2</v>
      </c>
      <c r="G3077">
        <v>999</v>
      </c>
      <c r="H3077">
        <v>0.1</v>
      </c>
      <c r="I3077" t="s">
        <v>44</v>
      </c>
      <c r="J3077" t="s">
        <v>28</v>
      </c>
      <c r="K3077" t="s">
        <v>17</v>
      </c>
      <c r="L3077">
        <f>F3076*G3076*(1-H3076)</f>
        <v>8495.75</v>
      </c>
    </row>
    <row r="3078" spans="1:12">
      <c r="A3078" t="s">
        <v>3892</v>
      </c>
      <c r="B3078" s="1">
        <v>46202</v>
      </c>
      <c r="C3078" t="s">
        <v>950</v>
      </c>
      <c r="D3078" t="s">
        <v>78</v>
      </c>
      <c r="E3078" t="s">
        <v>40</v>
      </c>
      <c r="F3078">
        <v>3</v>
      </c>
      <c r="G3078">
        <v>799</v>
      </c>
      <c r="H3078">
        <v>0.1</v>
      </c>
      <c r="I3078" t="s">
        <v>47</v>
      </c>
      <c r="J3078" t="s">
        <v>16</v>
      </c>
      <c r="K3078" t="s">
        <v>17</v>
      </c>
      <c r="L3078">
        <f>F3077*G3077*(1-H3077)</f>
        <v>1798.2</v>
      </c>
    </row>
    <row r="3079" spans="1:12">
      <c r="A3079" t="s">
        <v>3893</v>
      </c>
      <c r="B3079" s="1">
        <v>46143</v>
      </c>
      <c r="C3079" t="s">
        <v>639</v>
      </c>
      <c r="D3079" t="s">
        <v>62</v>
      </c>
      <c r="E3079" t="s">
        <v>35</v>
      </c>
      <c r="F3079">
        <v>4</v>
      </c>
      <c r="G3079">
        <v>499</v>
      </c>
      <c r="H3079">
        <v>0.1</v>
      </c>
      <c r="I3079" t="s">
        <v>32</v>
      </c>
      <c r="J3079" t="s">
        <v>36</v>
      </c>
      <c r="K3079" t="s">
        <v>37</v>
      </c>
      <c r="L3079">
        <f>F3078*G3078*(1-H3078)</f>
        <v>2157.3000000000002</v>
      </c>
    </row>
    <row r="3080" spans="1:12">
      <c r="A3080" t="s">
        <v>3894</v>
      </c>
      <c r="B3080" s="1">
        <v>46192</v>
      </c>
      <c r="C3080" t="s">
        <v>1681</v>
      </c>
      <c r="D3080" t="s">
        <v>20</v>
      </c>
      <c r="E3080" t="s">
        <v>14</v>
      </c>
      <c r="F3080">
        <v>2</v>
      </c>
      <c r="G3080">
        <v>999</v>
      </c>
      <c r="H3080">
        <v>0.05</v>
      </c>
      <c r="I3080" t="s">
        <v>44</v>
      </c>
      <c r="J3080" t="s">
        <v>28</v>
      </c>
      <c r="K3080" t="s">
        <v>23</v>
      </c>
      <c r="L3080">
        <f>F3079*G3079*(1-H3079)</f>
        <v>1796.4</v>
      </c>
    </row>
    <row r="3081" spans="1:12">
      <c r="A3081" t="s">
        <v>3895</v>
      </c>
      <c r="B3081" s="1">
        <v>46059</v>
      </c>
      <c r="C3081" t="s">
        <v>64</v>
      </c>
      <c r="D3081" t="s">
        <v>62</v>
      </c>
      <c r="E3081" t="s">
        <v>14</v>
      </c>
      <c r="F3081">
        <v>2</v>
      </c>
      <c r="G3081">
        <v>1999</v>
      </c>
      <c r="H3081">
        <v>0.15</v>
      </c>
      <c r="I3081" t="s">
        <v>47</v>
      </c>
      <c r="J3081" t="s">
        <v>22</v>
      </c>
      <c r="K3081" t="s">
        <v>37</v>
      </c>
      <c r="L3081">
        <f>F3080*G3080*(1-H3080)</f>
        <v>1898.1</v>
      </c>
    </row>
    <row r="3082" spans="1:12">
      <c r="A3082" t="s">
        <v>3896</v>
      </c>
      <c r="B3082" s="1">
        <v>46117</v>
      </c>
      <c r="C3082" t="s">
        <v>653</v>
      </c>
      <c r="D3082" t="s">
        <v>13</v>
      </c>
      <c r="E3082" t="s">
        <v>27</v>
      </c>
      <c r="F3082">
        <v>5</v>
      </c>
      <c r="G3082">
        <v>1499</v>
      </c>
      <c r="H3082">
        <v>0.1</v>
      </c>
      <c r="I3082" t="s">
        <v>50</v>
      </c>
      <c r="J3082" t="s">
        <v>36</v>
      </c>
      <c r="K3082" t="s">
        <v>17</v>
      </c>
      <c r="L3082">
        <f>F3081*G3081*(1-H3081)</f>
        <v>3398.2999999999997</v>
      </c>
    </row>
    <row r="3083" spans="1:12">
      <c r="A3083" t="s">
        <v>3897</v>
      </c>
      <c r="B3083" s="1">
        <v>46070</v>
      </c>
      <c r="C3083" t="s">
        <v>583</v>
      </c>
      <c r="D3083" t="s">
        <v>71</v>
      </c>
      <c r="E3083" t="s">
        <v>21</v>
      </c>
      <c r="F3083">
        <v>4</v>
      </c>
      <c r="G3083">
        <v>599</v>
      </c>
      <c r="H3083">
        <v>0.05</v>
      </c>
      <c r="I3083" t="s">
        <v>15</v>
      </c>
      <c r="J3083" t="s">
        <v>28</v>
      </c>
      <c r="K3083" t="s">
        <v>23</v>
      </c>
      <c r="L3083">
        <f>F3082*G3082*(1-H3082)</f>
        <v>6745.5</v>
      </c>
    </row>
    <row r="3084" spans="1:12">
      <c r="A3084" t="s">
        <v>3898</v>
      </c>
      <c r="B3084" s="1">
        <v>46211</v>
      </c>
      <c r="C3084" t="s">
        <v>2601</v>
      </c>
      <c r="D3084" t="s">
        <v>59</v>
      </c>
      <c r="E3084" t="s">
        <v>40</v>
      </c>
      <c r="F3084">
        <v>2</v>
      </c>
      <c r="G3084">
        <v>499</v>
      </c>
      <c r="H3084">
        <v>0.15</v>
      </c>
      <c r="I3084" t="s">
        <v>47</v>
      </c>
      <c r="J3084" t="s">
        <v>16</v>
      </c>
      <c r="K3084" t="s">
        <v>17</v>
      </c>
      <c r="L3084">
        <f>F3083*G3083*(1-H3083)</f>
        <v>2276.1999999999998</v>
      </c>
    </row>
    <row r="3085" spans="1:12">
      <c r="A3085" t="s">
        <v>3899</v>
      </c>
      <c r="B3085" s="1">
        <v>46105</v>
      </c>
      <c r="C3085" t="s">
        <v>2066</v>
      </c>
      <c r="D3085" t="s">
        <v>62</v>
      </c>
      <c r="E3085" t="s">
        <v>14</v>
      </c>
      <c r="F3085">
        <v>5</v>
      </c>
      <c r="G3085">
        <v>999</v>
      </c>
      <c r="H3085">
        <v>0</v>
      </c>
      <c r="I3085" t="s">
        <v>50</v>
      </c>
      <c r="J3085" t="s">
        <v>16</v>
      </c>
      <c r="K3085" t="s">
        <v>17</v>
      </c>
      <c r="L3085">
        <f>F3084*G3084*(1-H3084)</f>
        <v>848.3</v>
      </c>
    </row>
    <row r="3086" spans="1:12">
      <c r="A3086" t="s">
        <v>3900</v>
      </c>
      <c r="B3086" s="1">
        <v>46094</v>
      </c>
      <c r="C3086" t="s">
        <v>889</v>
      </c>
      <c r="D3086" t="s">
        <v>26</v>
      </c>
      <c r="E3086" t="s">
        <v>40</v>
      </c>
      <c r="F3086">
        <v>5</v>
      </c>
      <c r="G3086">
        <v>1999</v>
      </c>
      <c r="H3086">
        <v>0.15</v>
      </c>
      <c r="I3086" t="s">
        <v>44</v>
      </c>
      <c r="J3086" t="s">
        <v>22</v>
      </c>
      <c r="K3086" t="s">
        <v>37</v>
      </c>
      <c r="L3086">
        <f>F3085*G3085*(1-H3085)</f>
        <v>4995</v>
      </c>
    </row>
    <row r="3087" spans="1:12">
      <c r="A3087" t="s">
        <v>3901</v>
      </c>
      <c r="B3087" s="1">
        <v>46048</v>
      </c>
      <c r="C3087" t="s">
        <v>70</v>
      </c>
      <c r="D3087" t="s">
        <v>43</v>
      </c>
      <c r="E3087" t="s">
        <v>21</v>
      </c>
      <c r="F3087">
        <v>3</v>
      </c>
      <c r="G3087">
        <v>499</v>
      </c>
      <c r="H3087">
        <v>0</v>
      </c>
      <c r="I3087" t="s">
        <v>47</v>
      </c>
      <c r="J3087" t="s">
        <v>51</v>
      </c>
      <c r="K3087" t="s">
        <v>17</v>
      </c>
      <c r="L3087">
        <f>F3086*G3086*(1-H3086)</f>
        <v>8495.75</v>
      </c>
    </row>
    <row r="3088" spans="1:12">
      <c r="A3088" t="s">
        <v>3902</v>
      </c>
      <c r="B3088" s="1">
        <v>46097</v>
      </c>
      <c r="C3088" t="s">
        <v>1160</v>
      </c>
      <c r="D3088" t="s">
        <v>56</v>
      </c>
      <c r="E3088" t="s">
        <v>35</v>
      </c>
      <c r="F3088">
        <v>5</v>
      </c>
      <c r="G3088">
        <v>1499</v>
      </c>
      <c r="H3088">
        <v>0.15</v>
      </c>
      <c r="I3088" t="s">
        <v>50</v>
      </c>
      <c r="J3088" t="s">
        <v>36</v>
      </c>
      <c r="K3088" t="s">
        <v>17</v>
      </c>
      <c r="L3088">
        <f>F3087*G3087*(1-H3087)</f>
        <v>1497</v>
      </c>
    </row>
    <row r="3089" spans="1:12">
      <c r="A3089" t="s">
        <v>3903</v>
      </c>
      <c r="B3089" s="1">
        <v>46141</v>
      </c>
      <c r="C3089" t="s">
        <v>343</v>
      </c>
      <c r="D3089" t="s">
        <v>31</v>
      </c>
      <c r="E3089" t="s">
        <v>21</v>
      </c>
      <c r="F3089">
        <v>3</v>
      </c>
      <c r="G3089">
        <v>499</v>
      </c>
      <c r="H3089">
        <v>0.05</v>
      </c>
      <c r="I3089" t="s">
        <v>44</v>
      </c>
      <c r="J3089" t="s">
        <v>28</v>
      </c>
      <c r="K3089" t="s">
        <v>17</v>
      </c>
      <c r="L3089">
        <f>F3088*G3088*(1-H3088)</f>
        <v>6370.75</v>
      </c>
    </row>
    <row r="3090" spans="1:12">
      <c r="A3090" t="s">
        <v>3904</v>
      </c>
      <c r="B3090" s="1">
        <v>46229</v>
      </c>
      <c r="C3090" t="s">
        <v>1225</v>
      </c>
      <c r="D3090" t="s">
        <v>56</v>
      </c>
      <c r="E3090" t="s">
        <v>14</v>
      </c>
      <c r="F3090">
        <v>4</v>
      </c>
      <c r="G3090">
        <v>7999</v>
      </c>
      <c r="H3090">
        <v>0</v>
      </c>
      <c r="I3090" t="s">
        <v>32</v>
      </c>
      <c r="J3090" t="s">
        <v>28</v>
      </c>
      <c r="K3090" t="s">
        <v>37</v>
      </c>
      <c r="L3090">
        <f>F3089*G3089*(1-H3089)</f>
        <v>1422.1499999999999</v>
      </c>
    </row>
    <row r="3091" spans="1:12">
      <c r="A3091" t="s">
        <v>3905</v>
      </c>
      <c r="B3091" s="1">
        <v>46165</v>
      </c>
      <c r="C3091" t="s">
        <v>1036</v>
      </c>
      <c r="D3091" t="s">
        <v>31</v>
      </c>
      <c r="E3091" t="s">
        <v>21</v>
      </c>
      <c r="F3091">
        <v>4</v>
      </c>
      <c r="G3091">
        <v>499</v>
      </c>
      <c r="H3091">
        <v>0</v>
      </c>
      <c r="I3091" t="s">
        <v>15</v>
      </c>
      <c r="J3091" t="s">
        <v>16</v>
      </c>
      <c r="K3091" t="s">
        <v>37</v>
      </c>
      <c r="L3091">
        <f>F3090*G3090*(1-H3090)</f>
        <v>31996</v>
      </c>
    </row>
    <row r="3092" spans="1:12">
      <c r="A3092" t="s">
        <v>3906</v>
      </c>
      <c r="B3092" s="1">
        <v>46239</v>
      </c>
      <c r="C3092" t="s">
        <v>2005</v>
      </c>
      <c r="D3092" t="s">
        <v>20</v>
      </c>
      <c r="E3092" t="s">
        <v>14</v>
      </c>
      <c r="F3092">
        <v>2</v>
      </c>
      <c r="G3092">
        <v>1999</v>
      </c>
      <c r="H3092">
        <v>0.15</v>
      </c>
      <c r="I3092" t="s">
        <v>32</v>
      </c>
      <c r="J3092" t="s">
        <v>28</v>
      </c>
      <c r="K3092" t="s">
        <v>17</v>
      </c>
      <c r="L3092">
        <f>F3091*G3091*(1-H3091)</f>
        <v>1996</v>
      </c>
    </row>
    <row r="3093" spans="1:12">
      <c r="A3093" t="s">
        <v>3907</v>
      </c>
      <c r="B3093" s="1">
        <v>46025</v>
      </c>
      <c r="C3093" t="s">
        <v>874</v>
      </c>
      <c r="D3093" t="s">
        <v>62</v>
      </c>
      <c r="E3093" t="s">
        <v>35</v>
      </c>
      <c r="F3093">
        <v>1</v>
      </c>
      <c r="G3093">
        <v>499</v>
      </c>
      <c r="H3093">
        <v>0.05</v>
      </c>
      <c r="I3093" t="s">
        <v>47</v>
      </c>
      <c r="J3093" t="s">
        <v>36</v>
      </c>
      <c r="K3093" t="s">
        <v>17</v>
      </c>
      <c r="L3093">
        <f>F3092*G3092*(1-H3092)</f>
        <v>3398.2999999999997</v>
      </c>
    </row>
    <row r="3094" spans="1:12">
      <c r="A3094" t="s">
        <v>3908</v>
      </c>
      <c r="B3094" s="1">
        <v>46287</v>
      </c>
      <c r="C3094" t="s">
        <v>1990</v>
      </c>
      <c r="D3094" t="s">
        <v>56</v>
      </c>
      <c r="E3094" t="s">
        <v>21</v>
      </c>
      <c r="F3094">
        <v>1</v>
      </c>
      <c r="G3094">
        <v>999</v>
      </c>
      <c r="H3094">
        <v>0.1</v>
      </c>
      <c r="I3094" t="s">
        <v>15</v>
      </c>
      <c r="J3094" t="s">
        <v>22</v>
      </c>
      <c r="K3094" t="s">
        <v>23</v>
      </c>
      <c r="L3094">
        <f>F3093*G3093*(1-H3093)</f>
        <v>474.04999999999995</v>
      </c>
    </row>
    <row r="3095" spans="1:12">
      <c r="A3095" t="s">
        <v>3909</v>
      </c>
      <c r="B3095" s="1">
        <v>46266</v>
      </c>
      <c r="C3095" t="s">
        <v>1625</v>
      </c>
      <c r="D3095" t="s">
        <v>59</v>
      </c>
      <c r="E3095" t="s">
        <v>40</v>
      </c>
      <c r="F3095">
        <v>3</v>
      </c>
      <c r="G3095">
        <v>1499</v>
      </c>
      <c r="H3095">
        <v>0.1</v>
      </c>
      <c r="I3095" t="s">
        <v>44</v>
      </c>
      <c r="J3095" t="s">
        <v>28</v>
      </c>
      <c r="K3095" t="s">
        <v>17</v>
      </c>
      <c r="L3095">
        <f>F3094*G3094*(1-H3094)</f>
        <v>899.1</v>
      </c>
    </row>
    <row r="3096" spans="1:12">
      <c r="A3096" t="s">
        <v>3910</v>
      </c>
      <c r="B3096" s="1">
        <v>46208</v>
      </c>
      <c r="C3096" t="s">
        <v>263</v>
      </c>
      <c r="D3096" t="s">
        <v>62</v>
      </c>
      <c r="E3096" t="s">
        <v>14</v>
      </c>
      <c r="F3096">
        <v>1</v>
      </c>
      <c r="G3096">
        <v>999</v>
      </c>
      <c r="H3096">
        <v>0.1</v>
      </c>
      <c r="I3096" t="s">
        <v>32</v>
      </c>
      <c r="J3096" t="s">
        <v>16</v>
      </c>
      <c r="K3096" t="s">
        <v>37</v>
      </c>
      <c r="L3096">
        <f>F3095*G3095*(1-H3095)</f>
        <v>4047.3</v>
      </c>
    </row>
    <row r="3097" spans="1:12">
      <c r="A3097" t="s">
        <v>3911</v>
      </c>
      <c r="B3097" s="1">
        <v>46228</v>
      </c>
      <c r="C3097" t="s">
        <v>2799</v>
      </c>
      <c r="D3097" t="s">
        <v>62</v>
      </c>
      <c r="E3097" t="s">
        <v>14</v>
      </c>
      <c r="F3097">
        <v>2</v>
      </c>
      <c r="G3097">
        <v>1999</v>
      </c>
      <c r="H3097">
        <v>0</v>
      </c>
      <c r="I3097" t="s">
        <v>47</v>
      </c>
      <c r="J3097" t="s">
        <v>16</v>
      </c>
      <c r="K3097" t="s">
        <v>17</v>
      </c>
      <c r="L3097">
        <f>F3096*G3096*(1-H3096)</f>
        <v>899.1</v>
      </c>
    </row>
    <row r="3098" spans="1:12">
      <c r="A3098" t="s">
        <v>3912</v>
      </c>
      <c r="B3098" s="1">
        <v>46193</v>
      </c>
      <c r="C3098" t="s">
        <v>1080</v>
      </c>
      <c r="D3098" t="s">
        <v>56</v>
      </c>
      <c r="E3098" t="s">
        <v>35</v>
      </c>
      <c r="F3098">
        <v>4</v>
      </c>
      <c r="G3098">
        <v>4999</v>
      </c>
      <c r="H3098">
        <v>0</v>
      </c>
      <c r="I3098" t="s">
        <v>32</v>
      </c>
      <c r="J3098" t="s">
        <v>36</v>
      </c>
      <c r="K3098" t="s">
        <v>23</v>
      </c>
      <c r="L3098">
        <f>F3097*G3097*(1-H3097)</f>
        <v>3998</v>
      </c>
    </row>
    <row r="3099" spans="1:12">
      <c r="A3099" t="s">
        <v>3913</v>
      </c>
      <c r="B3099" s="1">
        <v>46166</v>
      </c>
      <c r="C3099" t="s">
        <v>1566</v>
      </c>
      <c r="D3099" t="s">
        <v>59</v>
      </c>
      <c r="E3099" t="s">
        <v>40</v>
      </c>
      <c r="F3099">
        <v>4</v>
      </c>
      <c r="G3099">
        <v>1299</v>
      </c>
      <c r="H3099">
        <v>0.15</v>
      </c>
      <c r="I3099" t="s">
        <v>44</v>
      </c>
      <c r="J3099" t="s">
        <v>28</v>
      </c>
      <c r="K3099" t="s">
        <v>17</v>
      </c>
      <c r="L3099">
        <f>F3098*G3098*(1-H3098)</f>
        <v>19996</v>
      </c>
    </row>
    <row r="3100" spans="1:12">
      <c r="A3100" t="s">
        <v>3914</v>
      </c>
      <c r="B3100" s="1">
        <v>46205</v>
      </c>
      <c r="C3100" t="s">
        <v>1636</v>
      </c>
      <c r="D3100" t="s">
        <v>43</v>
      </c>
      <c r="E3100" t="s">
        <v>35</v>
      </c>
      <c r="F3100">
        <v>1</v>
      </c>
      <c r="G3100">
        <v>1999</v>
      </c>
      <c r="H3100">
        <v>0</v>
      </c>
      <c r="I3100" t="s">
        <v>47</v>
      </c>
      <c r="J3100" t="s">
        <v>22</v>
      </c>
      <c r="K3100" t="s">
        <v>17</v>
      </c>
      <c r="L3100">
        <f>F3099*G3099*(1-H3099)</f>
        <v>4416.5999999999995</v>
      </c>
    </row>
    <row r="3101" spans="1:12">
      <c r="A3101" t="s">
        <v>3915</v>
      </c>
      <c r="B3101" s="1">
        <v>46027</v>
      </c>
      <c r="C3101" t="s">
        <v>530</v>
      </c>
      <c r="D3101" t="s">
        <v>56</v>
      </c>
      <c r="E3101" t="s">
        <v>21</v>
      </c>
      <c r="F3101">
        <v>2</v>
      </c>
      <c r="G3101">
        <v>599</v>
      </c>
      <c r="H3101">
        <v>0</v>
      </c>
      <c r="I3101" t="s">
        <v>32</v>
      </c>
      <c r="J3101" t="s">
        <v>22</v>
      </c>
      <c r="K3101" t="s">
        <v>17</v>
      </c>
      <c r="L3101">
        <f>F3100*G3100*(1-H3100)</f>
        <v>1999</v>
      </c>
    </row>
    <row r="3102" spans="1:12">
      <c r="A3102" t="s">
        <v>3916</v>
      </c>
      <c r="B3102" s="1">
        <v>46289</v>
      </c>
      <c r="C3102" t="s">
        <v>2603</v>
      </c>
      <c r="D3102" t="s">
        <v>56</v>
      </c>
      <c r="E3102" t="s">
        <v>21</v>
      </c>
      <c r="F3102">
        <v>5</v>
      </c>
      <c r="G3102">
        <v>2499</v>
      </c>
      <c r="H3102">
        <v>0.15</v>
      </c>
      <c r="I3102" t="s">
        <v>32</v>
      </c>
      <c r="J3102" t="s">
        <v>36</v>
      </c>
      <c r="K3102" t="s">
        <v>17</v>
      </c>
      <c r="L3102">
        <f>F3101*G3101*(1-H3101)</f>
        <v>1198</v>
      </c>
    </row>
    <row r="3103" spans="1:12">
      <c r="A3103" t="s">
        <v>3917</v>
      </c>
      <c r="B3103" s="1">
        <v>46124</v>
      </c>
      <c r="C3103" t="s">
        <v>1017</v>
      </c>
      <c r="D3103" t="s">
        <v>59</v>
      </c>
      <c r="E3103" t="s">
        <v>21</v>
      </c>
      <c r="F3103">
        <v>2</v>
      </c>
      <c r="G3103">
        <v>1499</v>
      </c>
      <c r="H3103">
        <v>0.1</v>
      </c>
      <c r="I3103" t="s">
        <v>32</v>
      </c>
      <c r="J3103" t="s">
        <v>28</v>
      </c>
      <c r="K3103" t="s">
        <v>17</v>
      </c>
      <c r="L3103">
        <f>F3102*G3102*(1-H3102)</f>
        <v>10620.75</v>
      </c>
    </row>
    <row r="3104" spans="1:12">
      <c r="A3104" t="s">
        <v>3918</v>
      </c>
      <c r="B3104" s="1">
        <v>46135</v>
      </c>
      <c r="C3104" t="s">
        <v>860</v>
      </c>
      <c r="D3104" t="s">
        <v>31</v>
      </c>
      <c r="E3104" t="s">
        <v>27</v>
      </c>
      <c r="F3104">
        <v>2</v>
      </c>
      <c r="G3104">
        <v>1999</v>
      </c>
      <c r="H3104">
        <v>0.15</v>
      </c>
      <c r="I3104" t="s">
        <v>47</v>
      </c>
      <c r="J3104" t="s">
        <v>36</v>
      </c>
      <c r="K3104" t="s">
        <v>37</v>
      </c>
      <c r="L3104">
        <f>F3103*G3103*(1-H3103)</f>
        <v>2698.2000000000003</v>
      </c>
    </row>
    <row r="3105" spans="1:12">
      <c r="A3105" t="s">
        <v>3919</v>
      </c>
      <c r="B3105" s="1">
        <v>46214</v>
      </c>
      <c r="C3105" t="s">
        <v>2807</v>
      </c>
      <c r="D3105" t="s">
        <v>43</v>
      </c>
      <c r="E3105" t="s">
        <v>35</v>
      </c>
      <c r="F3105">
        <v>3</v>
      </c>
      <c r="G3105">
        <v>4999</v>
      </c>
      <c r="H3105">
        <v>0.1</v>
      </c>
      <c r="I3105" t="s">
        <v>44</v>
      </c>
      <c r="J3105" t="s">
        <v>36</v>
      </c>
      <c r="K3105" t="s">
        <v>17</v>
      </c>
      <c r="L3105">
        <f>F3104*G3104*(1-H3104)</f>
        <v>3398.2999999999997</v>
      </c>
    </row>
    <row r="3106" spans="1:12">
      <c r="A3106" t="s">
        <v>3920</v>
      </c>
      <c r="B3106" s="1">
        <v>46290</v>
      </c>
      <c r="C3106" t="s">
        <v>1056</v>
      </c>
      <c r="D3106" t="s">
        <v>56</v>
      </c>
      <c r="E3106" t="s">
        <v>21</v>
      </c>
      <c r="F3106">
        <v>3</v>
      </c>
      <c r="G3106">
        <v>999</v>
      </c>
      <c r="H3106">
        <v>0.05</v>
      </c>
      <c r="I3106" t="s">
        <v>44</v>
      </c>
      <c r="J3106" t="s">
        <v>51</v>
      </c>
      <c r="K3106" t="s">
        <v>17</v>
      </c>
      <c r="L3106">
        <f>F3105*G3105*(1-H3105)</f>
        <v>13497.300000000001</v>
      </c>
    </row>
    <row r="3107" spans="1:12">
      <c r="A3107" t="s">
        <v>3921</v>
      </c>
      <c r="B3107" s="1">
        <v>46077</v>
      </c>
      <c r="C3107" t="s">
        <v>991</v>
      </c>
      <c r="D3107" t="s">
        <v>59</v>
      </c>
      <c r="E3107" t="s">
        <v>40</v>
      </c>
      <c r="F3107">
        <v>5</v>
      </c>
      <c r="G3107">
        <v>499</v>
      </c>
      <c r="H3107">
        <v>0.1</v>
      </c>
      <c r="I3107" t="s">
        <v>50</v>
      </c>
      <c r="J3107" t="s">
        <v>16</v>
      </c>
      <c r="K3107" t="s">
        <v>17</v>
      </c>
      <c r="L3107">
        <f>F3106*G3106*(1-H3106)</f>
        <v>2847.15</v>
      </c>
    </row>
    <row r="3108" spans="1:12">
      <c r="A3108" t="s">
        <v>3922</v>
      </c>
      <c r="B3108" s="1">
        <v>46108</v>
      </c>
      <c r="C3108" t="s">
        <v>1540</v>
      </c>
      <c r="D3108" t="s">
        <v>13</v>
      </c>
      <c r="E3108" t="s">
        <v>27</v>
      </c>
      <c r="F3108">
        <v>2</v>
      </c>
      <c r="G3108">
        <v>999</v>
      </c>
      <c r="H3108">
        <v>0.15</v>
      </c>
      <c r="I3108" t="s">
        <v>50</v>
      </c>
      <c r="J3108" t="s">
        <v>22</v>
      </c>
      <c r="K3108" t="s">
        <v>37</v>
      </c>
      <c r="L3108">
        <f>F3107*G3107*(1-H3107)</f>
        <v>2245.5</v>
      </c>
    </row>
    <row r="3109" spans="1:12">
      <c r="A3109" t="s">
        <v>3923</v>
      </c>
      <c r="B3109" s="1">
        <v>46209</v>
      </c>
      <c r="C3109" t="s">
        <v>987</v>
      </c>
      <c r="D3109" t="s">
        <v>26</v>
      </c>
      <c r="E3109" t="s">
        <v>27</v>
      </c>
      <c r="F3109">
        <v>5</v>
      </c>
      <c r="G3109">
        <v>2499</v>
      </c>
      <c r="H3109">
        <v>0.1</v>
      </c>
      <c r="I3109" t="s">
        <v>44</v>
      </c>
      <c r="J3109" t="s">
        <v>51</v>
      </c>
      <c r="K3109" t="s">
        <v>17</v>
      </c>
      <c r="L3109">
        <f>F3108*G3108*(1-H3108)</f>
        <v>1698.3</v>
      </c>
    </row>
    <row r="3110" spans="1:12">
      <c r="A3110" t="s">
        <v>3924</v>
      </c>
      <c r="B3110" s="1">
        <v>46030</v>
      </c>
      <c r="C3110" t="s">
        <v>1118</v>
      </c>
      <c r="D3110" t="s">
        <v>59</v>
      </c>
      <c r="E3110" t="s">
        <v>27</v>
      </c>
      <c r="F3110">
        <v>5</v>
      </c>
      <c r="G3110">
        <v>1299</v>
      </c>
      <c r="H3110">
        <v>0.15</v>
      </c>
      <c r="I3110" t="s">
        <v>15</v>
      </c>
      <c r="J3110" t="s">
        <v>16</v>
      </c>
      <c r="K3110" t="s">
        <v>37</v>
      </c>
      <c r="L3110">
        <f>F3109*G3109*(1-H3109)</f>
        <v>11245.5</v>
      </c>
    </row>
    <row r="3111" spans="1:12">
      <c r="A3111" t="s">
        <v>3925</v>
      </c>
      <c r="B3111" s="1">
        <v>46145</v>
      </c>
      <c r="C3111" t="s">
        <v>2482</v>
      </c>
      <c r="D3111" t="s">
        <v>71</v>
      </c>
      <c r="E3111" t="s">
        <v>40</v>
      </c>
      <c r="F3111">
        <v>3</v>
      </c>
      <c r="G3111">
        <v>1299</v>
      </c>
      <c r="H3111">
        <v>0.05</v>
      </c>
      <c r="I3111" t="s">
        <v>50</v>
      </c>
      <c r="J3111" t="s">
        <v>16</v>
      </c>
      <c r="K3111" t="s">
        <v>17</v>
      </c>
      <c r="L3111">
        <f>F3110*G3110*(1-H3110)</f>
        <v>5520.75</v>
      </c>
    </row>
    <row r="3112" spans="1:12">
      <c r="A3112" t="s">
        <v>3926</v>
      </c>
      <c r="B3112" s="1">
        <v>46210</v>
      </c>
      <c r="C3112" t="s">
        <v>1034</v>
      </c>
      <c r="D3112" t="s">
        <v>62</v>
      </c>
      <c r="E3112" t="s">
        <v>40</v>
      </c>
      <c r="F3112">
        <v>1</v>
      </c>
      <c r="G3112">
        <v>1299</v>
      </c>
      <c r="H3112">
        <v>0</v>
      </c>
      <c r="I3112" t="s">
        <v>47</v>
      </c>
      <c r="J3112" t="s">
        <v>36</v>
      </c>
      <c r="K3112" t="s">
        <v>37</v>
      </c>
      <c r="L3112">
        <f>F3111*G3111*(1-H3111)</f>
        <v>3702.1499999999996</v>
      </c>
    </row>
    <row r="3113" spans="1:12">
      <c r="A3113" t="s">
        <v>3927</v>
      </c>
      <c r="B3113" s="1">
        <v>46057</v>
      </c>
      <c r="C3113" t="s">
        <v>805</v>
      </c>
      <c r="D3113" t="s">
        <v>26</v>
      </c>
      <c r="E3113" t="s">
        <v>35</v>
      </c>
      <c r="F3113">
        <v>5</v>
      </c>
      <c r="G3113">
        <v>7999</v>
      </c>
      <c r="H3113">
        <v>0.05</v>
      </c>
      <c r="I3113" t="s">
        <v>44</v>
      </c>
      <c r="J3113" t="s">
        <v>28</v>
      </c>
      <c r="K3113" t="s">
        <v>37</v>
      </c>
      <c r="L3113">
        <f>F3112*G3112*(1-H3112)</f>
        <v>1299</v>
      </c>
    </row>
    <row r="3114" spans="1:12">
      <c r="A3114" t="s">
        <v>3928</v>
      </c>
      <c r="B3114" s="1">
        <v>46176</v>
      </c>
      <c r="C3114" t="s">
        <v>316</v>
      </c>
      <c r="D3114" t="s">
        <v>78</v>
      </c>
      <c r="E3114" t="s">
        <v>35</v>
      </c>
      <c r="F3114">
        <v>1</v>
      </c>
      <c r="G3114">
        <v>499</v>
      </c>
      <c r="H3114">
        <v>0.15</v>
      </c>
      <c r="I3114" t="s">
        <v>47</v>
      </c>
      <c r="J3114" t="s">
        <v>51</v>
      </c>
      <c r="K3114" t="s">
        <v>37</v>
      </c>
      <c r="L3114">
        <f>F3113*G3113*(1-H3113)</f>
        <v>37995.25</v>
      </c>
    </row>
    <row r="3115" spans="1:12">
      <c r="A3115" t="s">
        <v>3929</v>
      </c>
      <c r="B3115" s="1">
        <v>46273</v>
      </c>
      <c r="C3115" t="s">
        <v>1176</v>
      </c>
      <c r="D3115" t="s">
        <v>13</v>
      </c>
      <c r="E3115" t="s">
        <v>27</v>
      </c>
      <c r="F3115">
        <v>3</v>
      </c>
      <c r="G3115">
        <v>1499</v>
      </c>
      <c r="H3115">
        <v>0.15</v>
      </c>
      <c r="I3115" t="s">
        <v>50</v>
      </c>
      <c r="J3115" t="s">
        <v>22</v>
      </c>
      <c r="K3115" t="s">
        <v>37</v>
      </c>
      <c r="L3115">
        <f>F3114*G3114*(1-H3114)</f>
        <v>424.15</v>
      </c>
    </row>
    <row r="3116" spans="1:12">
      <c r="A3116" t="s">
        <v>3930</v>
      </c>
      <c r="B3116" s="1">
        <v>46179</v>
      </c>
      <c r="C3116" t="s">
        <v>94</v>
      </c>
      <c r="D3116" t="s">
        <v>26</v>
      </c>
      <c r="E3116" t="s">
        <v>14</v>
      </c>
      <c r="F3116">
        <v>4</v>
      </c>
      <c r="G3116">
        <v>599</v>
      </c>
      <c r="H3116">
        <v>0.1</v>
      </c>
      <c r="I3116" t="s">
        <v>44</v>
      </c>
      <c r="J3116" t="s">
        <v>22</v>
      </c>
      <c r="K3116" t="s">
        <v>17</v>
      </c>
      <c r="L3116">
        <f>F3115*G3115*(1-H3115)</f>
        <v>3822.45</v>
      </c>
    </row>
    <row r="3117" spans="1:12">
      <c r="A3117" t="s">
        <v>3931</v>
      </c>
      <c r="B3117" s="1">
        <v>46094</v>
      </c>
      <c r="C3117" t="s">
        <v>437</v>
      </c>
      <c r="D3117" t="s">
        <v>26</v>
      </c>
      <c r="E3117" t="s">
        <v>27</v>
      </c>
      <c r="F3117">
        <v>2</v>
      </c>
      <c r="G3117">
        <v>1499</v>
      </c>
      <c r="H3117">
        <v>0.1</v>
      </c>
      <c r="I3117" t="s">
        <v>32</v>
      </c>
      <c r="J3117" t="s">
        <v>16</v>
      </c>
      <c r="K3117" t="s">
        <v>17</v>
      </c>
      <c r="L3117">
        <f>F3116*G3116*(1-H3116)</f>
        <v>2156.4</v>
      </c>
    </row>
    <row r="3118" spans="1:12">
      <c r="A3118" t="s">
        <v>3932</v>
      </c>
      <c r="B3118" s="1">
        <v>46151</v>
      </c>
      <c r="C3118" t="s">
        <v>524</v>
      </c>
      <c r="D3118" t="s">
        <v>78</v>
      </c>
      <c r="E3118" t="s">
        <v>35</v>
      </c>
      <c r="F3118">
        <v>1</v>
      </c>
      <c r="G3118">
        <v>1999</v>
      </c>
      <c r="H3118">
        <v>0</v>
      </c>
      <c r="I3118" t="s">
        <v>50</v>
      </c>
      <c r="J3118" t="s">
        <v>51</v>
      </c>
      <c r="K3118" t="s">
        <v>23</v>
      </c>
      <c r="L3118">
        <f>F3117*G3117*(1-H3117)</f>
        <v>2698.2000000000003</v>
      </c>
    </row>
    <row r="3119" spans="1:12">
      <c r="A3119" t="s">
        <v>3933</v>
      </c>
      <c r="B3119" s="1">
        <v>46215</v>
      </c>
      <c r="C3119" t="s">
        <v>3934</v>
      </c>
      <c r="D3119" t="s">
        <v>13</v>
      </c>
      <c r="E3119" t="s">
        <v>35</v>
      </c>
      <c r="F3119">
        <v>4</v>
      </c>
      <c r="G3119">
        <v>1499</v>
      </c>
      <c r="H3119">
        <v>0.05</v>
      </c>
      <c r="I3119" t="s">
        <v>50</v>
      </c>
      <c r="J3119" t="s">
        <v>28</v>
      </c>
      <c r="K3119" t="s">
        <v>23</v>
      </c>
      <c r="L3119">
        <f>F3118*G3118*(1-H3118)</f>
        <v>1999</v>
      </c>
    </row>
    <row r="3120" spans="1:12">
      <c r="A3120" t="s">
        <v>3935</v>
      </c>
      <c r="B3120" s="1">
        <v>46101</v>
      </c>
      <c r="C3120" t="s">
        <v>126</v>
      </c>
      <c r="D3120" t="s">
        <v>59</v>
      </c>
      <c r="E3120" t="s">
        <v>14</v>
      </c>
      <c r="F3120">
        <v>1</v>
      </c>
      <c r="G3120">
        <v>2499</v>
      </c>
      <c r="H3120">
        <v>0</v>
      </c>
      <c r="I3120" t="s">
        <v>47</v>
      </c>
      <c r="J3120" t="s">
        <v>28</v>
      </c>
      <c r="K3120" t="s">
        <v>17</v>
      </c>
      <c r="L3120">
        <f>F3119*G3119*(1-H3119)</f>
        <v>5696.2</v>
      </c>
    </row>
    <row r="3121" spans="1:12">
      <c r="A3121" t="s">
        <v>3936</v>
      </c>
      <c r="B3121" s="1">
        <v>46257</v>
      </c>
      <c r="C3121" t="s">
        <v>577</v>
      </c>
      <c r="D3121" t="s">
        <v>13</v>
      </c>
      <c r="E3121" t="s">
        <v>14</v>
      </c>
      <c r="F3121">
        <v>3</v>
      </c>
      <c r="G3121">
        <v>599</v>
      </c>
      <c r="H3121">
        <v>0</v>
      </c>
      <c r="I3121" t="s">
        <v>15</v>
      </c>
      <c r="J3121" t="s">
        <v>51</v>
      </c>
      <c r="K3121" t="s">
        <v>17</v>
      </c>
      <c r="L3121">
        <f>F3120*G3120*(1-H3120)</f>
        <v>2499</v>
      </c>
    </row>
    <row r="3122" spans="1:12">
      <c r="A3122" t="s">
        <v>3937</v>
      </c>
      <c r="B3122" s="1">
        <v>46037</v>
      </c>
      <c r="C3122" t="s">
        <v>2034</v>
      </c>
      <c r="D3122" t="s">
        <v>78</v>
      </c>
      <c r="E3122" t="s">
        <v>40</v>
      </c>
      <c r="F3122">
        <v>4</v>
      </c>
      <c r="G3122">
        <v>499</v>
      </c>
      <c r="H3122">
        <v>0</v>
      </c>
      <c r="I3122" t="s">
        <v>15</v>
      </c>
      <c r="J3122" t="s">
        <v>36</v>
      </c>
      <c r="K3122" t="s">
        <v>17</v>
      </c>
      <c r="L3122">
        <f>F3121*G3121*(1-H3121)</f>
        <v>1797</v>
      </c>
    </row>
    <row r="3123" spans="1:12">
      <c r="A3123" t="s">
        <v>3938</v>
      </c>
      <c r="B3123" s="1">
        <v>46284</v>
      </c>
      <c r="C3123" t="s">
        <v>1042</v>
      </c>
      <c r="D3123" t="s">
        <v>62</v>
      </c>
      <c r="E3123" t="s">
        <v>35</v>
      </c>
      <c r="F3123">
        <v>5</v>
      </c>
      <c r="G3123">
        <v>7999</v>
      </c>
      <c r="H3123">
        <v>0.05</v>
      </c>
      <c r="I3123" t="s">
        <v>44</v>
      </c>
      <c r="J3123" t="s">
        <v>16</v>
      </c>
      <c r="K3123" t="s">
        <v>37</v>
      </c>
      <c r="L3123">
        <f>F3122*G3122*(1-H3122)</f>
        <v>1996</v>
      </c>
    </row>
    <row r="3124" spans="1:12">
      <c r="A3124" t="s">
        <v>3939</v>
      </c>
      <c r="B3124" s="1">
        <v>46224</v>
      </c>
      <c r="C3124" t="s">
        <v>318</v>
      </c>
      <c r="D3124" t="s">
        <v>59</v>
      </c>
      <c r="E3124" t="s">
        <v>21</v>
      </c>
      <c r="F3124">
        <v>3</v>
      </c>
      <c r="G3124">
        <v>1299</v>
      </c>
      <c r="H3124">
        <v>0.05</v>
      </c>
      <c r="I3124" t="s">
        <v>15</v>
      </c>
      <c r="J3124" t="s">
        <v>51</v>
      </c>
      <c r="K3124" t="s">
        <v>17</v>
      </c>
      <c r="L3124">
        <f>F3123*G3123*(1-H3123)</f>
        <v>37995.25</v>
      </c>
    </row>
    <row r="3125" spans="1:12">
      <c r="A3125" t="s">
        <v>3940</v>
      </c>
      <c r="B3125" s="1">
        <v>46249</v>
      </c>
      <c r="C3125" t="s">
        <v>386</v>
      </c>
      <c r="D3125" t="s">
        <v>26</v>
      </c>
      <c r="E3125" t="s">
        <v>27</v>
      </c>
      <c r="F3125">
        <v>4</v>
      </c>
      <c r="G3125">
        <v>999</v>
      </c>
      <c r="H3125">
        <v>0.05</v>
      </c>
      <c r="I3125" t="s">
        <v>44</v>
      </c>
      <c r="J3125" t="s">
        <v>16</v>
      </c>
      <c r="K3125" t="s">
        <v>37</v>
      </c>
      <c r="L3125">
        <f>F3124*G3124*(1-H3124)</f>
        <v>3702.1499999999996</v>
      </c>
    </row>
    <row r="3126" spans="1:12">
      <c r="A3126" t="s">
        <v>3941</v>
      </c>
      <c r="B3126" s="1">
        <v>46215</v>
      </c>
      <c r="C3126" t="s">
        <v>794</v>
      </c>
      <c r="D3126" t="s">
        <v>59</v>
      </c>
      <c r="E3126" t="s">
        <v>40</v>
      </c>
      <c r="F3126">
        <v>1</v>
      </c>
      <c r="G3126">
        <v>599</v>
      </c>
      <c r="H3126">
        <v>0.1</v>
      </c>
      <c r="I3126" t="s">
        <v>47</v>
      </c>
      <c r="J3126" t="s">
        <v>28</v>
      </c>
      <c r="K3126" t="s">
        <v>17</v>
      </c>
      <c r="L3126">
        <f>F3125*G3125*(1-H3125)</f>
        <v>3796.2</v>
      </c>
    </row>
    <row r="3127" spans="1:12">
      <c r="A3127" t="s">
        <v>3942</v>
      </c>
      <c r="B3127" s="1">
        <v>46264</v>
      </c>
      <c r="C3127" t="s">
        <v>2726</v>
      </c>
      <c r="D3127" t="s">
        <v>26</v>
      </c>
      <c r="E3127" t="s">
        <v>35</v>
      </c>
      <c r="F3127">
        <v>3</v>
      </c>
      <c r="G3127">
        <v>499</v>
      </c>
      <c r="H3127">
        <v>0.15</v>
      </c>
      <c r="I3127" t="s">
        <v>50</v>
      </c>
      <c r="J3127" t="s">
        <v>28</v>
      </c>
      <c r="K3127" t="s">
        <v>37</v>
      </c>
      <c r="L3127">
        <f>F3126*G3126*(1-H3126)</f>
        <v>539.1</v>
      </c>
    </row>
    <row r="3128" spans="1:12">
      <c r="A3128" t="s">
        <v>3943</v>
      </c>
      <c r="B3128" s="1">
        <v>46062</v>
      </c>
      <c r="C3128" t="s">
        <v>239</v>
      </c>
      <c r="D3128" t="s">
        <v>78</v>
      </c>
      <c r="E3128" t="s">
        <v>40</v>
      </c>
      <c r="F3128">
        <v>2</v>
      </c>
      <c r="G3128">
        <v>499</v>
      </c>
      <c r="H3128">
        <v>0.1</v>
      </c>
      <c r="I3128" t="s">
        <v>15</v>
      </c>
      <c r="J3128" t="s">
        <v>28</v>
      </c>
      <c r="K3128" t="s">
        <v>17</v>
      </c>
      <c r="L3128">
        <f>F3127*G3127*(1-H3127)</f>
        <v>1272.45</v>
      </c>
    </row>
    <row r="3129" spans="1:12">
      <c r="A3129" t="s">
        <v>3944</v>
      </c>
      <c r="B3129" s="1">
        <v>46212</v>
      </c>
      <c r="C3129" t="s">
        <v>916</v>
      </c>
      <c r="D3129" t="s">
        <v>56</v>
      </c>
      <c r="E3129" t="s">
        <v>21</v>
      </c>
      <c r="F3129">
        <v>1</v>
      </c>
      <c r="G3129">
        <v>4999</v>
      </c>
      <c r="H3129">
        <v>0</v>
      </c>
      <c r="I3129" t="s">
        <v>47</v>
      </c>
      <c r="J3129" t="s">
        <v>51</v>
      </c>
      <c r="K3129" t="s">
        <v>17</v>
      </c>
      <c r="L3129">
        <f>F3128*G3128*(1-H3128)</f>
        <v>898.2</v>
      </c>
    </row>
    <row r="3130" spans="1:12">
      <c r="A3130" t="s">
        <v>3945</v>
      </c>
      <c r="B3130" s="1">
        <v>46287</v>
      </c>
      <c r="C3130" t="s">
        <v>366</v>
      </c>
      <c r="D3130" t="s">
        <v>62</v>
      </c>
      <c r="E3130" t="s">
        <v>27</v>
      </c>
      <c r="F3130">
        <v>1</v>
      </c>
      <c r="G3130">
        <v>1299</v>
      </c>
      <c r="H3130">
        <v>0</v>
      </c>
      <c r="I3130" t="s">
        <v>47</v>
      </c>
      <c r="J3130" t="s">
        <v>28</v>
      </c>
      <c r="K3130" t="s">
        <v>23</v>
      </c>
      <c r="L3130">
        <f>F3129*G3129*(1-H3129)</f>
        <v>4999</v>
      </c>
    </row>
    <row r="3131" spans="1:12">
      <c r="A3131" t="s">
        <v>3946</v>
      </c>
      <c r="B3131" s="1">
        <v>46289</v>
      </c>
      <c r="C3131" t="s">
        <v>697</v>
      </c>
      <c r="D3131" t="s">
        <v>59</v>
      </c>
      <c r="E3131" t="s">
        <v>27</v>
      </c>
      <c r="F3131">
        <v>3</v>
      </c>
      <c r="G3131">
        <v>599</v>
      </c>
      <c r="H3131">
        <v>0</v>
      </c>
      <c r="I3131" t="s">
        <v>44</v>
      </c>
      <c r="J3131" t="s">
        <v>22</v>
      </c>
      <c r="K3131" t="s">
        <v>17</v>
      </c>
      <c r="L3131">
        <f>F3130*G3130*(1-H3130)</f>
        <v>1299</v>
      </c>
    </row>
    <row r="3132" spans="1:12">
      <c r="A3132" t="s">
        <v>3947</v>
      </c>
      <c r="B3132" s="1">
        <v>46130</v>
      </c>
      <c r="C3132" t="s">
        <v>2357</v>
      </c>
      <c r="D3132" t="s">
        <v>13</v>
      </c>
      <c r="E3132" t="s">
        <v>14</v>
      </c>
      <c r="F3132">
        <v>2</v>
      </c>
      <c r="G3132">
        <v>799</v>
      </c>
      <c r="H3132">
        <v>0.1</v>
      </c>
      <c r="I3132" t="s">
        <v>44</v>
      </c>
      <c r="J3132" t="s">
        <v>28</v>
      </c>
      <c r="K3132" t="s">
        <v>17</v>
      </c>
      <c r="L3132">
        <f>F3131*G3131*(1-H3131)</f>
        <v>1797</v>
      </c>
    </row>
    <row r="3133" spans="1:12">
      <c r="A3133" t="s">
        <v>3948</v>
      </c>
      <c r="B3133" s="1">
        <v>46082</v>
      </c>
      <c r="C3133" t="s">
        <v>923</v>
      </c>
      <c r="D3133" t="s">
        <v>13</v>
      </c>
      <c r="E3133" t="s">
        <v>35</v>
      </c>
      <c r="F3133">
        <v>5</v>
      </c>
      <c r="G3133">
        <v>1499</v>
      </c>
      <c r="H3133">
        <v>0.15</v>
      </c>
      <c r="I3133" t="s">
        <v>32</v>
      </c>
      <c r="J3133" t="s">
        <v>28</v>
      </c>
      <c r="K3133" t="s">
        <v>17</v>
      </c>
      <c r="L3133">
        <f>F3132*G3132*(1-H3132)</f>
        <v>1438.2</v>
      </c>
    </row>
    <row r="3134" spans="1:12">
      <c r="A3134" t="s">
        <v>3949</v>
      </c>
      <c r="B3134" s="1">
        <v>46061</v>
      </c>
      <c r="C3134" t="s">
        <v>3950</v>
      </c>
      <c r="D3134" t="s">
        <v>71</v>
      </c>
      <c r="E3134" t="s">
        <v>40</v>
      </c>
      <c r="F3134">
        <v>2</v>
      </c>
      <c r="G3134">
        <v>2499</v>
      </c>
      <c r="H3134">
        <v>0</v>
      </c>
      <c r="I3134" t="s">
        <v>50</v>
      </c>
      <c r="J3134" t="s">
        <v>28</v>
      </c>
      <c r="K3134" t="s">
        <v>37</v>
      </c>
      <c r="L3134">
        <f>F3133*G3133*(1-H3133)</f>
        <v>6370.75</v>
      </c>
    </row>
    <row r="3135" spans="1:12">
      <c r="A3135" t="s">
        <v>3951</v>
      </c>
      <c r="B3135" s="1">
        <v>46177</v>
      </c>
      <c r="C3135" t="s">
        <v>1165</v>
      </c>
      <c r="D3135" t="s">
        <v>59</v>
      </c>
      <c r="E3135" t="s">
        <v>21</v>
      </c>
      <c r="F3135">
        <v>5</v>
      </c>
      <c r="G3135">
        <v>2499</v>
      </c>
      <c r="H3135">
        <v>0.15</v>
      </c>
      <c r="I3135" t="s">
        <v>32</v>
      </c>
      <c r="J3135" t="s">
        <v>16</v>
      </c>
      <c r="K3135" t="s">
        <v>23</v>
      </c>
      <c r="L3135">
        <f>F3134*G3134*(1-H3134)</f>
        <v>4998</v>
      </c>
    </row>
    <row r="3136" spans="1:12">
      <c r="A3136" t="s">
        <v>3952</v>
      </c>
      <c r="B3136" s="1">
        <v>46239</v>
      </c>
      <c r="C3136" t="s">
        <v>2559</v>
      </c>
      <c r="D3136" t="s">
        <v>62</v>
      </c>
      <c r="E3136" t="s">
        <v>21</v>
      </c>
      <c r="F3136">
        <v>4</v>
      </c>
      <c r="G3136">
        <v>799</v>
      </c>
      <c r="H3136">
        <v>0</v>
      </c>
      <c r="I3136" t="s">
        <v>44</v>
      </c>
      <c r="J3136" t="s">
        <v>36</v>
      </c>
      <c r="K3136" t="s">
        <v>23</v>
      </c>
      <c r="L3136">
        <f>F3135*G3135*(1-H3135)</f>
        <v>10620.75</v>
      </c>
    </row>
    <row r="3137" spans="1:12">
      <c r="A3137" t="s">
        <v>3953</v>
      </c>
      <c r="B3137" s="1">
        <v>46103</v>
      </c>
      <c r="C3137" t="s">
        <v>729</v>
      </c>
      <c r="D3137" t="s">
        <v>78</v>
      </c>
      <c r="E3137" t="s">
        <v>14</v>
      </c>
      <c r="F3137">
        <v>2</v>
      </c>
      <c r="G3137">
        <v>799</v>
      </c>
      <c r="H3137">
        <v>0</v>
      </c>
      <c r="I3137" t="s">
        <v>47</v>
      </c>
      <c r="J3137" t="s">
        <v>51</v>
      </c>
      <c r="K3137" t="s">
        <v>17</v>
      </c>
      <c r="L3137">
        <f>F3136*G3136*(1-H3136)</f>
        <v>3196</v>
      </c>
    </row>
    <row r="3138" spans="1:12">
      <c r="A3138" t="s">
        <v>3954</v>
      </c>
      <c r="B3138" s="1">
        <v>46098</v>
      </c>
      <c r="C3138" t="s">
        <v>635</v>
      </c>
      <c r="D3138" t="s">
        <v>62</v>
      </c>
      <c r="E3138" t="s">
        <v>21</v>
      </c>
      <c r="F3138">
        <v>1</v>
      </c>
      <c r="G3138">
        <v>499</v>
      </c>
      <c r="H3138">
        <v>0.05</v>
      </c>
      <c r="I3138" t="s">
        <v>15</v>
      </c>
      <c r="J3138" t="s">
        <v>28</v>
      </c>
      <c r="K3138" t="s">
        <v>17</v>
      </c>
      <c r="L3138">
        <f>F3137*G3137*(1-H3137)</f>
        <v>1598</v>
      </c>
    </row>
    <row r="3139" spans="1:12">
      <c r="A3139" t="s">
        <v>3955</v>
      </c>
      <c r="B3139" s="1">
        <v>46259</v>
      </c>
      <c r="C3139" t="s">
        <v>1652</v>
      </c>
      <c r="D3139" t="s">
        <v>78</v>
      </c>
      <c r="E3139" t="s">
        <v>27</v>
      </c>
      <c r="F3139">
        <v>4</v>
      </c>
      <c r="G3139">
        <v>1299</v>
      </c>
      <c r="H3139">
        <v>0</v>
      </c>
      <c r="I3139" t="s">
        <v>44</v>
      </c>
      <c r="J3139" t="s">
        <v>22</v>
      </c>
      <c r="K3139" t="s">
        <v>37</v>
      </c>
      <c r="L3139">
        <f>F3138*G3138*(1-H3138)</f>
        <v>474.04999999999995</v>
      </c>
    </row>
    <row r="3140" spans="1:12">
      <c r="A3140" t="s">
        <v>3956</v>
      </c>
      <c r="B3140" s="1">
        <v>46050</v>
      </c>
      <c r="C3140" t="s">
        <v>187</v>
      </c>
      <c r="D3140" t="s">
        <v>13</v>
      </c>
      <c r="E3140" t="s">
        <v>27</v>
      </c>
      <c r="F3140">
        <v>2</v>
      </c>
      <c r="G3140">
        <v>599</v>
      </c>
      <c r="H3140">
        <v>0</v>
      </c>
      <c r="I3140" t="s">
        <v>44</v>
      </c>
      <c r="J3140" t="s">
        <v>36</v>
      </c>
      <c r="K3140" t="s">
        <v>17</v>
      </c>
      <c r="L3140">
        <f>F3139*G3139*(1-H3139)</f>
        <v>5196</v>
      </c>
    </row>
    <row r="3141" spans="1:12">
      <c r="A3141" t="s">
        <v>3957</v>
      </c>
      <c r="B3141" s="1">
        <v>46060</v>
      </c>
      <c r="C3141" t="s">
        <v>2644</v>
      </c>
      <c r="D3141" t="s">
        <v>43</v>
      </c>
      <c r="E3141" t="s">
        <v>40</v>
      </c>
      <c r="F3141">
        <v>2</v>
      </c>
      <c r="G3141">
        <v>1499</v>
      </c>
      <c r="H3141">
        <v>0</v>
      </c>
      <c r="I3141" t="s">
        <v>50</v>
      </c>
      <c r="J3141" t="s">
        <v>51</v>
      </c>
      <c r="K3141" t="s">
        <v>23</v>
      </c>
      <c r="L3141">
        <f>F3140*G3140*(1-H3140)</f>
        <v>1198</v>
      </c>
    </row>
    <row r="3142" spans="1:12">
      <c r="A3142" t="s">
        <v>3958</v>
      </c>
      <c r="B3142" s="1">
        <v>46208</v>
      </c>
      <c r="C3142" t="s">
        <v>3622</v>
      </c>
      <c r="D3142" t="s">
        <v>13</v>
      </c>
      <c r="E3142" t="s">
        <v>21</v>
      </c>
      <c r="F3142">
        <v>2</v>
      </c>
      <c r="G3142">
        <v>499</v>
      </c>
      <c r="H3142">
        <v>0.15</v>
      </c>
      <c r="I3142" t="s">
        <v>50</v>
      </c>
      <c r="J3142" t="s">
        <v>16</v>
      </c>
      <c r="K3142" t="s">
        <v>17</v>
      </c>
      <c r="L3142">
        <f>F3141*G3141*(1-H3141)</f>
        <v>2998</v>
      </c>
    </row>
    <row r="3143" spans="1:12">
      <c r="A3143" t="s">
        <v>3959</v>
      </c>
      <c r="B3143" s="1">
        <v>46038</v>
      </c>
      <c r="C3143" t="s">
        <v>46</v>
      </c>
      <c r="D3143" t="s">
        <v>56</v>
      </c>
      <c r="E3143" t="s">
        <v>21</v>
      </c>
      <c r="F3143">
        <v>3</v>
      </c>
      <c r="G3143">
        <v>4999</v>
      </c>
      <c r="H3143">
        <v>0.15</v>
      </c>
      <c r="I3143" t="s">
        <v>50</v>
      </c>
      <c r="J3143" t="s">
        <v>28</v>
      </c>
      <c r="K3143" t="s">
        <v>17</v>
      </c>
      <c r="L3143">
        <f>F3142*G3142*(1-H3142)</f>
        <v>848.3</v>
      </c>
    </row>
    <row r="3144" spans="1:12">
      <c r="A3144" t="s">
        <v>3960</v>
      </c>
      <c r="B3144" s="1">
        <v>46226</v>
      </c>
      <c r="C3144" t="s">
        <v>148</v>
      </c>
      <c r="D3144" t="s">
        <v>26</v>
      </c>
      <c r="E3144" t="s">
        <v>14</v>
      </c>
      <c r="F3144">
        <v>3</v>
      </c>
      <c r="G3144">
        <v>1999</v>
      </c>
      <c r="H3144">
        <v>0.15</v>
      </c>
      <c r="I3144" t="s">
        <v>15</v>
      </c>
      <c r="J3144" t="s">
        <v>28</v>
      </c>
      <c r="K3144" t="s">
        <v>37</v>
      </c>
      <c r="L3144">
        <f>F3143*G3143*(1-H3143)</f>
        <v>12747.449999999999</v>
      </c>
    </row>
    <row r="3145" spans="1:12">
      <c r="A3145" t="s">
        <v>3961</v>
      </c>
      <c r="B3145" s="1">
        <v>46209</v>
      </c>
      <c r="C3145" t="s">
        <v>1395</v>
      </c>
      <c r="D3145" t="s">
        <v>26</v>
      </c>
      <c r="E3145" t="s">
        <v>21</v>
      </c>
      <c r="F3145">
        <v>4</v>
      </c>
      <c r="G3145">
        <v>499</v>
      </c>
      <c r="H3145">
        <v>0</v>
      </c>
      <c r="I3145" t="s">
        <v>32</v>
      </c>
      <c r="J3145" t="s">
        <v>22</v>
      </c>
      <c r="K3145" t="s">
        <v>17</v>
      </c>
      <c r="L3145">
        <f>F3144*G3144*(1-H3144)</f>
        <v>5097.45</v>
      </c>
    </row>
    <row r="3146" spans="1:12">
      <c r="A3146" t="s">
        <v>3962</v>
      </c>
      <c r="B3146" s="1">
        <v>46214</v>
      </c>
      <c r="C3146" t="s">
        <v>846</v>
      </c>
      <c r="D3146" t="s">
        <v>71</v>
      </c>
      <c r="E3146" t="s">
        <v>35</v>
      </c>
      <c r="F3146">
        <v>5</v>
      </c>
      <c r="G3146">
        <v>2499</v>
      </c>
      <c r="H3146">
        <v>0.1</v>
      </c>
      <c r="I3146" t="s">
        <v>50</v>
      </c>
      <c r="J3146" t="s">
        <v>16</v>
      </c>
      <c r="K3146" t="s">
        <v>37</v>
      </c>
      <c r="L3146">
        <f>F3145*G3145*(1-H3145)</f>
        <v>1996</v>
      </c>
    </row>
    <row r="3147" spans="1:12">
      <c r="A3147" t="s">
        <v>3963</v>
      </c>
      <c r="B3147" s="1">
        <v>46285</v>
      </c>
      <c r="C3147" t="s">
        <v>2726</v>
      </c>
      <c r="D3147" t="s">
        <v>78</v>
      </c>
      <c r="E3147" t="s">
        <v>21</v>
      </c>
      <c r="F3147">
        <v>5</v>
      </c>
      <c r="G3147">
        <v>599</v>
      </c>
      <c r="H3147">
        <v>0.15</v>
      </c>
      <c r="I3147" t="s">
        <v>15</v>
      </c>
      <c r="J3147" t="s">
        <v>28</v>
      </c>
      <c r="K3147" t="s">
        <v>17</v>
      </c>
      <c r="L3147">
        <f>F3146*G3146*(1-H3146)</f>
        <v>11245.5</v>
      </c>
    </row>
    <row r="3148" spans="1:12">
      <c r="A3148" t="s">
        <v>3964</v>
      </c>
      <c r="B3148" s="1">
        <v>46226</v>
      </c>
      <c r="C3148" t="s">
        <v>778</v>
      </c>
      <c r="D3148" t="s">
        <v>59</v>
      </c>
      <c r="E3148" t="s">
        <v>35</v>
      </c>
      <c r="F3148">
        <v>3</v>
      </c>
      <c r="G3148">
        <v>2499</v>
      </c>
      <c r="H3148">
        <v>0.05</v>
      </c>
      <c r="I3148" t="s">
        <v>47</v>
      </c>
      <c r="J3148" t="s">
        <v>51</v>
      </c>
      <c r="K3148" t="s">
        <v>17</v>
      </c>
      <c r="L3148">
        <f>F3147*G3147*(1-H3147)</f>
        <v>2545.75</v>
      </c>
    </row>
    <row r="3149" spans="1:12">
      <c r="A3149" t="s">
        <v>3965</v>
      </c>
      <c r="B3149" s="1">
        <v>46137</v>
      </c>
      <c r="C3149" t="s">
        <v>121</v>
      </c>
      <c r="D3149" t="s">
        <v>71</v>
      </c>
      <c r="E3149" t="s">
        <v>35</v>
      </c>
      <c r="F3149">
        <v>4</v>
      </c>
      <c r="G3149">
        <v>999</v>
      </c>
      <c r="H3149">
        <v>0.15</v>
      </c>
      <c r="I3149" t="s">
        <v>47</v>
      </c>
      <c r="J3149" t="s">
        <v>51</v>
      </c>
      <c r="K3149" t="s">
        <v>17</v>
      </c>
      <c r="L3149">
        <f>F3148*G3148*(1-H3148)</f>
        <v>7122.15</v>
      </c>
    </row>
    <row r="3150" spans="1:12">
      <c r="A3150" t="s">
        <v>3966</v>
      </c>
      <c r="B3150" s="1">
        <v>46080</v>
      </c>
      <c r="C3150" t="s">
        <v>759</v>
      </c>
      <c r="D3150" t="s">
        <v>31</v>
      </c>
      <c r="E3150" t="s">
        <v>35</v>
      </c>
      <c r="F3150">
        <v>1</v>
      </c>
      <c r="G3150">
        <v>7999</v>
      </c>
      <c r="H3150">
        <v>0</v>
      </c>
      <c r="I3150" t="s">
        <v>47</v>
      </c>
      <c r="J3150" t="s">
        <v>28</v>
      </c>
      <c r="K3150" t="s">
        <v>23</v>
      </c>
      <c r="L3150">
        <f>F3149*G3149*(1-H3149)</f>
        <v>3396.6</v>
      </c>
    </row>
    <row r="3151" spans="1:12">
      <c r="A3151" t="s">
        <v>3967</v>
      </c>
      <c r="B3151" s="1">
        <v>46282</v>
      </c>
      <c r="C3151" t="s">
        <v>1209</v>
      </c>
      <c r="D3151" t="s">
        <v>26</v>
      </c>
      <c r="E3151" t="s">
        <v>27</v>
      </c>
      <c r="F3151">
        <v>5</v>
      </c>
      <c r="G3151">
        <v>1499</v>
      </c>
      <c r="H3151">
        <v>0</v>
      </c>
      <c r="I3151" t="s">
        <v>50</v>
      </c>
      <c r="J3151" t="s">
        <v>36</v>
      </c>
      <c r="K3151" t="s">
        <v>23</v>
      </c>
      <c r="L3151">
        <f>F3150*G3150*(1-H3150)</f>
        <v>7999</v>
      </c>
    </row>
    <row r="3152" spans="1:12">
      <c r="A3152" t="s">
        <v>3968</v>
      </c>
      <c r="B3152" s="1">
        <v>46209</v>
      </c>
      <c r="C3152" t="s">
        <v>862</v>
      </c>
      <c r="D3152" t="s">
        <v>62</v>
      </c>
      <c r="E3152" t="s">
        <v>40</v>
      </c>
      <c r="F3152">
        <v>2</v>
      </c>
      <c r="G3152">
        <v>799</v>
      </c>
      <c r="H3152">
        <v>0.1</v>
      </c>
      <c r="I3152" t="s">
        <v>15</v>
      </c>
      <c r="J3152" t="s">
        <v>22</v>
      </c>
      <c r="K3152" t="s">
        <v>23</v>
      </c>
      <c r="L3152">
        <f>F3151*G3151*(1-H3151)</f>
        <v>7495</v>
      </c>
    </row>
    <row r="3153" spans="1:12">
      <c r="A3153" t="s">
        <v>3969</v>
      </c>
      <c r="B3153" s="1">
        <v>46283</v>
      </c>
      <c r="C3153" t="s">
        <v>2306</v>
      </c>
      <c r="D3153" t="s">
        <v>20</v>
      </c>
      <c r="E3153" t="s">
        <v>14</v>
      </c>
      <c r="F3153">
        <v>3</v>
      </c>
      <c r="G3153">
        <v>499</v>
      </c>
      <c r="H3153">
        <v>0.15</v>
      </c>
      <c r="I3153" t="s">
        <v>50</v>
      </c>
      <c r="J3153" t="s">
        <v>22</v>
      </c>
      <c r="K3153" t="s">
        <v>17</v>
      </c>
      <c r="L3153">
        <f>F3152*G3152*(1-H3152)</f>
        <v>1438.2</v>
      </c>
    </row>
    <row r="3154" spans="1:12">
      <c r="A3154" t="s">
        <v>3970</v>
      </c>
      <c r="B3154" s="1">
        <v>46101</v>
      </c>
      <c r="C3154" t="s">
        <v>2832</v>
      </c>
      <c r="D3154" t="s">
        <v>13</v>
      </c>
      <c r="E3154" t="s">
        <v>21</v>
      </c>
      <c r="F3154">
        <v>1</v>
      </c>
      <c r="G3154">
        <v>999</v>
      </c>
      <c r="H3154">
        <v>0.15</v>
      </c>
      <c r="I3154" t="s">
        <v>44</v>
      </c>
      <c r="J3154" t="s">
        <v>22</v>
      </c>
      <c r="K3154" t="s">
        <v>37</v>
      </c>
      <c r="L3154">
        <f>F3153*G3153*(1-H3153)</f>
        <v>1272.45</v>
      </c>
    </row>
    <row r="3155" spans="1:12">
      <c r="A3155" t="s">
        <v>3971</v>
      </c>
      <c r="B3155" s="1">
        <v>46076</v>
      </c>
      <c r="C3155" t="s">
        <v>783</v>
      </c>
      <c r="D3155" t="s">
        <v>13</v>
      </c>
      <c r="E3155" t="s">
        <v>27</v>
      </c>
      <c r="F3155">
        <v>4</v>
      </c>
      <c r="G3155">
        <v>2499</v>
      </c>
      <c r="H3155">
        <v>0</v>
      </c>
      <c r="I3155" t="s">
        <v>15</v>
      </c>
      <c r="J3155" t="s">
        <v>51</v>
      </c>
      <c r="K3155" t="s">
        <v>17</v>
      </c>
      <c r="L3155">
        <f>F3154*G3154*(1-H3154)</f>
        <v>849.15</v>
      </c>
    </row>
    <row r="3156" spans="1:12">
      <c r="A3156" t="s">
        <v>3972</v>
      </c>
      <c r="B3156" s="1">
        <v>46266</v>
      </c>
      <c r="C3156" t="s">
        <v>1898</v>
      </c>
      <c r="D3156" t="s">
        <v>62</v>
      </c>
      <c r="E3156" t="s">
        <v>21</v>
      </c>
      <c r="F3156">
        <v>2</v>
      </c>
      <c r="G3156">
        <v>1299</v>
      </c>
      <c r="H3156">
        <v>0.1</v>
      </c>
      <c r="I3156" t="s">
        <v>50</v>
      </c>
      <c r="J3156" t="s">
        <v>22</v>
      </c>
      <c r="K3156" t="s">
        <v>17</v>
      </c>
      <c r="L3156">
        <f>F3155*G3155*(1-H3155)</f>
        <v>9996</v>
      </c>
    </row>
    <row r="3157" spans="1:12">
      <c r="A3157" t="s">
        <v>3973</v>
      </c>
      <c r="B3157" s="1">
        <v>46129</v>
      </c>
      <c r="C3157" t="s">
        <v>1420</v>
      </c>
      <c r="D3157" t="s">
        <v>59</v>
      </c>
      <c r="E3157" t="s">
        <v>40</v>
      </c>
      <c r="F3157">
        <v>1</v>
      </c>
      <c r="G3157">
        <v>799</v>
      </c>
      <c r="H3157">
        <v>0.1</v>
      </c>
      <c r="I3157" t="s">
        <v>50</v>
      </c>
      <c r="J3157" t="s">
        <v>22</v>
      </c>
      <c r="K3157" t="s">
        <v>17</v>
      </c>
      <c r="L3157">
        <f>F3156*G3156*(1-H3156)</f>
        <v>2338.2000000000003</v>
      </c>
    </row>
    <row r="3158" spans="1:12">
      <c r="A3158" t="s">
        <v>3974</v>
      </c>
      <c r="B3158" s="1">
        <v>46214</v>
      </c>
      <c r="C3158" t="s">
        <v>521</v>
      </c>
      <c r="D3158" t="s">
        <v>20</v>
      </c>
      <c r="E3158" t="s">
        <v>14</v>
      </c>
      <c r="F3158">
        <v>4</v>
      </c>
      <c r="G3158">
        <v>599</v>
      </c>
      <c r="H3158">
        <v>0</v>
      </c>
      <c r="I3158" t="s">
        <v>44</v>
      </c>
      <c r="J3158" t="s">
        <v>22</v>
      </c>
      <c r="K3158" t="s">
        <v>17</v>
      </c>
      <c r="L3158">
        <f>F3157*G3157*(1-H3157)</f>
        <v>719.1</v>
      </c>
    </row>
    <row r="3159" spans="1:12">
      <c r="A3159" t="s">
        <v>3975</v>
      </c>
      <c r="B3159" s="1">
        <v>46073</v>
      </c>
      <c r="C3159" t="s">
        <v>665</v>
      </c>
      <c r="D3159" t="s">
        <v>31</v>
      </c>
      <c r="E3159" t="s">
        <v>14</v>
      </c>
      <c r="F3159">
        <v>1</v>
      </c>
      <c r="G3159">
        <v>799</v>
      </c>
      <c r="H3159">
        <v>0</v>
      </c>
      <c r="I3159" t="s">
        <v>44</v>
      </c>
      <c r="J3159" t="s">
        <v>22</v>
      </c>
      <c r="K3159" t="s">
        <v>17</v>
      </c>
      <c r="L3159">
        <f>F3158*G3158*(1-H3158)</f>
        <v>2396</v>
      </c>
    </row>
    <row r="3160" spans="1:12">
      <c r="A3160" t="s">
        <v>3976</v>
      </c>
      <c r="B3160" s="1">
        <v>46107</v>
      </c>
      <c r="C3160" t="s">
        <v>150</v>
      </c>
      <c r="D3160" t="s">
        <v>62</v>
      </c>
      <c r="E3160" t="s">
        <v>21</v>
      </c>
      <c r="F3160">
        <v>2</v>
      </c>
      <c r="G3160">
        <v>599</v>
      </c>
      <c r="H3160">
        <v>0</v>
      </c>
      <c r="I3160" t="s">
        <v>50</v>
      </c>
      <c r="J3160" t="s">
        <v>22</v>
      </c>
      <c r="K3160" t="s">
        <v>17</v>
      </c>
      <c r="L3160">
        <f>F3159*G3159*(1-H3159)</f>
        <v>799</v>
      </c>
    </row>
    <row r="3161" spans="1:12">
      <c r="A3161" t="s">
        <v>3977</v>
      </c>
      <c r="B3161" s="1">
        <v>46045</v>
      </c>
      <c r="C3161" t="s">
        <v>296</v>
      </c>
      <c r="D3161" t="s">
        <v>31</v>
      </c>
      <c r="E3161" t="s">
        <v>40</v>
      </c>
      <c r="F3161">
        <v>1</v>
      </c>
      <c r="G3161">
        <v>4999</v>
      </c>
      <c r="H3161">
        <v>0.1</v>
      </c>
      <c r="I3161" t="s">
        <v>44</v>
      </c>
      <c r="J3161" t="s">
        <v>28</v>
      </c>
      <c r="K3161" t="s">
        <v>17</v>
      </c>
      <c r="L3161">
        <f>F3160*G3160*(1-H3160)</f>
        <v>1198</v>
      </c>
    </row>
    <row r="3162" spans="1:12">
      <c r="A3162" t="s">
        <v>3978</v>
      </c>
      <c r="B3162" s="1">
        <v>46248</v>
      </c>
      <c r="C3162" t="s">
        <v>1062</v>
      </c>
      <c r="D3162" t="s">
        <v>59</v>
      </c>
      <c r="E3162" t="s">
        <v>27</v>
      </c>
      <c r="F3162">
        <v>4</v>
      </c>
      <c r="G3162">
        <v>4999</v>
      </c>
      <c r="H3162">
        <v>0</v>
      </c>
      <c r="I3162" t="s">
        <v>47</v>
      </c>
      <c r="J3162" t="s">
        <v>51</v>
      </c>
      <c r="K3162" t="s">
        <v>17</v>
      </c>
      <c r="L3162">
        <f>F3161*G3161*(1-H3161)</f>
        <v>4499.1000000000004</v>
      </c>
    </row>
    <row r="3163" spans="1:12">
      <c r="A3163" t="s">
        <v>3979</v>
      </c>
      <c r="B3163" s="1">
        <v>46120</v>
      </c>
      <c r="C3163" t="s">
        <v>439</v>
      </c>
      <c r="D3163" t="s">
        <v>71</v>
      </c>
      <c r="E3163" t="s">
        <v>21</v>
      </c>
      <c r="F3163">
        <v>4</v>
      </c>
      <c r="G3163">
        <v>1499</v>
      </c>
      <c r="H3163">
        <v>0</v>
      </c>
      <c r="I3163" t="s">
        <v>15</v>
      </c>
      <c r="J3163" t="s">
        <v>22</v>
      </c>
      <c r="K3163" t="s">
        <v>17</v>
      </c>
      <c r="L3163">
        <f>F3162*G3162*(1-H3162)</f>
        <v>19996</v>
      </c>
    </row>
    <row r="3164" spans="1:12">
      <c r="A3164" t="s">
        <v>3980</v>
      </c>
      <c r="B3164" s="1">
        <v>46053</v>
      </c>
      <c r="C3164" t="s">
        <v>492</v>
      </c>
      <c r="D3164" t="s">
        <v>62</v>
      </c>
      <c r="E3164" t="s">
        <v>27</v>
      </c>
      <c r="F3164">
        <v>5</v>
      </c>
      <c r="G3164">
        <v>1299</v>
      </c>
      <c r="H3164">
        <v>0.1</v>
      </c>
      <c r="I3164" t="s">
        <v>32</v>
      </c>
      <c r="J3164" t="s">
        <v>28</v>
      </c>
      <c r="K3164" t="s">
        <v>37</v>
      </c>
      <c r="L3164">
        <f>F3163*G3163*(1-H3163)</f>
        <v>5996</v>
      </c>
    </row>
    <row r="3165" spans="1:12">
      <c r="A3165" t="s">
        <v>3981</v>
      </c>
      <c r="B3165" s="1">
        <v>46092</v>
      </c>
      <c r="C3165" t="s">
        <v>2036</v>
      </c>
      <c r="D3165" t="s">
        <v>59</v>
      </c>
      <c r="E3165" t="s">
        <v>21</v>
      </c>
      <c r="F3165">
        <v>3</v>
      </c>
      <c r="G3165">
        <v>999</v>
      </c>
      <c r="H3165">
        <v>0</v>
      </c>
      <c r="I3165" t="s">
        <v>44</v>
      </c>
      <c r="J3165" t="s">
        <v>51</v>
      </c>
      <c r="K3165" t="s">
        <v>17</v>
      </c>
      <c r="L3165">
        <f>F3164*G3164*(1-H3164)</f>
        <v>5845.5</v>
      </c>
    </row>
    <row r="3166" spans="1:12">
      <c r="A3166" t="s">
        <v>3982</v>
      </c>
      <c r="B3166" s="1">
        <v>46062</v>
      </c>
      <c r="C3166" t="s">
        <v>606</v>
      </c>
      <c r="D3166" t="s">
        <v>20</v>
      </c>
      <c r="E3166" t="s">
        <v>21</v>
      </c>
      <c r="F3166">
        <v>5</v>
      </c>
      <c r="G3166">
        <v>1499</v>
      </c>
      <c r="H3166">
        <v>0.15</v>
      </c>
      <c r="I3166" t="s">
        <v>15</v>
      </c>
      <c r="J3166" t="s">
        <v>22</v>
      </c>
      <c r="K3166" t="s">
        <v>17</v>
      </c>
      <c r="L3166">
        <f>F3165*G3165*(1-H3165)</f>
        <v>2997</v>
      </c>
    </row>
    <row r="3167" spans="1:12">
      <c r="A3167" t="s">
        <v>3983</v>
      </c>
      <c r="B3167" s="1">
        <v>46062</v>
      </c>
      <c r="C3167" t="s">
        <v>637</v>
      </c>
      <c r="D3167" t="s">
        <v>62</v>
      </c>
      <c r="E3167" t="s">
        <v>14</v>
      </c>
      <c r="F3167">
        <v>2</v>
      </c>
      <c r="G3167">
        <v>4999</v>
      </c>
      <c r="H3167">
        <v>0</v>
      </c>
      <c r="I3167" t="s">
        <v>47</v>
      </c>
      <c r="J3167" t="s">
        <v>51</v>
      </c>
      <c r="K3167" t="s">
        <v>23</v>
      </c>
      <c r="L3167">
        <f>F3166*G3166*(1-H3166)</f>
        <v>6370.75</v>
      </c>
    </row>
    <row r="3168" spans="1:12">
      <c r="A3168" t="s">
        <v>3984</v>
      </c>
      <c r="B3168" s="1">
        <v>46048</v>
      </c>
      <c r="C3168" t="s">
        <v>1042</v>
      </c>
      <c r="D3168" t="s">
        <v>78</v>
      </c>
      <c r="E3168" t="s">
        <v>40</v>
      </c>
      <c r="F3168">
        <v>1</v>
      </c>
      <c r="G3168">
        <v>499</v>
      </c>
      <c r="H3168">
        <v>0</v>
      </c>
      <c r="I3168" t="s">
        <v>15</v>
      </c>
      <c r="J3168" t="s">
        <v>28</v>
      </c>
      <c r="K3168" t="s">
        <v>17</v>
      </c>
      <c r="L3168">
        <f>F3167*G3167*(1-H3167)</f>
        <v>9998</v>
      </c>
    </row>
    <row r="3169" spans="1:12">
      <c r="A3169" t="s">
        <v>3985</v>
      </c>
      <c r="B3169" s="1">
        <v>46152</v>
      </c>
      <c r="C3169" t="s">
        <v>767</v>
      </c>
      <c r="D3169" t="s">
        <v>20</v>
      </c>
      <c r="E3169" t="s">
        <v>40</v>
      </c>
      <c r="F3169">
        <v>2</v>
      </c>
      <c r="G3169">
        <v>599</v>
      </c>
      <c r="H3169">
        <v>0.05</v>
      </c>
      <c r="I3169" t="s">
        <v>50</v>
      </c>
      <c r="J3169" t="s">
        <v>36</v>
      </c>
      <c r="K3169" t="s">
        <v>17</v>
      </c>
      <c r="L3169">
        <f>F3168*G3168*(1-H3168)</f>
        <v>499</v>
      </c>
    </row>
    <row r="3170" spans="1:12">
      <c r="A3170" t="s">
        <v>3986</v>
      </c>
      <c r="B3170" s="1">
        <v>46232</v>
      </c>
      <c r="C3170" t="s">
        <v>1372</v>
      </c>
      <c r="D3170" t="s">
        <v>59</v>
      </c>
      <c r="E3170" t="s">
        <v>27</v>
      </c>
      <c r="F3170">
        <v>5</v>
      </c>
      <c r="G3170">
        <v>799</v>
      </c>
      <c r="H3170">
        <v>0</v>
      </c>
      <c r="I3170" t="s">
        <v>50</v>
      </c>
      <c r="J3170" t="s">
        <v>22</v>
      </c>
      <c r="K3170" t="s">
        <v>37</v>
      </c>
      <c r="L3170">
        <f>F3169*G3169*(1-H3169)</f>
        <v>1138.0999999999999</v>
      </c>
    </row>
    <row r="3171" spans="1:12">
      <c r="A3171" t="s">
        <v>3987</v>
      </c>
      <c r="B3171" s="1">
        <v>46061</v>
      </c>
      <c r="C3171" t="s">
        <v>590</v>
      </c>
      <c r="D3171" t="s">
        <v>59</v>
      </c>
      <c r="E3171" t="s">
        <v>27</v>
      </c>
      <c r="F3171">
        <v>2</v>
      </c>
      <c r="G3171">
        <v>2499</v>
      </c>
      <c r="H3171">
        <v>0</v>
      </c>
      <c r="I3171" t="s">
        <v>50</v>
      </c>
      <c r="J3171" t="s">
        <v>51</v>
      </c>
      <c r="K3171" t="s">
        <v>37</v>
      </c>
      <c r="L3171">
        <f>F3170*G3170*(1-H3170)</f>
        <v>3995</v>
      </c>
    </row>
    <row r="3172" spans="1:12">
      <c r="A3172" t="s">
        <v>3988</v>
      </c>
      <c r="B3172" s="1">
        <v>46159</v>
      </c>
      <c r="C3172" t="s">
        <v>3672</v>
      </c>
      <c r="D3172" t="s">
        <v>20</v>
      </c>
      <c r="E3172" t="s">
        <v>21</v>
      </c>
      <c r="F3172">
        <v>1</v>
      </c>
      <c r="G3172">
        <v>1999</v>
      </c>
      <c r="H3172">
        <v>0</v>
      </c>
      <c r="I3172" t="s">
        <v>15</v>
      </c>
      <c r="J3172" t="s">
        <v>51</v>
      </c>
      <c r="K3172" t="s">
        <v>17</v>
      </c>
      <c r="L3172">
        <f>F3171*G3171*(1-H3171)</f>
        <v>4998</v>
      </c>
    </row>
    <row r="3173" spans="1:12">
      <c r="A3173" t="s">
        <v>3989</v>
      </c>
      <c r="B3173" s="1">
        <v>46050</v>
      </c>
      <c r="C3173" t="s">
        <v>2755</v>
      </c>
      <c r="D3173" t="s">
        <v>31</v>
      </c>
      <c r="E3173" t="s">
        <v>14</v>
      </c>
      <c r="F3173">
        <v>5</v>
      </c>
      <c r="G3173">
        <v>7999</v>
      </c>
      <c r="H3173">
        <v>0</v>
      </c>
      <c r="I3173" t="s">
        <v>47</v>
      </c>
      <c r="J3173" t="s">
        <v>28</v>
      </c>
      <c r="K3173" t="s">
        <v>17</v>
      </c>
      <c r="L3173">
        <f>F3172*G3172*(1-H3172)</f>
        <v>1999</v>
      </c>
    </row>
    <row r="3174" spans="1:12">
      <c r="A3174" t="s">
        <v>3990</v>
      </c>
      <c r="B3174" s="1">
        <v>46230</v>
      </c>
      <c r="C3174" t="s">
        <v>1519</v>
      </c>
      <c r="D3174" t="s">
        <v>31</v>
      </c>
      <c r="E3174" t="s">
        <v>21</v>
      </c>
      <c r="F3174">
        <v>2</v>
      </c>
      <c r="G3174">
        <v>499</v>
      </c>
      <c r="H3174">
        <v>0.15</v>
      </c>
      <c r="I3174" t="s">
        <v>50</v>
      </c>
      <c r="J3174" t="s">
        <v>36</v>
      </c>
      <c r="K3174" t="s">
        <v>17</v>
      </c>
      <c r="L3174">
        <f>F3173*G3173*(1-H3173)</f>
        <v>39995</v>
      </c>
    </row>
    <row r="3175" spans="1:12">
      <c r="A3175" t="s">
        <v>3991</v>
      </c>
      <c r="B3175" s="1">
        <v>46219</v>
      </c>
      <c r="C3175" t="s">
        <v>2603</v>
      </c>
      <c r="D3175" t="s">
        <v>13</v>
      </c>
      <c r="E3175" t="s">
        <v>27</v>
      </c>
      <c r="F3175">
        <v>3</v>
      </c>
      <c r="G3175">
        <v>4999</v>
      </c>
      <c r="H3175">
        <v>0.05</v>
      </c>
      <c r="I3175" t="s">
        <v>47</v>
      </c>
      <c r="J3175" t="s">
        <v>36</v>
      </c>
      <c r="K3175" t="s">
        <v>17</v>
      </c>
      <c r="L3175">
        <f>F3174*G3174*(1-H3174)</f>
        <v>848.3</v>
      </c>
    </row>
    <row r="3176" spans="1:12">
      <c r="A3176" t="s">
        <v>3992</v>
      </c>
      <c r="B3176" s="1">
        <v>46038</v>
      </c>
      <c r="C3176" t="s">
        <v>132</v>
      </c>
      <c r="D3176" t="s">
        <v>20</v>
      </c>
      <c r="E3176" t="s">
        <v>27</v>
      </c>
      <c r="F3176">
        <v>3</v>
      </c>
      <c r="G3176">
        <v>799</v>
      </c>
      <c r="H3176">
        <v>0</v>
      </c>
      <c r="I3176" t="s">
        <v>32</v>
      </c>
      <c r="J3176" t="s">
        <v>22</v>
      </c>
      <c r="K3176" t="s">
        <v>17</v>
      </c>
      <c r="L3176">
        <f>F3175*G3175*(1-H3175)</f>
        <v>14247.15</v>
      </c>
    </row>
    <row r="3177" spans="1:12">
      <c r="A3177" t="s">
        <v>3993</v>
      </c>
      <c r="B3177" s="1">
        <v>46162</v>
      </c>
      <c r="C3177" t="s">
        <v>174</v>
      </c>
      <c r="D3177" t="s">
        <v>71</v>
      </c>
      <c r="E3177" t="s">
        <v>14</v>
      </c>
      <c r="F3177">
        <v>4</v>
      </c>
      <c r="G3177">
        <v>1499</v>
      </c>
      <c r="H3177">
        <v>0</v>
      </c>
      <c r="I3177" t="s">
        <v>50</v>
      </c>
      <c r="J3177" t="s">
        <v>16</v>
      </c>
      <c r="K3177" t="s">
        <v>17</v>
      </c>
      <c r="L3177">
        <f>F3176*G3176*(1-H3176)</f>
        <v>2397</v>
      </c>
    </row>
    <row r="3178" spans="1:12">
      <c r="A3178" t="s">
        <v>3994</v>
      </c>
      <c r="B3178" s="1">
        <v>46051</v>
      </c>
      <c r="C3178" t="s">
        <v>2603</v>
      </c>
      <c r="D3178" t="s">
        <v>26</v>
      </c>
      <c r="E3178" t="s">
        <v>40</v>
      </c>
      <c r="F3178">
        <v>2</v>
      </c>
      <c r="G3178">
        <v>2499</v>
      </c>
      <c r="H3178">
        <v>0</v>
      </c>
      <c r="I3178" t="s">
        <v>47</v>
      </c>
      <c r="J3178" t="s">
        <v>22</v>
      </c>
      <c r="K3178" t="s">
        <v>23</v>
      </c>
      <c r="L3178">
        <f>F3177*G3177*(1-H3177)</f>
        <v>5996</v>
      </c>
    </row>
    <row r="3179" spans="1:12">
      <c r="A3179" t="s">
        <v>3995</v>
      </c>
      <c r="B3179" s="1">
        <v>46155</v>
      </c>
      <c r="C3179" t="s">
        <v>1211</v>
      </c>
      <c r="D3179" t="s">
        <v>43</v>
      </c>
      <c r="E3179" t="s">
        <v>35</v>
      </c>
      <c r="F3179">
        <v>3</v>
      </c>
      <c r="G3179">
        <v>2499</v>
      </c>
      <c r="H3179">
        <v>0</v>
      </c>
      <c r="I3179" t="s">
        <v>50</v>
      </c>
      <c r="J3179" t="s">
        <v>28</v>
      </c>
      <c r="K3179" t="s">
        <v>17</v>
      </c>
      <c r="L3179">
        <f>F3178*G3178*(1-H3178)</f>
        <v>4998</v>
      </c>
    </row>
    <row r="3180" spans="1:12">
      <c r="A3180" t="s">
        <v>3996</v>
      </c>
      <c r="B3180" s="1">
        <v>46293</v>
      </c>
      <c r="C3180" t="s">
        <v>1259</v>
      </c>
      <c r="D3180" t="s">
        <v>71</v>
      </c>
      <c r="E3180" t="s">
        <v>21</v>
      </c>
      <c r="F3180">
        <v>1</v>
      </c>
      <c r="G3180">
        <v>599</v>
      </c>
      <c r="H3180">
        <v>0.05</v>
      </c>
      <c r="I3180" t="s">
        <v>50</v>
      </c>
      <c r="J3180" t="s">
        <v>22</v>
      </c>
      <c r="K3180" t="s">
        <v>17</v>
      </c>
      <c r="L3180">
        <f>F3179*G3179*(1-H3179)</f>
        <v>7497</v>
      </c>
    </row>
    <row r="3181" spans="1:12">
      <c r="A3181" t="s">
        <v>3997</v>
      </c>
      <c r="B3181" s="1">
        <v>46272</v>
      </c>
      <c r="C3181" t="s">
        <v>3135</v>
      </c>
      <c r="D3181" t="s">
        <v>43</v>
      </c>
      <c r="E3181" t="s">
        <v>35</v>
      </c>
      <c r="F3181">
        <v>4</v>
      </c>
      <c r="G3181">
        <v>1299</v>
      </c>
      <c r="H3181">
        <v>0.05</v>
      </c>
      <c r="I3181" t="s">
        <v>50</v>
      </c>
      <c r="J3181" t="s">
        <v>51</v>
      </c>
      <c r="K3181" t="s">
        <v>17</v>
      </c>
      <c r="L3181">
        <f>F3180*G3180*(1-H3180)</f>
        <v>569.04999999999995</v>
      </c>
    </row>
    <row r="3182" spans="1:12">
      <c r="A3182" t="s">
        <v>3998</v>
      </c>
      <c r="B3182" s="1">
        <v>46182</v>
      </c>
      <c r="C3182" t="s">
        <v>1390</v>
      </c>
      <c r="D3182" t="s">
        <v>56</v>
      </c>
      <c r="E3182" t="s">
        <v>35</v>
      </c>
      <c r="F3182">
        <v>1</v>
      </c>
      <c r="G3182">
        <v>599</v>
      </c>
      <c r="H3182">
        <v>0.15</v>
      </c>
      <c r="I3182" t="s">
        <v>15</v>
      </c>
      <c r="J3182" t="s">
        <v>16</v>
      </c>
      <c r="K3182" t="s">
        <v>37</v>
      </c>
      <c r="L3182">
        <f>F3181*G3181*(1-H3181)</f>
        <v>4936.2</v>
      </c>
    </row>
    <row r="3183" spans="1:12">
      <c r="A3183" t="s">
        <v>3999</v>
      </c>
      <c r="B3183" s="1">
        <v>46072</v>
      </c>
      <c r="C3183" t="s">
        <v>1845</v>
      </c>
      <c r="D3183" t="s">
        <v>13</v>
      </c>
      <c r="E3183" t="s">
        <v>40</v>
      </c>
      <c r="F3183">
        <v>2</v>
      </c>
      <c r="G3183">
        <v>7999</v>
      </c>
      <c r="H3183">
        <v>0.15</v>
      </c>
      <c r="I3183" t="s">
        <v>50</v>
      </c>
      <c r="J3183" t="s">
        <v>28</v>
      </c>
      <c r="K3183" t="s">
        <v>37</v>
      </c>
      <c r="L3183">
        <f>F3182*G3182*(1-H3182)</f>
        <v>509.15</v>
      </c>
    </row>
    <row r="3184" spans="1:12">
      <c r="A3184" t="s">
        <v>4000</v>
      </c>
      <c r="B3184" s="1">
        <v>46173</v>
      </c>
      <c r="C3184" t="s">
        <v>1469</v>
      </c>
      <c r="D3184" t="s">
        <v>31</v>
      </c>
      <c r="E3184" t="s">
        <v>40</v>
      </c>
      <c r="F3184">
        <v>5</v>
      </c>
      <c r="G3184">
        <v>7999</v>
      </c>
      <c r="H3184">
        <v>0</v>
      </c>
      <c r="I3184" t="s">
        <v>15</v>
      </c>
      <c r="J3184" t="s">
        <v>28</v>
      </c>
      <c r="K3184" t="s">
        <v>17</v>
      </c>
      <c r="L3184">
        <f>F3183*G3183*(1-H3183)</f>
        <v>13598.3</v>
      </c>
    </row>
    <row r="3185" spans="1:12">
      <c r="A3185" t="s">
        <v>4001</v>
      </c>
      <c r="B3185" s="1">
        <v>46249</v>
      </c>
      <c r="C3185" t="s">
        <v>1456</v>
      </c>
      <c r="D3185" t="s">
        <v>31</v>
      </c>
      <c r="E3185" t="s">
        <v>27</v>
      </c>
      <c r="F3185">
        <v>1</v>
      </c>
      <c r="G3185">
        <v>1999</v>
      </c>
      <c r="H3185">
        <v>0.05</v>
      </c>
      <c r="I3185" t="s">
        <v>32</v>
      </c>
      <c r="J3185" t="s">
        <v>22</v>
      </c>
      <c r="K3185" t="s">
        <v>37</v>
      </c>
      <c r="L3185">
        <f>F3184*G3184*(1-H3184)</f>
        <v>39995</v>
      </c>
    </row>
    <row r="3186" spans="1:12">
      <c r="A3186" t="s">
        <v>4002</v>
      </c>
      <c r="B3186" s="1">
        <v>46218</v>
      </c>
      <c r="C3186" t="s">
        <v>870</v>
      </c>
      <c r="D3186" t="s">
        <v>59</v>
      </c>
      <c r="E3186" t="s">
        <v>14</v>
      </c>
      <c r="F3186">
        <v>1</v>
      </c>
      <c r="G3186">
        <v>799</v>
      </c>
      <c r="H3186">
        <v>0.1</v>
      </c>
      <c r="I3186" t="s">
        <v>15</v>
      </c>
      <c r="J3186" t="s">
        <v>51</v>
      </c>
      <c r="K3186" t="s">
        <v>17</v>
      </c>
      <c r="L3186">
        <f>F3185*G3185*(1-H3185)</f>
        <v>1899.05</v>
      </c>
    </row>
    <row r="3187" spans="1:12">
      <c r="A3187" t="s">
        <v>4003</v>
      </c>
      <c r="B3187" s="1">
        <v>46183</v>
      </c>
      <c r="C3187" t="s">
        <v>1521</v>
      </c>
      <c r="D3187" t="s">
        <v>13</v>
      </c>
      <c r="E3187" t="s">
        <v>40</v>
      </c>
      <c r="F3187">
        <v>5</v>
      </c>
      <c r="G3187">
        <v>4999</v>
      </c>
      <c r="H3187">
        <v>0</v>
      </c>
      <c r="I3187" t="s">
        <v>32</v>
      </c>
      <c r="J3187" t="s">
        <v>22</v>
      </c>
      <c r="K3187" t="s">
        <v>23</v>
      </c>
      <c r="L3187">
        <f>F3186*G3186*(1-H3186)</f>
        <v>719.1</v>
      </c>
    </row>
    <row r="3188" spans="1:12">
      <c r="A3188" t="s">
        <v>4004</v>
      </c>
      <c r="B3188" s="1">
        <v>46133</v>
      </c>
      <c r="C3188" t="s">
        <v>1578</v>
      </c>
      <c r="D3188" t="s">
        <v>20</v>
      </c>
      <c r="E3188" t="s">
        <v>14</v>
      </c>
      <c r="F3188">
        <v>5</v>
      </c>
      <c r="G3188">
        <v>2499</v>
      </c>
      <c r="H3188">
        <v>0</v>
      </c>
      <c r="I3188" t="s">
        <v>44</v>
      </c>
      <c r="J3188" t="s">
        <v>16</v>
      </c>
      <c r="K3188" t="s">
        <v>17</v>
      </c>
      <c r="L3188">
        <f>F3187*G3187*(1-H3187)</f>
        <v>24995</v>
      </c>
    </row>
    <row r="3189" spans="1:12">
      <c r="A3189" t="s">
        <v>4005</v>
      </c>
      <c r="B3189" s="1">
        <v>46206</v>
      </c>
      <c r="C3189" t="s">
        <v>622</v>
      </c>
      <c r="D3189" t="s">
        <v>31</v>
      </c>
      <c r="E3189" t="s">
        <v>40</v>
      </c>
      <c r="F3189">
        <v>2</v>
      </c>
      <c r="G3189">
        <v>1999</v>
      </c>
      <c r="H3189">
        <v>0.15</v>
      </c>
      <c r="I3189" t="s">
        <v>50</v>
      </c>
      <c r="J3189" t="s">
        <v>16</v>
      </c>
      <c r="K3189" t="s">
        <v>23</v>
      </c>
      <c r="L3189">
        <f>F3188*G3188*(1-H3188)</f>
        <v>12495</v>
      </c>
    </row>
    <row r="3190" spans="1:12">
      <c r="A3190" t="s">
        <v>4006</v>
      </c>
      <c r="B3190" s="1">
        <v>46089</v>
      </c>
      <c r="C3190" t="s">
        <v>506</v>
      </c>
      <c r="D3190" t="s">
        <v>31</v>
      </c>
      <c r="E3190" t="s">
        <v>14</v>
      </c>
      <c r="F3190">
        <v>5</v>
      </c>
      <c r="G3190">
        <v>499</v>
      </c>
      <c r="H3190">
        <v>0.15</v>
      </c>
      <c r="I3190" t="s">
        <v>15</v>
      </c>
      <c r="J3190" t="s">
        <v>16</v>
      </c>
      <c r="K3190" t="s">
        <v>23</v>
      </c>
      <c r="L3190">
        <f>F3189*G3189*(1-H3189)</f>
        <v>3398.2999999999997</v>
      </c>
    </row>
    <row r="3191" spans="1:12">
      <c r="A3191" t="s">
        <v>4007</v>
      </c>
      <c r="B3191" s="1">
        <v>46177</v>
      </c>
      <c r="C3191" t="s">
        <v>336</v>
      </c>
      <c r="D3191" t="s">
        <v>31</v>
      </c>
      <c r="E3191" t="s">
        <v>40</v>
      </c>
      <c r="F3191">
        <v>1</v>
      </c>
      <c r="G3191">
        <v>1499</v>
      </c>
      <c r="H3191">
        <v>0.1</v>
      </c>
      <c r="I3191" t="s">
        <v>15</v>
      </c>
      <c r="J3191" t="s">
        <v>28</v>
      </c>
      <c r="K3191" t="s">
        <v>23</v>
      </c>
      <c r="L3191">
        <f>F3190*G3190*(1-H3190)</f>
        <v>2120.75</v>
      </c>
    </row>
    <row r="3192" spans="1:12">
      <c r="A3192" t="s">
        <v>4008</v>
      </c>
      <c r="B3192" s="1">
        <v>46242</v>
      </c>
      <c r="C3192" t="s">
        <v>341</v>
      </c>
      <c r="D3192" t="s">
        <v>71</v>
      </c>
      <c r="E3192" t="s">
        <v>27</v>
      </c>
      <c r="F3192">
        <v>4</v>
      </c>
      <c r="G3192">
        <v>799</v>
      </c>
      <c r="H3192">
        <v>0.15</v>
      </c>
      <c r="I3192" t="s">
        <v>44</v>
      </c>
      <c r="J3192" t="s">
        <v>16</v>
      </c>
      <c r="K3192" t="s">
        <v>17</v>
      </c>
      <c r="L3192">
        <f>F3191*G3191*(1-H3191)</f>
        <v>1349.1000000000001</v>
      </c>
    </row>
    <row r="3193" spans="1:12">
      <c r="A3193" t="s">
        <v>4009</v>
      </c>
      <c r="B3193" s="1">
        <v>46138</v>
      </c>
      <c r="C3193" t="s">
        <v>1134</v>
      </c>
      <c r="D3193" t="s">
        <v>78</v>
      </c>
      <c r="E3193" t="s">
        <v>27</v>
      </c>
      <c r="F3193">
        <v>2</v>
      </c>
      <c r="G3193">
        <v>599</v>
      </c>
      <c r="H3193">
        <v>0</v>
      </c>
      <c r="I3193" t="s">
        <v>47</v>
      </c>
      <c r="J3193" t="s">
        <v>51</v>
      </c>
      <c r="K3193" t="s">
        <v>23</v>
      </c>
      <c r="L3193">
        <f>F3192*G3192*(1-H3192)</f>
        <v>2716.6</v>
      </c>
    </row>
    <row r="3194" spans="1:12">
      <c r="A3194" t="s">
        <v>4010</v>
      </c>
      <c r="B3194" s="1">
        <v>46117</v>
      </c>
      <c r="C3194" t="s">
        <v>90</v>
      </c>
      <c r="D3194" t="s">
        <v>59</v>
      </c>
      <c r="E3194" t="s">
        <v>14</v>
      </c>
      <c r="F3194">
        <v>3</v>
      </c>
      <c r="G3194">
        <v>2499</v>
      </c>
      <c r="H3194">
        <v>0.1</v>
      </c>
      <c r="I3194" t="s">
        <v>47</v>
      </c>
      <c r="J3194" t="s">
        <v>51</v>
      </c>
      <c r="K3194" t="s">
        <v>17</v>
      </c>
      <c r="L3194">
        <f>F3193*G3193*(1-H3193)</f>
        <v>1198</v>
      </c>
    </row>
    <row r="3195" spans="1:12">
      <c r="A3195" t="s">
        <v>4011</v>
      </c>
      <c r="B3195" s="1">
        <v>46114</v>
      </c>
      <c r="C3195" t="s">
        <v>896</v>
      </c>
      <c r="D3195" t="s">
        <v>13</v>
      </c>
      <c r="E3195" t="s">
        <v>21</v>
      </c>
      <c r="F3195">
        <v>2</v>
      </c>
      <c r="G3195">
        <v>4999</v>
      </c>
      <c r="H3195">
        <v>0.05</v>
      </c>
      <c r="I3195" t="s">
        <v>15</v>
      </c>
      <c r="J3195" t="s">
        <v>51</v>
      </c>
      <c r="K3195" t="s">
        <v>23</v>
      </c>
      <c r="L3195">
        <f>F3194*G3194*(1-H3194)</f>
        <v>6747.3</v>
      </c>
    </row>
    <row r="3196" spans="1:12">
      <c r="A3196" t="s">
        <v>4012</v>
      </c>
      <c r="B3196" s="1">
        <v>46085</v>
      </c>
      <c r="C3196" t="s">
        <v>1737</v>
      </c>
      <c r="D3196" t="s">
        <v>56</v>
      </c>
      <c r="E3196" t="s">
        <v>35</v>
      </c>
      <c r="F3196">
        <v>4</v>
      </c>
      <c r="G3196">
        <v>4999</v>
      </c>
      <c r="H3196">
        <v>0</v>
      </c>
      <c r="I3196" t="s">
        <v>15</v>
      </c>
      <c r="J3196" t="s">
        <v>16</v>
      </c>
      <c r="K3196" t="s">
        <v>17</v>
      </c>
      <c r="L3196">
        <f>F3195*G3195*(1-H3195)</f>
        <v>9498.1</v>
      </c>
    </row>
    <row r="3197" spans="1:12">
      <c r="A3197" t="s">
        <v>4013</v>
      </c>
      <c r="B3197" s="1">
        <v>46241</v>
      </c>
      <c r="C3197" t="s">
        <v>1083</v>
      </c>
      <c r="D3197" t="s">
        <v>13</v>
      </c>
      <c r="E3197" t="s">
        <v>35</v>
      </c>
      <c r="F3197">
        <v>5</v>
      </c>
      <c r="G3197">
        <v>2499</v>
      </c>
      <c r="H3197">
        <v>0</v>
      </c>
      <c r="I3197" t="s">
        <v>15</v>
      </c>
      <c r="J3197" t="s">
        <v>22</v>
      </c>
      <c r="K3197" t="s">
        <v>23</v>
      </c>
      <c r="L3197">
        <f>F3196*G3196*(1-H3196)</f>
        <v>19996</v>
      </c>
    </row>
    <row r="3198" spans="1:12">
      <c r="A3198" t="s">
        <v>4014</v>
      </c>
      <c r="B3198" s="1">
        <v>46241</v>
      </c>
      <c r="C3198" t="s">
        <v>292</v>
      </c>
      <c r="D3198" t="s">
        <v>20</v>
      </c>
      <c r="E3198" t="s">
        <v>40</v>
      </c>
      <c r="F3198">
        <v>5</v>
      </c>
      <c r="G3198">
        <v>1499</v>
      </c>
      <c r="H3198">
        <v>0</v>
      </c>
      <c r="I3198" t="s">
        <v>15</v>
      </c>
      <c r="J3198" t="s">
        <v>22</v>
      </c>
      <c r="K3198" t="s">
        <v>17</v>
      </c>
      <c r="L3198">
        <f>F3197*G3197*(1-H3197)</f>
        <v>12495</v>
      </c>
    </row>
    <row r="3199" spans="1:12">
      <c r="A3199" t="s">
        <v>4015</v>
      </c>
      <c r="B3199" s="1">
        <v>46129</v>
      </c>
      <c r="C3199" t="s">
        <v>2987</v>
      </c>
      <c r="D3199" t="s">
        <v>71</v>
      </c>
      <c r="E3199" t="s">
        <v>40</v>
      </c>
      <c r="F3199">
        <v>3</v>
      </c>
      <c r="G3199">
        <v>799</v>
      </c>
      <c r="H3199">
        <v>0.05</v>
      </c>
      <c r="I3199" t="s">
        <v>44</v>
      </c>
      <c r="J3199" t="s">
        <v>36</v>
      </c>
      <c r="K3199" t="s">
        <v>17</v>
      </c>
      <c r="L3199">
        <f>F3198*G3198*(1-H3198)</f>
        <v>7495</v>
      </c>
    </row>
    <row r="3200" spans="1:12">
      <c r="A3200" t="s">
        <v>4016</v>
      </c>
      <c r="B3200" s="1">
        <v>46176</v>
      </c>
      <c r="C3200" t="s">
        <v>154</v>
      </c>
      <c r="D3200" t="s">
        <v>78</v>
      </c>
      <c r="E3200" t="s">
        <v>35</v>
      </c>
      <c r="F3200">
        <v>1</v>
      </c>
      <c r="G3200">
        <v>4999</v>
      </c>
      <c r="H3200">
        <v>0</v>
      </c>
      <c r="I3200" t="s">
        <v>44</v>
      </c>
      <c r="J3200" t="s">
        <v>28</v>
      </c>
      <c r="K3200" t="s">
        <v>17</v>
      </c>
      <c r="L3200">
        <f>F3199*G3199*(1-H3199)</f>
        <v>2277.15</v>
      </c>
    </row>
    <row r="3201" spans="1:12">
      <c r="A3201" t="s">
        <v>4017</v>
      </c>
      <c r="B3201" s="1">
        <v>46109</v>
      </c>
      <c r="C3201" t="s">
        <v>408</v>
      </c>
      <c r="D3201" t="s">
        <v>26</v>
      </c>
      <c r="E3201" t="s">
        <v>21</v>
      </c>
      <c r="F3201">
        <v>4</v>
      </c>
      <c r="G3201">
        <v>2499</v>
      </c>
      <c r="H3201">
        <v>0.1</v>
      </c>
      <c r="I3201" t="s">
        <v>15</v>
      </c>
      <c r="J3201" t="s">
        <v>28</v>
      </c>
      <c r="K3201" t="s">
        <v>37</v>
      </c>
      <c r="L3201">
        <f>F3200*G3200*(1-H3200)</f>
        <v>4999</v>
      </c>
    </row>
    <row r="3202" spans="1:12">
      <c r="A3202" t="s">
        <v>4018</v>
      </c>
      <c r="B3202" s="1">
        <v>46080</v>
      </c>
      <c r="C3202" t="s">
        <v>168</v>
      </c>
      <c r="D3202" t="s">
        <v>26</v>
      </c>
      <c r="E3202" t="s">
        <v>27</v>
      </c>
      <c r="F3202">
        <v>1</v>
      </c>
      <c r="G3202">
        <v>1999</v>
      </c>
      <c r="H3202">
        <v>0</v>
      </c>
      <c r="I3202" t="s">
        <v>15</v>
      </c>
      <c r="J3202" t="s">
        <v>51</v>
      </c>
      <c r="K3202" t="s">
        <v>23</v>
      </c>
      <c r="L3202">
        <f>F3201*G3201*(1-H3201)</f>
        <v>8996.4</v>
      </c>
    </row>
    <row r="3203" spans="1:12">
      <c r="A3203" t="s">
        <v>4019</v>
      </c>
      <c r="B3203" s="1">
        <v>46104</v>
      </c>
      <c r="C3203" t="s">
        <v>1013</v>
      </c>
      <c r="D3203" t="s">
        <v>71</v>
      </c>
      <c r="E3203" t="s">
        <v>27</v>
      </c>
      <c r="F3203">
        <v>2</v>
      </c>
      <c r="G3203">
        <v>1299</v>
      </c>
      <c r="H3203">
        <v>0.1</v>
      </c>
      <c r="I3203" t="s">
        <v>15</v>
      </c>
      <c r="J3203" t="s">
        <v>51</v>
      </c>
      <c r="K3203" t="s">
        <v>17</v>
      </c>
      <c r="L3203">
        <f>F3202*G3202*(1-H3202)</f>
        <v>1999</v>
      </c>
    </row>
    <row r="3204" spans="1:12">
      <c r="A3204" t="s">
        <v>4020</v>
      </c>
      <c r="B3204" s="1">
        <v>46158</v>
      </c>
      <c r="C3204" t="s">
        <v>896</v>
      </c>
      <c r="D3204" t="s">
        <v>78</v>
      </c>
      <c r="E3204" t="s">
        <v>27</v>
      </c>
      <c r="F3204">
        <v>1</v>
      </c>
      <c r="G3204">
        <v>599</v>
      </c>
      <c r="H3204">
        <v>0</v>
      </c>
      <c r="I3204" t="s">
        <v>15</v>
      </c>
      <c r="J3204" t="s">
        <v>36</v>
      </c>
      <c r="K3204" t="s">
        <v>17</v>
      </c>
      <c r="L3204">
        <f>F3203*G3203*(1-H3203)</f>
        <v>2338.2000000000003</v>
      </c>
    </row>
    <row r="3205" spans="1:12">
      <c r="A3205" t="s">
        <v>4021</v>
      </c>
      <c r="B3205" s="1">
        <v>46169</v>
      </c>
      <c r="C3205" t="s">
        <v>380</v>
      </c>
      <c r="D3205" t="s">
        <v>62</v>
      </c>
      <c r="E3205" t="s">
        <v>40</v>
      </c>
      <c r="F3205">
        <v>3</v>
      </c>
      <c r="G3205">
        <v>1499</v>
      </c>
      <c r="H3205">
        <v>0</v>
      </c>
      <c r="I3205" t="s">
        <v>47</v>
      </c>
      <c r="J3205" t="s">
        <v>22</v>
      </c>
      <c r="K3205" t="s">
        <v>17</v>
      </c>
      <c r="L3205">
        <f>F3204*G3204*(1-H3204)</f>
        <v>599</v>
      </c>
    </row>
    <row r="3206" spans="1:12">
      <c r="A3206" t="s">
        <v>4022</v>
      </c>
      <c r="B3206" s="1">
        <v>46213</v>
      </c>
      <c r="C3206" t="s">
        <v>3622</v>
      </c>
      <c r="D3206" t="s">
        <v>13</v>
      </c>
      <c r="E3206" t="s">
        <v>27</v>
      </c>
      <c r="F3206">
        <v>5</v>
      </c>
      <c r="G3206">
        <v>499</v>
      </c>
      <c r="H3206">
        <v>0.1</v>
      </c>
      <c r="I3206" t="s">
        <v>15</v>
      </c>
      <c r="J3206" t="s">
        <v>36</v>
      </c>
      <c r="K3206" t="s">
        <v>17</v>
      </c>
      <c r="L3206">
        <f>F3205*G3205*(1-H3205)</f>
        <v>4497</v>
      </c>
    </row>
    <row r="3207" spans="1:12">
      <c r="A3207" t="s">
        <v>4023</v>
      </c>
      <c r="B3207" s="1">
        <v>46122</v>
      </c>
      <c r="C3207" t="s">
        <v>456</v>
      </c>
      <c r="D3207" t="s">
        <v>31</v>
      </c>
      <c r="E3207" t="s">
        <v>27</v>
      </c>
      <c r="F3207">
        <v>2</v>
      </c>
      <c r="G3207">
        <v>1499</v>
      </c>
      <c r="H3207">
        <v>0</v>
      </c>
      <c r="I3207" t="s">
        <v>15</v>
      </c>
      <c r="J3207" t="s">
        <v>51</v>
      </c>
      <c r="K3207" t="s">
        <v>23</v>
      </c>
      <c r="L3207">
        <f>F3206*G3206*(1-H3206)</f>
        <v>2245.5</v>
      </c>
    </row>
    <row r="3208" spans="1:12">
      <c r="A3208" t="s">
        <v>4024</v>
      </c>
      <c r="B3208" s="1">
        <v>46208</v>
      </c>
      <c r="C3208" t="s">
        <v>829</v>
      </c>
      <c r="D3208" t="s">
        <v>31</v>
      </c>
      <c r="E3208" t="s">
        <v>27</v>
      </c>
      <c r="F3208">
        <v>4</v>
      </c>
      <c r="G3208">
        <v>799</v>
      </c>
      <c r="H3208">
        <v>0.1</v>
      </c>
      <c r="I3208" t="s">
        <v>50</v>
      </c>
      <c r="J3208" t="s">
        <v>28</v>
      </c>
      <c r="K3208" t="s">
        <v>17</v>
      </c>
      <c r="L3208">
        <f>F3207*G3207*(1-H3207)</f>
        <v>2998</v>
      </c>
    </row>
    <row r="3209" spans="1:12">
      <c r="A3209" t="s">
        <v>4025</v>
      </c>
      <c r="B3209" s="1">
        <v>46105</v>
      </c>
      <c r="C3209" t="s">
        <v>253</v>
      </c>
      <c r="D3209" t="s">
        <v>71</v>
      </c>
      <c r="E3209" t="s">
        <v>27</v>
      </c>
      <c r="F3209">
        <v>2</v>
      </c>
      <c r="G3209">
        <v>1999</v>
      </c>
      <c r="H3209">
        <v>0.15</v>
      </c>
      <c r="I3209" t="s">
        <v>44</v>
      </c>
      <c r="J3209" t="s">
        <v>22</v>
      </c>
      <c r="K3209" t="s">
        <v>17</v>
      </c>
      <c r="L3209">
        <f>F3208*G3208*(1-H3208)</f>
        <v>2876.4</v>
      </c>
    </row>
    <row r="3210" spans="1:12">
      <c r="A3210" t="s">
        <v>4026</v>
      </c>
      <c r="B3210" s="1">
        <v>46235</v>
      </c>
      <c r="C3210" t="s">
        <v>1165</v>
      </c>
      <c r="D3210" t="s">
        <v>71</v>
      </c>
      <c r="E3210" t="s">
        <v>35</v>
      </c>
      <c r="F3210">
        <v>2</v>
      </c>
      <c r="G3210">
        <v>999</v>
      </c>
      <c r="H3210">
        <v>0.1</v>
      </c>
      <c r="I3210" t="s">
        <v>47</v>
      </c>
      <c r="J3210" t="s">
        <v>36</v>
      </c>
      <c r="K3210" t="s">
        <v>23</v>
      </c>
      <c r="L3210">
        <f>F3209*G3209*(1-H3209)</f>
        <v>3398.2999999999997</v>
      </c>
    </row>
    <row r="3211" spans="1:12">
      <c r="A3211" t="s">
        <v>4027</v>
      </c>
      <c r="B3211" s="1">
        <v>46036</v>
      </c>
      <c r="C3211" t="s">
        <v>245</v>
      </c>
      <c r="D3211" t="s">
        <v>43</v>
      </c>
      <c r="E3211" t="s">
        <v>14</v>
      </c>
      <c r="F3211">
        <v>3</v>
      </c>
      <c r="G3211">
        <v>999</v>
      </c>
      <c r="H3211">
        <v>0</v>
      </c>
      <c r="I3211" t="s">
        <v>47</v>
      </c>
      <c r="J3211" t="s">
        <v>36</v>
      </c>
      <c r="K3211" t="s">
        <v>23</v>
      </c>
      <c r="L3211">
        <f>F3210*G3210*(1-H3210)</f>
        <v>1798.2</v>
      </c>
    </row>
    <row r="3212" spans="1:12">
      <c r="A3212" t="s">
        <v>4028</v>
      </c>
      <c r="B3212" s="1">
        <v>46249</v>
      </c>
      <c r="C3212" t="s">
        <v>2735</v>
      </c>
      <c r="D3212" t="s">
        <v>20</v>
      </c>
      <c r="E3212" t="s">
        <v>27</v>
      </c>
      <c r="F3212">
        <v>3</v>
      </c>
      <c r="G3212">
        <v>799</v>
      </c>
      <c r="H3212">
        <v>0.1</v>
      </c>
      <c r="I3212" t="s">
        <v>47</v>
      </c>
      <c r="J3212" t="s">
        <v>22</v>
      </c>
      <c r="K3212" t="s">
        <v>17</v>
      </c>
      <c r="L3212">
        <f>F3211*G3211*(1-H3211)</f>
        <v>2997</v>
      </c>
    </row>
    <row r="3213" spans="1:12">
      <c r="A3213" t="s">
        <v>4029</v>
      </c>
      <c r="B3213" s="1">
        <v>46134</v>
      </c>
      <c r="C3213" t="s">
        <v>1340</v>
      </c>
      <c r="D3213" t="s">
        <v>20</v>
      </c>
      <c r="E3213" t="s">
        <v>27</v>
      </c>
      <c r="F3213">
        <v>5</v>
      </c>
      <c r="G3213">
        <v>1499</v>
      </c>
      <c r="H3213">
        <v>0.05</v>
      </c>
      <c r="I3213" t="s">
        <v>44</v>
      </c>
      <c r="J3213" t="s">
        <v>16</v>
      </c>
      <c r="K3213" t="s">
        <v>17</v>
      </c>
      <c r="L3213">
        <f>F3212*G3212*(1-H3212)</f>
        <v>2157.3000000000002</v>
      </c>
    </row>
    <row r="3214" spans="1:12">
      <c r="A3214" t="s">
        <v>4030</v>
      </c>
      <c r="B3214" s="1">
        <v>46047</v>
      </c>
      <c r="C3214" t="s">
        <v>1750</v>
      </c>
      <c r="D3214" t="s">
        <v>13</v>
      </c>
      <c r="E3214" t="s">
        <v>14</v>
      </c>
      <c r="F3214">
        <v>3</v>
      </c>
      <c r="G3214">
        <v>2499</v>
      </c>
      <c r="H3214">
        <v>0.15</v>
      </c>
      <c r="I3214" t="s">
        <v>47</v>
      </c>
      <c r="J3214" t="s">
        <v>51</v>
      </c>
      <c r="K3214" t="s">
        <v>17</v>
      </c>
      <c r="L3214">
        <f>F3213*G3213*(1-H3213)</f>
        <v>7120.25</v>
      </c>
    </row>
    <row r="3215" spans="1:12">
      <c r="A3215" t="s">
        <v>4031</v>
      </c>
      <c r="B3215" s="1">
        <v>46089</v>
      </c>
      <c r="C3215" t="s">
        <v>502</v>
      </c>
      <c r="D3215" t="s">
        <v>56</v>
      </c>
      <c r="E3215" t="s">
        <v>40</v>
      </c>
      <c r="F3215">
        <v>2</v>
      </c>
      <c r="G3215">
        <v>1999</v>
      </c>
      <c r="H3215">
        <v>0.05</v>
      </c>
      <c r="I3215" t="s">
        <v>32</v>
      </c>
      <c r="J3215" t="s">
        <v>22</v>
      </c>
      <c r="K3215" t="s">
        <v>17</v>
      </c>
      <c r="L3215">
        <f>F3214*G3214*(1-H3214)</f>
        <v>6372.45</v>
      </c>
    </row>
    <row r="3216" spans="1:12">
      <c r="A3216" t="s">
        <v>4032</v>
      </c>
      <c r="B3216" s="1">
        <v>46147</v>
      </c>
      <c r="C3216" t="s">
        <v>1572</v>
      </c>
      <c r="D3216" t="s">
        <v>71</v>
      </c>
      <c r="E3216" t="s">
        <v>27</v>
      </c>
      <c r="F3216">
        <v>2</v>
      </c>
      <c r="G3216">
        <v>4999</v>
      </c>
      <c r="H3216">
        <v>0</v>
      </c>
      <c r="I3216" t="s">
        <v>32</v>
      </c>
      <c r="J3216" t="s">
        <v>28</v>
      </c>
      <c r="K3216" t="s">
        <v>37</v>
      </c>
      <c r="L3216">
        <f>F3215*G3215*(1-H3215)</f>
        <v>3798.1</v>
      </c>
    </row>
    <row r="3217" spans="1:12">
      <c r="A3217" t="s">
        <v>4033</v>
      </c>
      <c r="B3217" s="1">
        <v>46060</v>
      </c>
      <c r="C3217" t="s">
        <v>703</v>
      </c>
      <c r="D3217" t="s">
        <v>62</v>
      </c>
      <c r="E3217" t="s">
        <v>35</v>
      </c>
      <c r="F3217">
        <v>3</v>
      </c>
      <c r="G3217">
        <v>7999</v>
      </c>
      <c r="H3217">
        <v>0.15</v>
      </c>
      <c r="I3217" t="s">
        <v>50</v>
      </c>
      <c r="J3217" t="s">
        <v>36</v>
      </c>
      <c r="K3217" t="s">
        <v>17</v>
      </c>
      <c r="L3217">
        <f>F3216*G3216*(1-H3216)</f>
        <v>9998</v>
      </c>
    </row>
    <row r="3218" spans="1:12">
      <c r="A3218" t="s">
        <v>4034</v>
      </c>
      <c r="B3218" s="1">
        <v>46283</v>
      </c>
      <c r="C3218" t="s">
        <v>1259</v>
      </c>
      <c r="D3218" t="s">
        <v>56</v>
      </c>
      <c r="E3218" t="s">
        <v>14</v>
      </c>
      <c r="F3218">
        <v>2</v>
      </c>
      <c r="G3218">
        <v>4999</v>
      </c>
      <c r="H3218">
        <v>0</v>
      </c>
      <c r="I3218" t="s">
        <v>32</v>
      </c>
      <c r="J3218" t="s">
        <v>22</v>
      </c>
      <c r="K3218" t="s">
        <v>17</v>
      </c>
      <c r="L3218">
        <f>F3217*G3217*(1-H3217)</f>
        <v>20397.45</v>
      </c>
    </row>
    <row r="3219" spans="1:12">
      <c r="A3219" t="s">
        <v>4035</v>
      </c>
      <c r="B3219" s="1">
        <v>46149</v>
      </c>
      <c r="C3219" t="s">
        <v>285</v>
      </c>
      <c r="D3219" t="s">
        <v>78</v>
      </c>
      <c r="E3219" t="s">
        <v>14</v>
      </c>
      <c r="F3219">
        <v>3</v>
      </c>
      <c r="G3219">
        <v>599</v>
      </c>
      <c r="H3219">
        <v>0.1</v>
      </c>
      <c r="I3219" t="s">
        <v>44</v>
      </c>
      <c r="J3219" t="s">
        <v>16</v>
      </c>
      <c r="K3219" t="s">
        <v>37</v>
      </c>
      <c r="L3219">
        <f>F3218*G3218*(1-H3218)</f>
        <v>9998</v>
      </c>
    </row>
    <row r="3220" spans="1:12">
      <c r="A3220" t="s">
        <v>4036</v>
      </c>
      <c r="B3220" s="1">
        <v>46033</v>
      </c>
      <c r="C3220" t="s">
        <v>1340</v>
      </c>
      <c r="D3220" t="s">
        <v>56</v>
      </c>
      <c r="E3220" t="s">
        <v>35</v>
      </c>
      <c r="F3220">
        <v>1</v>
      </c>
      <c r="G3220">
        <v>799</v>
      </c>
      <c r="H3220">
        <v>0.1</v>
      </c>
      <c r="I3220" t="s">
        <v>15</v>
      </c>
      <c r="J3220" t="s">
        <v>22</v>
      </c>
      <c r="K3220" t="s">
        <v>17</v>
      </c>
      <c r="L3220">
        <f>F3219*G3219*(1-H3219)</f>
        <v>1617.3</v>
      </c>
    </row>
    <row r="3221" spans="1:12">
      <c r="A3221" t="s">
        <v>4037</v>
      </c>
      <c r="B3221" s="1">
        <v>46164</v>
      </c>
      <c r="C3221" t="s">
        <v>796</v>
      </c>
      <c r="D3221" t="s">
        <v>13</v>
      </c>
      <c r="E3221" t="s">
        <v>14</v>
      </c>
      <c r="F3221">
        <v>4</v>
      </c>
      <c r="G3221">
        <v>4999</v>
      </c>
      <c r="H3221">
        <v>0.05</v>
      </c>
      <c r="I3221" t="s">
        <v>15</v>
      </c>
      <c r="J3221" t="s">
        <v>51</v>
      </c>
      <c r="K3221" t="s">
        <v>17</v>
      </c>
      <c r="L3221">
        <f>F3220*G3220*(1-H3220)</f>
        <v>719.1</v>
      </c>
    </row>
    <row r="3222" spans="1:12">
      <c r="A3222" t="s">
        <v>4038</v>
      </c>
      <c r="B3222" s="1">
        <v>46065</v>
      </c>
      <c r="C3222" t="s">
        <v>460</v>
      </c>
      <c r="D3222" t="s">
        <v>20</v>
      </c>
      <c r="E3222" t="s">
        <v>27</v>
      </c>
      <c r="F3222">
        <v>3</v>
      </c>
      <c r="G3222">
        <v>4999</v>
      </c>
      <c r="H3222">
        <v>0.1</v>
      </c>
      <c r="I3222" t="s">
        <v>15</v>
      </c>
      <c r="J3222" t="s">
        <v>28</v>
      </c>
      <c r="K3222" t="s">
        <v>17</v>
      </c>
      <c r="L3222">
        <f>F3221*G3221*(1-H3221)</f>
        <v>18996.2</v>
      </c>
    </row>
    <row r="3223" spans="1:12">
      <c r="A3223" t="s">
        <v>4039</v>
      </c>
      <c r="B3223" s="1">
        <v>46244</v>
      </c>
      <c r="C3223" t="s">
        <v>1895</v>
      </c>
      <c r="D3223" t="s">
        <v>71</v>
      </c>
      <c r="E3223" t="s">
        <v>27</v>
      </c>
      <c r="F3223">
        <v>5</v>
      </c>
      <c r="G3223">
        <v>2499</v>
      </c>
      <c r="H3223">
        <v>0</v>
      </c>
      <c r="I3223" t="s">
        <v>50</v>
      </c>
      <c r="J3223" t="s">
        <v>16</v>
      </c>
      <c r="K3223" t="s">
        <v>37</v>
      </c>
      <c r="L3223">
        <f>F3222*G3222*(1-H3222)</f>
        <v>13497.300000000001</v>
      </c>
    </row>
    <row r="3224" spans="1:12">
      <c r="A3224" t="s">
        <v>4040</v>
      </c>
      <c r="B3224" s="1">
        <v>46165</v>
      </c>
      <c r="C3224" t="s">
        <v>1220</v>
      </c>
      <c r="D3224" t="s">
        <v>20</v>
      </c>
      <c r="E3224" t="s">
        <v>35</v>
      </c>
      <c r="F3224">
        <v>3</v>
      </c>
      <c r="G3224">
        <v>499</v>
      </c>
      <c r="H3224">
        <v>0.15</v>
      </c>
      <c r="I3224" t="s">
        <v>15</v>
      </c>
      <c r="J3224" t="s">
        <v>51</v>
      </c>
      <c r="K3224" t="s">
        <v>37</v>
      </c>
      <c r="L3224">
        <f>F3223*G3223*(1-H3223)</f>
        <v>12495</v>
      </c>
    </row>
    <row r="3225" spans="1:12">
      <c r="A3225" t="s">
        <v>4041</v>
      </c>
      <c r="B3225" s="1">
        <v>46156</v>
      </c>
      <c r="C3225" t="s">
        <v>1716</v>
      </c>
      <c r="D3225" t="s">
        <v>13</v>
      </c>
      <c r="E3225" t="s">
        <v>40</v>
      </c>
      <c r="F3225">
        <v>4</v>
      </c>
      <c r="G3225">
        <v>799</v>
      </c>
      <c r="H3225">
        <v>0</v>
      </c>
      <c r="I3225" t="s">
        <v>15</v>
      </c>
      <c r="J3225" t="s">
        <v>16</v>
      </c>
      <c r="K3225" t="s">
        <v>17</v>
      </c>
      <c r="L3225">
        <f>F3224*G3224*(1-H3224)</f>
        <v>1272.45</v>
      </c>
    </row>
    <row r="3226" spans="1:12">
      <c r="A3226" t="s">
        <v>4042</v>
      </c>
      <c r="B3226" s="1">
        <v>46191</v>
      </c>
      <c r="C3226" t="s">
        <v>1083</v>
      </c>
      <c r="D3226" t="s">
        <v>62</v>
      </c>
      <c r="E3226" t="s">
        <v>27</v>
      </c>
      <c r="F3226">
        <v>5</v>
      </c>
      <c r="G3226">
        <v>1299</v>
      </c>
      <c r="H3226">
        <v>0.05</v>
      </c>
      <c r="I3226" t="s">
        <v>15</v>
      </c>
      <c r="J3226" t="s">
        <v>28</v>
      </c>
      <c r="K3226" t="s">
        <v>37</v>
      </c>
      <c r="L3226">
        <f>F3225*G3225*(1-H3225)</f>
        <v>3196</v>
      </c>
    </row>
    <row r="3227" spans="1:12">
      <c r="A3227" t="s">
        <v>4043</v>
      </c>
      <c r="B3227" s="1">
        <v>46149</v>
      </c>
      <c r="C3227" t="s">
        <v>158</v>
      </c>
      <c r="D3227" t="s">
        <v>26</v>
      </c>
      <c r="E3227" t="s">
        <v>27</v>
      </c>
      <c r="F3227">
        <v>1</v>
      </c>
      <c r="G3227">
        <v>799</v>
      </c>
      <c r="H3227">
        <v>0</v>
      </c>
      <c r="I3227" t="s">
        <v>47</v>
      </c>
      <c r="J3227" t="s">
        <v>22</v>
      </c>
      <c r="K3227" t="s">
        <v>37</v>
      </c>
      <c r="L3227">
        <f>F3226*G3226*(1-H3226)</f>
        <v>6170.25</v>
      </c>
    </row>
    <row r="3228" spans="1:12">
      <c r="A3228" t="s">
        <v>4044</v>
      </c>
      <c r="B3228" s="1">
        <v>46134</v>
      </c>
      <c r="C3228" t="s">
        <v>94</v>
      </c>
      <c r="D3228" t="s">
        <v>78</v>
      </c>
      <c r="E3228" t="s">
        <v>40</v>
      </c>
      <c r="F3228">
        <v>3</v>
      </c>
      <c r="G3228">
        <v>1999</v>
      </c>
      <c r="H3228">
        <v>0.1</v>
      </c>
      <c r="I3228" t="s">
        <v>44</v>
      </c>
      <c r="J3228" t="s">
        <v>36</v>
      </c>
      <c r="K3228" t="s">
        <v>37</v>
      </c>
      <c r="L3228">
        <f>F3227*G3227*(1-H3227)</f>
        <v>799</v>
      </c>
    </row>
    <row r="3229" spans="1:12">
      <c r="A3229" t="s">
        <v>4045</v>
      </c>
      <c r="B3229" s="1">
        <v>46085</v>
      </c>
      <c r="C3229" t="s">
        <v>219</v>
      </c>
      <c r="D3229" t="s">
        <v>31</v>
      </c>
      <c r="E3229" t="s">
        <v>40</v>
      </c>
      <c r="F3229">
        <v>1</v>
      </c>
      <c r="G3229">
        <v>1299</v>
      </c>
      <c r="H3229">
        <v>0.05</v>
      </c>
      <c r="I3229" t="s">
        <v>44</v>
      </c>
      <c r="J3229" t="s">
        <v>51</v>
      </c>
      <c r="K3229" t="s">
        <v>17</v>
      </c>
      <c r="L3229">
        <f>F3228*G3228*(1-H3228)</f>
        <v>5397.3</v>
      </c>
    </row>
    <row r="3230" spans="1:12">
      <c r="A3230" t="s">
        <v>4046</v>
      </c>
      <c r="B3230" s="1">
        <v>46046</v>
      </c>
      <c r="C3230" t="s">
        <v>3950</v>
      </c>
      <c r="D3230" t="s">
        <v>13</v>
      </c>
      <c r="E3230" t="s">
        <v>21</v>
      </c>
      <c r="F3230">
        <v>3</v>
      </c>
      <c r="G3230">
        <v>4999</v>
      </c>
      <c r="H3230">
        <v>0.05</v>
      </c>
      <c r="I3230" t="s">
        <v>32</v>
      </c>
      <c r="J3230" t="s">
        <v>16</v>
      </c>
      <c r="K3230" t="s">
        <v>17</v>
      </c>
      <c r="L3230">
        <f>F3229*G3229*(1-H3229)</f>
        <v>1234.05</v>
      </c>
    </row>
    <row r="3231" spans="1:12">
      <c r="A3231" t="s">
        <v>4047</v>
      </c>
      <c r="B3231" s="1">
        <v>46285</v>
      </c>
      <c r="C3231" t="s">
        <v>162</v>
      </c>
      <c r="D3231" t="s">
        <v>13</v>
      </c>
      <c r="E3231" t="s">
        <v>21</v>
      </c>
      <c r="F3231">
        <v>3</v>
      </c>
      <c r="G3231">
        <v>599</v>
      </c>
      <c r="H3231">
        <v>0.15</v>
      </c>
      <c r="I3231" t="s">
        <v>44</v>
      </c>
      <c r="J3231" t="s">
        <v>51</v>
      </c>
      <c r="K3231" t="s">
        <v>23</v>
      </c>
      <c r="L3231">
        <f>F3230*G3230*(1-H3230)</f>
        <v>14247.15</v>
      </c>
    </row>
    <row r="3232" spans="1:12">
      <c r="A3232" t="s">
        <v>4048</v>
      </c>
      <c r="B3232" s="1">
        <v>46294</v>
      </c>
      <c r="C3232" t="s">
        <v>2353</v>
      </c>
      <c r="D3232" t="s">
        <v>56</v>
      </c>
      <c r="E3232" t="s">
        <v>35</v>
      </c>
      <c r="F3232">
        <v>5</v>
      </c>
      <c r="G3232">
        <v>799</v>
      </c>
      <c r="H3232">
        <v>0</v>
      </c>
      <c r="I3232" t="s">
        <v>15</v>
      </c>
      <c r="J3232" t="s">
        <v>51</v>
      </c>
      <c r="K3232" t="s">
        <v>17</v>
      </c>
      <c r="L3232">
        <f>F3231*G3231*(1-H3231)</f>
        <v>1527.45</v>
      </c>
    </row>
    <row r="3233" spans="1:12">
      <c r="A3233" t="s">
        <v>4049</v>
      </c>
      <c r="B3233" s="1">
        <v>46277</v>
      </c>
      <c r="C3233" t="s">
        <v>96</v>
      </c>
      <c r="D3233" t="s">
        <v>78</v>
      </c>
      <c r="E3233" t="s">
        <v>35</v>
      </c>
      <c r="F3233">
        <v>4</v>
      </c>
      <c r="G3233">
        <v>999</v>
      </c>
      <c r="H3233">
        <v>0</v>
      </c>
      <c r="I3233" t="s">
        <v>44</v>
      </c>
      <c r="J3233" t="s">
        <v>36</v>
      </c>
      <c r="K3233" t="s">
        <v>37</v>
      </c>
      <c r="L3233">
        <f>F3232*G3232*(1-H3232)</f>
        <v>3995</v>
      </c>
    </row>
    <row r="3234" spans="1:12">
      <c r="A3234" t="s">
        <v>4050</v>
      </c>
      <c r="B3234" s="1">
        <v>46163</v>
      </c>
      <c r="C3234" t="s">
        <v>1034</v>
      </c>
      <c r="D3234" t="s">
        <v>71</v>
      </c>
      <c r="E3234" t="s">
        <v>27</v>
      </c>
      <c r="F3234">
        <v>3</v>
      </c>
      <c r="G3234">
        <v>1299</v>
      </c>
      <c r="H3234">
        <v>0.1</v>
      </c>
      <c r="I3234" t="s">
        <v>32</v>
      </c>
      <c r="J3234" t="s">
        <v>22</v>
      </c>
      <c r="K3234" t="s">
        <v>37</v>
      </c>
      <c r="L3234">
        <f>F3233*G3233*(1-H3233)</f>
        <v>3996</v>
      </c>
    </row>
    <row r="3235" spans="1:12">
      <c r="A3235" t="s">
        <v>4051</v>
      </c>
      <c r="B3235" s="1">
        <v>46171</v>
      </c>
      <c r="C3235" t="s">
        <v>481</v>
      </c>
      <c r="D3235" t="s">
        <v>31</v>
      </c>
      <c r="E3235" t="s">
        <v>27</v>
      </c>
      <c r="F3235">
        <v>5</v>
      </c>
      <c r="G3235">
        <v>499</v>
      </c>
      <c r="H3235">
        <v>0.05</v>
      </c>
      <c r="I3235" t="s">
        <v>15</v>
      </c>
      <c r="J3235" t="s">
        <v>22</v>
      </c>
      <c r="K3235" t="s">
        <v>17</v>
      </c>
      <c r="L3235">
        <f>F3234*G3234*(1-H3234)</f>
        <v>3507.3</v>
      </c>
    </row>
    <row r="3236" spans="1:12">
      <c r="A3236" t="s">
        <v>4052</v>
      </c>
      <c r="B3236" s="1">
        <v>46252</v>
      </c>
      <c r="C3236" t="s">
        <v>1218</v>
      </c>
      <c r="D3236" t="s">
        <v>31</v>
      </c>
      <c r="E3236" t="s">
        <v>35</v>
      </c>
      <c r="F3236">
        <v>1</v>
      </c>
      <c r="G3236">
        <v>1999</v>
      </c>
      <c r="H3236">
        <v>0.1</v>
      </c>
      <c r="I3236" t="s">
        <v>32</v>
      </c>
      <c r="J3236" t="s">
        <v>28</v>
      </c>
      <c r="K3236" t="s">
        <v>23</v>
      </c>
      <c r="L3236">
        <f>F3235*G3235*(1-H3235)</f>
        <v>2370.25</v>
      </c>
    </row>
    <row r="3237" spans="1:12">
      <c r="A3237" t="s">
        <v>4053</v>
      </c>
      <c r="B3237" s="1">
        <v>46250</v>
      </c>
      <c r="C3237" t="s">
        <v>1083</v>
      </c>
      <c r="D3237" t="s">
        <v>71</v>
      </c>
      <c r="E3237" t="s">
        <v>40</v>
      </c>
      <c r="F3237">
        <v>4</v>
      </c>
      <c r="G3237">
        <v>999</v>
      </c>
      <c r="H3237">
        <v>0</v>
      </c>
      <c r="I3237" t="s">
        <v>47</v>
      </c>
      <c r="J3237" t="s">
        <v>16</v>
      </c>
      <c r="K3237" t="s">
        <v>23</v>
      </c>
      <c r="L3237">
        <f>F3236*G3236*(1-H3236)</f>
        <v>1799.1000000000001</v>
      </c>
    </row>
    <row r="3238" spans="1:12">
      <c r="A3238" t="s">
        <v>4054</v>
      </c>
      <c r="B3238" s="1">
        <v>46160</v>
      </c>
      <c r="C3238" t="s">
        <v>219</v>
      </c>
      <c r="D3238" t="s">
        <v>43</v>
      </c>
      <c r="E3238" t="s">
        <v>35</v>
      </c>
      <c r="F3238">
        <v>1</v>
      </c>
      <c r="G3238">
        <v>2499</v>
      </c>
      <c r="H3238">
        <v>0.15</v>
      </c>
      <c r="I3238" t="s">
        <v>47</v>
      </c>
      <c r="J3238" t="s">
        <v>16</v>
      </c>
      <c r="K3238" t="s">
        <v>17</v>
      </c>
      <c r="L3238">
        <f>F3237*G3237*(1-H3237)</f>
        <v>3996</v>
      </c>
    </row>
    <row r="3239" spans="1:12">
      <c r="A3239" t="s">
        <v>4055</v>
      </c>
      <c r="B3239" s="1">
        <v>46150</v>
      </c>
      <c r="C3239" t="s">
        <v>910</v>
      </c>
      <c r="D3239" t="s">
        <v>20</v>
      </c>
      <c r="E3239" t="s">
        <v>40</v>
      </c>
      <c r="F3239">
        <v>5</v>
      </c>
      <c r="G3239">
        <v>4999</v>
      </c>
      <c r="H3239">
        <v>0</v>
      </c>
      <c r="I3239" t="s">
        <v>44</v>
      </c>
      <c r="J3239" t="s">
        <v>22</v>
      </c>
      <c r="K3239" t="s">
        <v>37</v>
      </c>
      <c r="L3239">
        <f>F3238*G3238*(1-H3238)</f>
        <v>2124.15</v>
      </c>
    </row>
    <row r="3240" spans="1:12">
      <c r="A3240" t="s">
        <v>4056</v>
      </c>
      <c r="B3240" s="1">
        <v>46128</v>
      </c>
      <c r="C3240" t="s">
        <v>392</v>
      </c>
      <c r="D3240" t="s">
        <v>43</v>
      </c>
      <c r="E3240" t="s">
        <v>14</v>
      </c>
      <c r="F3240">
        <v>1</v>
      </c>
      <c r="G3240">
        <v>4999</v>
      </c>
      <c r="H3240">
        <v>0.1</v>
      </c>
      <c r="I3240" t="s">
        <v>47</v>
      </c>
      <c r="J3240" t="s">
        <v>28</v>
      </c>
      <c r="K3240" t="s">
        <v>23</v>
      </c>
      <c r="L3240">
        <f>F3239*G3239*(1-H3239)</f>
        <v>24995</v>
      </c>
    </row>
    <row r="3241" spans="1:12">
      <c r="A3241" t="s">
        <v>4057</v>
      </c>
      <c r="B3241" s="1">
        <v>46190</v>
      </c>
      <c r="C3241" t="s">
        <v>271</v>
      </c>
      <c r="D3241" t="s">
        <v>31</v>
      </c>
      <c r="E3241" t="s">
        <v>21</v>
      </c>
      <c r="F3241">
        <v>5</v>
      </c>
      <c r="G3241">
        <v>7999</v>
      </c>
      <c r="H3241">
        <v>0.1</v>
      </c>
      <c r="I3241" t="s">
        <v>44</v>
      </c>
      <c r="J3241" t="s">
        <v>22</v>
      </c>
      <c r="K3241" t="s">
        <v>17</v>
      </c>
      <c r="L3241">
        <f>F3240*G3240*(1-H3240)</f>
        <v>4499.1000000000004</v>
      </c>
    </row>
    <row r="3242" spans="1:12">
      <c r="A3242" t="s">
        <v>4058</v>
      </c>
      <c r="B3242" s="1">
        <v>46133</v>
      </c>
      <c r="C3242" t="s">
        <v>2701</v>
      </c>
      <c r="D3242" t="s">
        <v>43</v>
      </c>
      <c r="E3242" t="s">
        <v>35</v>
      </c>
      <c r="F3242">
        <v>3</v>
      </c>
      <c r="G3242">
        <v>1999</v>
      </c>
      <c r="H3242">
        <v>0</v>
      </c>
      <c r="I3242" t="s">
        <v>50</v>
      </c>
      <c r="J3242" t="s">
        <v>28</v>
      </c>
      <c r="K3242" t="s">
        <v>17</v>
      </c>
      <c r="L3242">
        <f>F3241*G3241*(1-H3241)</f>
        <v>35995.5</v>
      </c>
    </row>
    <row r="3243" spans="1:12">
      <c r="A3243" t="s">
        <v>4059</v>
      </c>
      <c r="B3243" s="1">
        <v>46050</v>
      </c>
      <c r="C3243" t="s">
        <v>90</v>
      </c>
      <c r="D3243" t="s">
        <v>31</v>
      </c>
      <c r="E3243" t="s">
        <v>40</v>
      </c>
      <c r="F3243">
        <v>2</v>
      </c>
      <c r="G3243">
        <v>999</v>
      </c>
      <c r="H3243">
        <v>0</v>
      </c>
      <c r="I3243" t="s">
        <v>47</v>
      </c>
      <c r="J3243" t="s">
        <v>36</v>
      </c>
      <c r="K3243" t="s">
        <v>17</v>
      </c>
      <c r="L3243">
        <f>F3242*G3242*(1-H3242)</f>
        <v>5997</v>
      </c>
    </row>
    <row r="3244" spans="1:12">
      <c r="A3244" t="s">
        <v>4060</v>
      </c>
      <c r="B3244" s="1">
        <v>46089</v>
      </c>
      <c r="C3244" t="s">
        <v>575</v>
      </c>
      <c r="D3244" t="s">
        <v>78</v>
      </c>
      <c r="E3244" t="s">
        <v>27</v>
      </c>
      <c r="F3244">
        <v>4</v>
      </c>
      <c r="G3244">
        <v>7999</v>
      </c>
      <c r="H3244">
        <v>0.05</v>
      </c>
      <c r="I3244" t="s">
        <v>32</v>
      </c>
      <c r="J3244" t="s">
        <v>51</v>
      </c>
      <c r="K3244" t="s">
        <v>23</v>
      </c>
      <c r="L3244">
        <f>F3243*G3243*(1-H3243)</f>
        <v>1998</v>
      </c>
    </row>
    <row r="3245" spans="1:12">
      <c r="A3245" t="s">
        <v>4061</v>
      </c>
      <c r="B3245" s="1">
        <v>46072</v>
      </c>
      <c r="C3245" t="s">
        <v>197</v>
      </c>
      <c r="D3245" t="s">
        <v>71</v>
      </c>
      <c r="E3245" t="s">
        <v>35</v>
      </c>
      <c r="F3245">
        <v>1</v>
      </c>
      <c r="G3245">
        <v>599</v>
      </c>
      <c r="H3245">
        <v>0</v>
      </c>
      <c r="I3245" t="s">
        <v>44</v>
      </c>
      <c r="J3245" t="s">
        <v>51</v>
      </c>
      <c r="K3245" t="s">
        <v>23</v>
      </c>
      <c r="L3245">
        <f>F3244*G3244*(1-H3244)</f>
        <v>30396.199999999997</v>
      </c>
    </row>
    <row r="3246" spans="1:12">
      <c r="A3246" t="s">
        <v>4062</v>
      </c>
      <c r="B3246" s="1">
        <v>46111</v>
      </c>
      <c r="C3246" t="s">
        <v>289</v>
      </c>
      <c r="D3246" t="s">
        <v>13</v>
      </c>
      <c r="E3246" t="s">
        <v>14</v>
      </c>
      <c r="F3246">
        <v>2</v>
      </c>
      <c r="G3246">
        <v>799</v>
      </c>
      <c r="H3246">
        <v>0</v>
      </c>
      <c r="I3246" t="s">
        <v>50</v>
      </c>
      <c r="J3246" t="s">
        <v>36</v>
      </c>
      <c r="K3246" t="s">
        <v>17</v>
      </c>
      <c r="L3246">
        <f>F3245*G3245*(1-H3245)</f>
        <v>599</v>
      </c>
    </row>
    <row r="3247" spans="1:12">
      <c r="A3247" t="s">
        <v>4063</v>
      </c>
      <c r="B3247" s="1">
        <v>46154</v>
      </c>
      <c r="C3247" t="s">
        <v>298</v>
      </c>
      <c r="D3247" t="s">
        <v>31</v>
      </c>
      <c r="E3247" t="s">
        <v>40</v>
      </c>
      <c r="F3247">
        <v>5</v>
      </c>
      <c r="G3247">
        <v>999</v>
      </c>
      <c r="H3247">
        <v>0</v>
      </c>
      <c r="I3247" t="s">
        <v>47</v>
      </c>
      <c r="J3247" t="s">
        <v>16</v>
      </c>
      <c r="K3247" t="s">
        <v>37</v>
      </c>
      <c r="L3247">
        <f>F3246*G3246*(1-H3246)</f>
        <v>1598</v>
      </c>
    </row>
    <row r="3248" spans="1:12">
      <c r="A3248" t="s">
        <v>4064</v>
      </c>
      <c r="B3248" s="1">
        <v>46160</v>
      </c>
      <c r="C3248" t="s">
        <v>1259</v>
      </c>
      <c r="D3248" t="s">
        <v>56</v>
      </c>
      <c r="E3248" t="s">
        <v>21</v>
      </c>
      <c r="F3248">
        <v>5</v>
      </c>
      <c r="G3248">
        <v>2499</v>
      </c>
      <c r="H3248">
        <v>0.05</v>
      </c>
      <c r="I3248" t="s">
        <v>44</v>
      </c>
      <c r="J3248" t="s">
        <v>28</v>
      </c>
      <c r="K3248" t="s">
        <v>17</v>
      </c>
      <c r="L3248">
        <f>F3247*G3247*(1-H3247)</f>
        <v>4995</v>
      </c>
    </row>
    <row r="3249" spans="1:12">
      <c r="A3249" t="s">
        <v>4065</v>
      </c>
      <c r="B3249" s="1">
        <v>46247</v>
      </c>
      <c r="C3249" t="s">
        <v>1675</v>
      </c>
      <c r="D3249" t="s">
        <v>20</v>
      </c>
      <c r="E3249" t="s">
        <v>27</v>
      </c>
      <c r="F3249">
        <v>4</v>
      </c>
      <c r="G3249">
        <v>7999</v>
      </c>
      <c r="H3249">
        <v>0</v>
      </c>
      <c r="I3249" t="s">
        <v>47</v>
      </c>
      <c r="J3249" t="s">
        <v>36</v>
      </c>
      <c r="K3249" t="s">
        <v>23</v>
      </c>
      <c r="L3249">
        <f>F3248*G3248*(1-H3248)</f>
        <v>11870.25</v>
      </c>
    </row>
    <row r="3250" spans="1:12">
      <c r="A3250" t="s">
        <v>4066</v>
      </c>
      <c r="B3250" s="1">
        <v>46113</v>
      </c>
      <c r="C3250" t="s">
        <v>1821</v>
      </c>
      <c r="D3250" t="s">
        <v>31</v>
      </c>
      <c r="E3250" t="s">
        <v>40</v>
      </c>
      <c r="F3250">
        <v>3</v>
      </c>
      <c r="G3250">
        <v>799</v>
      </c>
      <c r="H3250">
        <v>0.05</v>
      </c>
      <c r="I3250" t="s">
        <v>44</v>
      </c>
      <c r="J3250" t="s">
        <v>28</v>
      </c>
      <c r="K3250" t="s">
        <v>17</v>
      </c>
      <c r="L3250">
        <f>F3249*G3249*(1-H3249)</f>
        <v>31996</v>
      </c>
    </row>
    <row r="3251" spans="1:12">
      <c r="A3251" t="s">
        <v>4067</v>
      </c>
      <c r="B3251" s="1">
        <v>46092</v>
      </c>
      <c r="C3251" t="s">
        <v>1551</v>
      </c>
      <c r="D3251" t="s">
        <v>31</v>
      </c>
      <c r="E3251" t="s">
        <v>27</v>
      </c>
      <c r="F3251">
        <v>4</v>
      </c>
      <c r="G3251">
        <v>1299</v>
      </c>
      <c r="H3251">
        <v>0</v>
      </c>
      <c r="I3251" t="s">
        <v>44</v>
      </c>
      <c r="J3251" t="s">
        <v>22</v>
      </c>
      <c r="K3251" t="s">
        <v>37</v>
      </c>
      <c r="L3251">
        <f>F3250*G3250*(1-H3250)</f>
        <v>2277.15</v>
      </c>
    </row>
    <row r="3252" spans="1:12">
      <c r="A3252" t="s">
        <v>4068</v>
      </c>
      <c r="B3252" s="1">
        <v>46292</v>
      </c>
      <c r="C3252" t="s">
        <v>396</v>
      </c>
      <c r="D3252" t="s">
        <v>20</v>
      </c>
      <c r="E3252" t="s">
        <v>21</v>
      </c>
      <c r="F3252">
        <v>2</v>
      </c>
      <c r="G3252">
        <v>7999</v>
      </c>
      <c r="H3252">
        <v>0</v>
      </c>
      <c r="I3252" t="s">
        <v>15</v>
      </c>
      <c r="J3252" t="s">
        <v>36</v>
      </c>
      <c r="K3252" t="s">
        <v>17</v>
      </c>
      <c r="L3252">
        <f>F3251*G3251*(1-H3251)</f>
        <v>5196</v>
      </c>
    </row>
    <row r="3253" spans="1:12">
      <c r="A3253" t="s">
        <v>4069</v>
      </c>
      <c r="B3253" s="1">
        <v>46202</v>
      </c>
      <c r="C3253" t="s">
        <v>3792</v>
      </c>
      <c r="D3253" t="s">
        <v>13</v>
      </c>
      <c r="E3253" t="s">
        <v>40</v>
      </c>
      <c r="F3253">
        <v>4</v>
      </c>
      <c r="G3253">
        <v>799</v>
      </c>
      <c r="H3253">
        <v>0</v>
      </c>
      <c r="I3253" t="s">
        <v>50</v>
      </c>
      <c r="J3253" t="s">
        <v>16</v>
      </c>
      <c r="K3253" t="s">
        <v>37</v>
      </c>
      <c r="L3253">
        <f>F3252*G3252*(1-H3252)</f>
        <v>15998</v>
      </c>
    </row>
    <row r="3254" spans="1:12">
      <c r="A3254" t="s">
        <v>4070</v>
      </c>
      <c r="B3254" s="1">
        <v>46198</v>
      </c>
      <c r="C3254" t="s">
        <v>472</v>
      </c>
      <c r="D3254" t="s">
        <v>13</v>
      </c>
      <c r="E3254" t="s">
        <v>40</v>
      </c>
      <c r="F3254">
        <v>2</v>
      </c>
      <c r="G3254">
        <v>799</v>
      </c>
      <c r="H3254">
        <v>0.05</v>
      </c>
      <c r="I3254" t="s">
        <v>50</v>
      </c>
      <c r="J3254" t="s">
        <v>28</v>
      </c>
      <c r="K3254" t="s">
        <v>17</v>
      </c>
      <c r="L3254">
        <f>F3253*G3253*(1-H3253)</f>
        <v>3196</v>
      </c>
    </row>
    <row r="3255" spans="1:12">
      <c r="A3255" t="s">
        <v>4071</v>
      </c>
      <c r="B3255" s="1">
        <v>46123</v>
      </c>
      <c r="C3255" t="s">
        <v>637</v>
      </c>
      <c r="D3255" t="s">
        <v>43</v>
      </c>
      <c r="E3255" t="s">
        <v>27</v>
      </c>
      <c r="F3255">
        <v>2</v>
      </c>
      <c r="G3255">
        <v>1999</v>
      </c>
      <c r="H3255">
        <v>0.15</v>
      </c>
      <c r="I3255" t="s">
        <v>32</v>
      </c>
      <c r="J3255" t="s">
        <v>51</v>
      </c>
      <c r="K3255" t="s">
        <v>17</v>
      </c>
      <c r="L3255">
        <f>F3254*G3254*(1-H3254)</f>
        <v>1518.1</v>
      </c>
    </row>
    <row r="3256" spans="1:12">
      <c r="A3256" t="s">
        <v>4072</v>
      </c>
      <c r="B3256" s="1">
        <v>46277</v>
      </c>
      <c r="C3256" t="s">
        <v>613</v>
      </c>
      <c r="D3256" t="s">
        <v>78</v>
      </c>
      <c r="E3256" t="s">
        <v>35</v>
      </c>
      <c r="F3256">
        <v>5</v>
      </c>
      <c r="G3256">
        <v>2499</v>
      </c>
      <c r="H3256">
        <v>0</v>
      </c>
      <c r="I3256" t="s">
        <v>50</v>
      </c>
      <c r="J3256" t="s">
        <v>36</v>
      </c>
      <c r="K3256" t="s">
        <v>17</v>
      </c>
      <c r="L3256">
        <f>F3255*G3255*(1-H3255)</f>
        <v>3398.2999999999997</v>
      </c>
    </row>
    <row r="3257" spans="1:12">
      <c r="A3257" t="s">
        <v>4073</v>
      </c>
      <c r="B3257" s="1">
        <v>46059</v>
      </c>
      <c r="C3257" t="s">
        <v>230</v>
      </c>
      <c r="D3257" t="s">
        <v>59</v>
      </c>
      <c r="E3257" t="s">
        <v>35</v>
      </c>
      <c r="F3257">
        <v>4</v>
      </c>
      <c r="G3257">
        <v>1299</v>
      </c>
      <c r="H3257">
        <v>0.15</v>
      </c>
      <c r="I3257" t="s">
        <v>47</v>
      </c>
      <c r="J3257" t="s">
        <v>28</v>
      </c>
      <c r="K3257" t="s">
        <v>17</v>
      </c>
      <c r="L3257">
        <f>F3256*G3256*(1-H3256)</f>
        <v>12495</v>
      </c>
    </row>
    <row r="3258" spans="1:12">
      <c r="A3258" t="s">
        <v>4074</v>
      </c>
      <c r="B3258" s="1">
        <v>46180</v>
      </c>
      <c r="C3258" t="s">
        <v>2443</v>
      </c>
      <c r="D3258" t="s">
        <v>71</v>
      </c>
      <c r="E3258" t="s">
        <v>27</v>
      </c>
      <c r="F3258">
        <v>3</v>
      </c>
      <c r="G3258">
        <v>999</v>
      </c>
      <c r="H3258">
        <v>0.1</v>
      </c>
      <c r="I3258" t="s">
        <v>32</v>
      </c>
      <c r="J3258" t="s">
        <v>16</v>
      </c>
      <c r="K3258" t="s">
        <v>17</v>
      </c>
      <c r="L3258">
        <f>F3257*G3257*(1-H3257)</f>
        <v>4416.5999999999995</v>
      </c>
    </row>
    <row r="3259" spans="1:12">
      <c r="A3259" t="s">
        <v>4075</v>
      </c>
      <c r="B3259" s="1">
        <v>46178</v>
      </c>
      <c r="C3259" t="s">
        <v>1475</v>
      </c>
      <c r="D3259" t="s">
        <v>71</v>
      </c>
      <c r="E3259" t="s">
        <v>27</v>
      </c>
      <c r="F3259">
        <v>1</v>
      </c>
      <c r="G3259">
        <v>1499</v>
      </c>
      <c r="H3259">
        <v>0</v>
      </c>
      <c r="I3259" t="s">
        <v>47</v>
      </c>
      <c r="J3259" t="s">
        <v>28</v>
      </c>
      <c r="K3259" t="s">
        <v>37</v>
      </c>
      <c r="L3259">
        <f>F3258*G3258*(1-H3258)</f>
        <v>2697.3</v>
      </c>
    </row>
    <row r="3260" spans="1:12">
      <c r="A3260" t="s">
        <v>4076</v>
      </c>
      <c r="B3260" s="1">
        <v>46095</v>
      </c>
      <c r="C3260" t="s">
        <v>117</v>
      </c>
      <c r="D3260" t="s">
        <v>71</v>
      </c>
      <c r="E3260" t="s">
        <v>40</v>
      </c>
      <c r="F3260">
        <v>3</v>
      </c>
      <c r="G3260">
        <v>2499</v>
      </c>
      <c r="H3260">
        <v>0</v>
      </c>
      <c r="I3260" t="s">
        <v>44</v>
      </c>
      <c r="J3260" t="s">
        <v>22</v>
      </c>
      <c r="K3260" t="s">
        <v>17</v>
      </c>
      <c r="L3260">
        <f>F3259*G3259*(1-H3259)</f>
        <v>1499</v>
      </c>
    </row>
    <row r="3261" spans="1:12">
      <c r="A3261" t="s">
        <v>4077</v>
      </c>
      <c r="B3261" s="1">
        <v>46229</v>
      </c>
      <c r="C3261" t="s">
        <v>509</v>
      </c>
      <c r="D3261" t="s">
        <v>62</v>
      </c>
      <c r="E3261" t="s">
        <v>27</v>
      </c>
      <c r="F3261">
        <v>2</v>
      </c>
      <c r="G3261">
        <v>999</v>
      </c>
      <c r="H3261">
        <v>0</v>
      </c>
      <c r="I3261" t="s">
        <v>50</v>
      </c>
      <c r="J3261" t="s">
        <v>28</v>
      </c>
      <c r="K3261" t="s">
        <v>17</v>
      </c>
      <c r="L3261">
        <f>F3260*G3260*(1-H3260)</f>
        <v>7497</v>
      </c>
    </row>
    <row r="3262" spans="1:12">
      <c r="A3262" t="s">
        <v>4078</v>
      </c>
      <c r="B3262" s="1">
        <v>46159</v>
      </c>
      <c r="C3262" t="s">
        <v>1551</v>
      </c>
      <c r="D3262" t="s">
        <v>31</v>
      </c>
      <c r="E3262" t="s">
        <v>35</v>
      </c>
      <c r="F3262">
        <v>1</v>
      </c>
      <c r="G3262">
        <v>1999</v>
      </c>
      <c r="H3262">
        <v>0</v>
      </c>
      <c r="I3262" t="s">
        <v>15</v>
      </c>
      <c r="J3262" t="s">
        <v>22</v>
      </c>
      <c r="K3262" t="s">
        <v>17</v>
      </c>
      <c r="L3262">
        <f>F3261*G3261*(1-H3261)</f>
        <v>1998</v>
      </c>
    </row>
    <row r="3263" spans="1:12">
      <c r="A3263" t="s">
        <v>4079</v>
      </c>
      <c r="B3263" s="1">
        <v>46149</v>
      </c>
      <c r="C3263" t="s">
        <v>1259</v>
      </c>
      <c r="D3263" t="s">
        <v>59</v>
      </c>
      <c r="E3263" t="s">
        <v>14</v>
      </c>
      <c r="F3263">
        <v>3</v>
      </c>
      <c r="G3263">
        <v>1999</v>
      </c>
      <c r="H3263">
        <v>0.05</v>
      </c>
      <c r="I3263" t="s">
        <v>44</v>
      </c>
      <c r="J3263" t="s">
        <v>22</v>
      </c>
      <c r="K3263" t="s">
        <v>17</v>
      </c>
      <c r="L3263">
        <f>F3262*G3262*(1-H3262)</f>
        <v>1999</v>
      </c>
    </row>
    <row r="3264" spans="1:12">
      <c r="A3264" t="s">
        <v>4080</v>
      </c>
      <c r="B3264" s="1">
        <v>46165</v>
      </c>
      <c r="C3264" t="s">
        <v>1349</v>
      </c>
      <c r="D3264" t="s">
        <v>59</v>
      </c>
      <c r="E3264" t="s">
        <v>27</v>
      </c>
      <c r="F3264">
        <v>5</v>
      </c>
      <c r="G3264">
        <v>1499</v>
      </c>
      <c r="H3264">
        <v>0</v>
      </c>
      <c r="I3264" t="s">
        <v>47</v>
      </c>
      <c r="J3264" t="s">
        <v>36</v>
      </c>
      <c r="K3264" t="s">
        <v>17</v>
      </c>
      <c r="L3264">
        <f>F3263*G3263*(1-H3263)</f>
        <v>5697.15</v>
      </c>
    </row>
    <row r="3265" spans="1:12">
      <c r="A3265" t="s">
        <v>4081</v>
      </c>
      <c r="B3265" s="1">
        <v>46129</v>
      </c>
      <c r="C3265" t="s">
        <v>2679</v>
      </c>
      <c r="D3265" t="s">
        <v>20</v>
      </c>
      <c r="E3265" t="s">
        <v>21</v>
      </c>
      <c r="F3265">
        <v>4</v>
      </c>
      <c r="G3265">
        <v>1299</v>
      </c>
      <c r="H3265">
        <v>0.15</v>
      </c>
      <c r="I3265" t="s">
        <v>32</v>
      </c>
      <c r="J3265" t="s">
        <v>28</v>
      </c>
      <c r="K3265" t="s">
        <v>17</v>
      </c>
      <c r="L3265">
        <f>F3264*G3264*(1-H3264)</f>
        <v>7495</v>
      </c>
    </row>
    <row r="3266" spans="1:12">
      <c r="A3266" t="s">
        <v>4082</v>
      </c>
      <c r="B3266" s="1">
        <v>46080</v>
      </c>
      <c r="C3266" t="s">
        <v>637</v>
      </c>
      <c r="D3266" t="s">
        <v>31</v>
      </c>
      <c r="E3266" t="s">
        <v>35</v>
      </c>
      <c r="F3266">
        <v>3</v>
      </c>
      <c r="G3266">
        <v>1299</v>
      </c>
      <c r="H3266">
        <v>0.05</v>
      </c>
      <c r="I3266" t="s">
        <v>50</v>
      </c>
      <c r="J3266" t="s">
        <v>51</v>
      </c>
      <c r="K3266" t="s">
        <v>23</v>
      </c>
      <c r="L3266">
        <f>F3265*G3265*(1-H3265)</f>
        <v>4416.5999999999995</v>
      </c>
    </row>
    <row r="3267" spans="1:12">
      <c r="A3267" t="s">
        <v>4083</v>
      </c>
      <c r="B3267" s="1">
        <v>46192</v>
      </c>
      <c r="C3267" t="s">
        <v>1115</v>
      </c>
      <c r="D3267" t="s">
        <v>31</v>
      </c>
      <c r="E3267" t="s">
        <v>35</v>
      </c>
      <c r="F3267">
        <v>2</v>
      </c>
      <c r="G3267">
        <v>499</v>
      </c>
      <c r="H3267">
        <v>0</v>
      </c>
      <c r="I3267" t="s">
        <v>47</v>
      </c>
      <c r="J3267" t="s">
        <v>28</v>
      </c>
      <c r="K3267" t="s">
        <v>17</v>
      </c>
      <c r="L3267">
        <f>F3266*G3266*(1-H3266)</f>
        <v>3702.1499999999996</v>
      </c>
    </row>
    <row r="3268" spans="1:12">
      <c r="A3268" t="s">
        <v>4084</v>
      </c>
      <c r="B3268" s="1">
        <v>46148</v>
      </c>
      <c r="C3268" t="s">
        <v>494</v>
      </c>
      <c r="D3268" t="s">
        <v>78</v>
      </c>
      <c r="E3268" t="s">
        <v>27</v>
      </c>
      <c r="F3268">
        <v>4</v>
      </c>
      <c r="G3268">
        <v>799</v>
      </c>
      <c r="H3268">
        <v>0.15</v>
      </c>
      <c r="I3268" t="s">
        <v>50</v>
      </c>
      <c r="J3268" t="s">
        <v>22</v>
      </c>
      <c r="K3268" t="s">
        <v>37</v>
      </c>
      <c r="L3268">
        <f>F3267*G3267*(1-H3267)</f>
        <v>998</v>
      </c>
    </row>
    <row r="3269" spans="1:12">
      <c r="A3269" t="s">
        <v>4085</v>
      </c>
      <c r="B3269" s="1">
        <v>46177</v>
      </c>
      <c r="C3269" t="s">
        <v>1353</v>
      </c>
      <c r="D3269" t="s">
        <v>62</v>
      </c>
      <c r="E3269" t="s">
        <v>27</v>
      </c>
      <c r="F3269">
        <v>3</v>
      </c>
      <c r="G3269">
        <v>1299</v>
      </c>
      <c r="H3269">
        <v>0</v>
      </c>
      <c r="I3269" t="s">
        <v>50</v>
      </c>
      <c r="J3269" t="s">
        <v>16</v>
      </c>
      <c r="K3269" t="s">
        <v>17</v>
      </c>
      <c r="L3269">
        <f>F3268*G3268*(1-H3268)</f>
        <v>2716.6</v>
      </c>
    </row>
    <row r="3270" spans="1:12">
      <c r="A3270" t="s">
        <v>4086</v>
      </c>
      <c r="B3270" s="1">
        <v>46235</v>
      </c>
      <c r="C3270" t="s">
        <v>715</v>
      </c>
      <c r="D3270" t="s">
        <v>56</v>
      </c>
      <c r="E3270" t="s">
        <v>14</v>
      </c>
      <c r="F3270">
        <v>2</v>
      </c>
      <c r="G3270">
        <v>1499</v>
      </c>
      <c r="H3270">
        <v>0.1</v>
      </c>
      <c r="I3270" t="s">
        <v>44</v>
      </c>
      <c r="J3270" t="s">
        <v>51</v>
      </c>
      <c r="K3270" t="s">
        <v>23</v>
      </c>
      <c r="L3270">
        <f>F3269*G3269*(1-H3269)</f>
        <v>3897</v>
      </c>
    </row>
    <row r="3271" spans="1:12">
      <c r="A3271" t="s">
        <v>4087</v>
      </c>
      <c r="B3271" s="1">
        <v>46232</v>
      </c>
      <c r="C3271" t="s">
        <v>883</v>
      </c>
      <c r="D3271" t="s">
        <v>71</v>
      </c>
      <c r="E3271" t="s">
        <v>40</v>
      </c>
      <c r="F3271">
        <v>1</v>
      </c>
      <c r="G3271">
        <v>499</v>
      </c>
      <c r="H3271">
        <v>0</v>
      </c>
      <c r="I3271" t="s">
        <v>50</v>
      </c>
      <c r="J3271" t="s">
        <v>36</v>
      </c>
      <c r="K3271" t="s">
        <v>17</v>
      </c>
      <c r="L3271">
        <f>F3270*G3270*(1-H3270)</f>
        <v>2698.2000000000003</v>
      </c>
    </row>
    <row r="3272" spans="1:12">
      <c r="A3272" t="s">
        <v>4088</v>
      </c>
      <c r="B3272" s="1">
        <v>46257</v>
      </c>
      <c r="C3272" t="s">
        <v>333</v>
      </c>
      <c r="D3272" t="s">
        <v>59</v>
      </c>
      <c r="E3272" t="s">
        <v>27</v>
      </c>
      <c r="F3272">
        <v>4</v>
      </c>
      <c r="G3272">
        <v>1499</v>
      </c>
      <c r="H3272">
        <v>0</v>
      </c>
      <c r="I3272" t="s">
        <v>44</v>
      </c>
      <c r="J3272" t="s">
        <v>36</v>
      </c>
      <c r="K3272" t="s">
        <v>37</v>
      </c>
      <c r="L3272">
        <f>F3271*G3271*(1-H3271)</f>
        <v>499</v>
      </c>
    </row>
    <row r="3273" spans="1:12">
      <c r="A3273" t="s">
        <v>4089</v>
      </c>
      <c r="B3273" s="1">
        <v>46200</v>
      </c>
      <c r="C3273" t="s">
        <v>1646</v>
      </c>
      <c r="D3273" t="s">
        <v>62</v>
      </c>
      <c r="E3273" t="s">
        <v>14</v>
      </c>
      <c r="F3273">
        <v>1</v>
      </c>
      <c r="G3273">
        <v>499</v>
      </c>
      <c r="H3273">
        <v>0.15</v>
      </c>
      <c r="I3273" t="s">
        <v>47</v>
      </c>
      <c r="J3273" t="s">
        <v>51</v>
      </c>
      <c r="K3273" t="s">
        <v>37</v>
      </c>
      <c r="L3273">
        <f>F3272*G3272*(1-H3272)</f>
        <v>5996</v>
      </c>
    </row>
    <row r="3274" spans="1:12">
      <c r="A3274" t="s">
        <v>4090</v>
      </c>
      <c r="B3274" s="1">
        <v>46057</v>
      </c>
      <c r="C3274" t="s">
        <v>1968</v>
      </c>
      <c r="D3274" t="s">
        <v>31</v>
      </c>
      <c r="E3274" t="s">
        <v>40</v>
      </c>
      <c r="F3274">
        <v>5</v>
      </c>
      <c r="G3274">
        <v>7999</v>
      </c>
      <c r="H3274">
        <v>0</v>
      </c>
      <c r="I3274" t="s">
        <v>47</v>
      </c>
      <c r="J3274" t="s">
        <v>16</v>
      </c>
      <c r="K3274" t="s">
        <v>17</v>
      </c>
      <c r="L3274">
        <f>F3273*G3273*(1-H3273)</f>
        <v>424.15</v>
      </c>
    </row>
    <row r="3275" spans="1:12">
      <c r="A3275" t="s">
        <v>4091</v>
      </c>
      <c r="B3275" s="1">
        <v>46104</v>
      </c>
      <c r="C3275" t="s">
        <v>2726</v>
      </c>
      <c r="D3275" t="s">
        <v>20</v>
      </c>
      <c r="E3275" t="s">
        <v>21</v>
      </c>
      <c r="F3275">
        <v>4</v>
      </c>
      <c r="G3275">
        <v>7999</v>
      </c>
      <c r="H3275">
        <v>0</v>
      </c>
      <c r="I3275" t="s">
        <v>32</v>
      </c>
      <c r="J3275" t="s">
        <v>16</v>
      </c>
      <c r="K3275" t="s">
        <v>17</v>
      </c>
      <c r="L3275">
        <f>F3274*G3274*(1-H3274)</f>
        <v>39995</v>
      </c>
    </row>
    <row r="3276" spans="1:12">
      <c r="A3276" t="s">
        <v>4092</v>
      </c>
      <c r="B3276" s="1">
        <v>46165</v>
      </c>
      <c r="C3276" t="s">
        <v>545</v>
      </c>
      <c r="D3276" t="s">
        <v>56</v>
      </c>
      <c r="E3276" t="s">
        <v>21</v>
      </c>
      <c r="F3276">
        <v>1</v>
      </c>
      <c r="G3276">
        <v>2499</v>
      </c>
      <c r="H3276">
        <v>0</v>
      </c>
      <c r="I3276" t="s">
        <v>50</v>
      </c>
      <c r="J3276" t="s">
        <v>28</v>
      </c>
      <c r="K3276" t="s">
        <v>17</v>
      </c>
      <c r="L3276">
        <f>F3275*G3275*(1-H3275)</f>
        <v>31996</v>
      </c>
    </row>
    <row r="3277" spans="1:12">
      <c r="A3277" t="s">
        <v>4093</v>
      </c>
      <c r="B3277" s="1">
        <v>46232</v>
      </c>
      <c r="C3277" t="s">
        <v>826</v>
      </c>
      <c r="D3277" t="s">
        <v>31</v>
      </c>
      <c r="E3277" t="s">
        <v>40</v>
      </c>
      <c r="F3277">
        <v>3</v>
      </c>
      <c r="G3277">
        <v>1999</v>
      </c>
      <c r="H3277">
        <v>0</v>
      </c>
      <c r="I3277" t="s">
        <v>47</v>
      </c>
      <c r="J3277" t="s">
        <v>36</v>
      </c>
      <c r="K3277" t="s">
        <v>17</v>
      </c>
      <c r="L3277">
        <f>F3276*G3276*(1-H3276)</f>
        <v>2499</v>
      </c>
    </row>
    <row r="3278" spans="1:12">
      <c r="A3278" t="s">
        <v>4094</v>
      </c>
      <c r="B3278" s="1">
        <v>46129</v>
      </c>
      <c r="C3278" t="s">
        <v>1981</v>
      </c>
      <c r="D3278" t="s">
        <v>13</v>
      </c>
      <c r="E3278" t="s">
        <v>40</v>
      </c>
      <c r="F3278">
        <v>5</v>
      </c>
      <c r="G3278">
        <v>599</v>
      </c>
      <c r="H3278">
        <v>0</v>
      </c>
      <c r="I3278" t="s">
        <v>44</v>
      </c>
      <c r="J3278" t="s">
        <v>51</v>
      </c>
      <c r="K3278" t="s">
        <v>17</v>
      </c>
      <c r="L3278">
        <f>F3277*G3277*(1-H3277)</f>
        <v>5997</v>
      </c>
    </row>
    <row r="3279" spans="1:12">
      <c r="A3279" t="s">
        <v>4095</v>
      </c>
      <c r="B3279" s="1">
        <v>46023</v>
      </c>
      <c r="C3279" t="s">
        <v>1766</v>
      </c>
      <c r="D3279" t="s">
        <v>31</v>
      </c>
      <c r="E3279" t="s">
        <v>14</v>
      </c>
      <c r="F3279">
        <v>5</v>
      </c>
      <c r="G3279">
        <v>599</v>
      </c>
      <c r="H3279">
        <v>0</v>
      </c>
      <c r="I3279" t="s">
        <v>50</v>
      </c>
      <c r="J3279" t="s">
        <v>51</v>
      </c>
      <c r="K3279" t="s">
        <v>23</v>
      </c>
      <c r="L3279">
        <f>F3278*G3278*(1-H3278)</f>
        <v>2995</v>
      </c>
    </row>
    <row r="3280" spans="1:12">
      <c r="A3280" t="s">
        <v>4096</v>
      </c>
      <c r="B3280" s="1">
        <v>46089</v>
      </c>
      <c r="C3280" t="s">
        <v>1937</v>
      </c>
      <c r="D3280" t="s">
        <v>31</v>
      </c>
      <c r="E3280" t="s">
        <v>27</v>
      </c>
      <c r="F3280">
        <v>3</v>
      </c>
      <c r="G3280">
        <v>1299</v>
      </c>
      <c r="H3280">
        <v>0.1</v>
      </c>
      <c r="I3280" t="s">
        <v>44</v>
      </c>
      <c r="J3280" t="s">
        <v>22</v>
      </c>
      <c r="K3280" t="s">
        <v>23</v>
      </c>
      <c r="L3280">
        <f>F3279*G3279*(1-H3279)</f>
        <v>2995</v>
      </c>
    </row>
    <row r="3281" spans="1:12">
      <c r="A3281" t="s">
        <v>4097</v>
      </c>
      <c r="B3281" s="1">
        <v>46128</v>
      </c>
      <c r="C3281" t="s">
        <v>281</v>
      </c>
      <c r="D3281" t="s">
        <v>59</v>
      </c>
      <c r="E3281" t="s">
        <v>27</v>
      </c>
      <c r="F3281">
        <v>2</v>
      </c>
      <c r="G3281">
        <v>1499</v>
      </c>
      <c r="H3281">
        <v>0.05</v>
      </c>
      <c r="I3281" t="s">
        <v>15</v>
      </c>
      <c r="J3281" t="s">
        <v>51</v>
      </c>
      <c r="K3281" t="s">
        <v>17</v>
      </c>
      <c r="L3281">
        <f>F3280*G3280*(1-H3280)</f>
        <v>3507.3</v>
      </c>
    </row>
    <row r="3282" spans="1:12">
      <c r="A3282" t="s">
        <v>4098</v>
      </c>
      <c r="B3282" s="1">
        <v>46123</v>
      </c>
      <c r="C3282" t="s">
        <v>2023</v>
      </c>
      <c r="D3282" t="s">
        <v>56</v>
      </c>
      <c r="E3282" t="s">
        <v>35</v>
      </c>
      <c r="F3282">
        <v>3</v>
      </c>
      <c r="G3282">
        <v>1999</v>
      </c>
      <c r="H3282">
        <v>0.05</v>
      </c>
      <c r="I3282" t="s">
        <v>32</v>
      </c>
      <c r="J3282" t="s">
        <v>51</v>
      </c>
      <c r="K3282" t="s">
        <v>17</v>
      </c>
      <c r="L3282">
        <f>F3281*G3281*(1-H3281)</f>
        <v>2848.1</v>
      </c>
    </row>
    <row r="3283" spans="1:12">
      <c r="A3283" t="s">
        <v>4099</v>
      </c>
      <c r="B3283" s="1">
        <v>46254</v>
      </c>
      <c r="C3283" t="s">
        <v>253</v>
      </c>
      <c r="D3283" t="s">
        <v>56</v>
      </c>
      <c r="E3283" t="s">
        <v>27</v>
      </c>
      <c r="F3283">
        <v>5</v>
      </c>
      <c r="G3283">
        <v>4999</v>
      </c>
      <c r="H3283">
        <v>0</v>
      </c>
      <c r="I3283" t="s">
        <v>32</v>
      </c>
      <c r="J3283" t="s">
        <v>22</v>
      </c>
      <c r="K3283" t="s">
        <v>17</v>
      </c>
      <c r="L3283">
        <f>F3282*G3282*(1-H3282)</f>
        <v>5697.15</v>
      </c>
    </row>
    <row r="3284" spans="1:12">
      <c r="A3284" t="s">
        <v>4100</v>
      </c>
      <c r="B3284" s="1">
        <v>46041</v>
      </c>
      <c r="C3284" t="s">
        <v>298</v>
      </c>
      <c r="D3284" t="s">
        <v>59</v>
      </c>
      <c r="E3284" t="s">
        <v>14</v>
      </c>
      <c r="F3284">
        <v>1</v>
      </c>
      <c r="G3284">
        <v>1999</v>
      </c>
      <c r="H3284">
        <v>0.05</v>
      </c>
      <c r="I3284" t="s">
        <v>44</v>
      </c>
      <c r="J3284" t="s">
        <v>28</v>
      </c>
      <c r="K3284" t="s">
        <v>37</v>
      </c>
      <c r="L3284">
        <f>F3283*G3283*(1-H3283)</f>
        <v>24995</v>
      </c>
    </row>
    <row r="3285" spans="1:12">
      <c r="A3285" t="s">
        <v>4101</v>
      </c>
      <c r="B3285" s="1">
        <v>46197</v>
      </c>
      <c r="C3285" t="s">
        <v>942</v>
      </c>
      <c r="D3285" t="s">
        <v>78</v>
      </c>
      <c r="E3285" t="s">
        <v>40</v>
      </c>
      <c r="F3285">
        <v>5</v>
      </c>
      <c r="G3285">
        <v>599</v>
      </c>
      <c r="H3285">
        <v>0.1</v>
      </c>
      <c r="I3285" t="s">
        <v>50</v>
      </c>
      <c r="J3285" t="s">
        <v>22</v>
      </c>
      <c r="K3285" t="s">
        <v>17</v>
      </c>
      <c r="L3285">
        <f>F3284*G3284*(1-H3284)</f>
        <v>1899.05</v>
      </c>
    </row>
    <row r="3286" spans="1:12">
      <c r="A3286" t="s">
        <v>4102</v>
      </c>
      <c r="B3286" s="1">
        <v>46285</v>
      </c>
      <c r="C3286" t="s">
        <v>637</v>
      </c>
      <c r="D3286" t="s">
        <v>78</v>
      </c>
      <c r="E3286" t="s">
        <v>14</v>
      </c>
      <c r="F3286">
        <v>5</v>
      </c>
      <c r="G3286">
        <v>1299</v>
      </c>
      <c r="H3286">
        <v>0</v>
      </c>
      <c r="I3286" t="s">
        <v>44</v>
      </c>
      <c r="J3286" t="s">
        <v>16</v>
      </c>
      <c r="K3286" t="s">
        <v>23</v>
      </c>
      <c r="L3286">
        <f>F3285*G3285*(1-H3285)</f>
        <v>2695.5</v>
      </c>
    </row>
    <row r="3287" spans="1:12">
      <c r="A3287" t="s">
        <v>4103</v>
      </c>
      <c r="B3287" s="1">
        <v>46095</v>
      </c>
      <c r="C3287" t="s">
        <v>1898</v>
      </c>
      <c r="D3287" t="s">
        <v>13</v>
      </c>
      <c r="E3287" t="s">
        <v>40</v>
      </c>
      <c r="F3287">
        <v>4</v>
      </c>
      <c r="G3287">
        <v>799</v>
      </c>
      <c r="H3287">
        <v>0.15</v>
      </c>
      <c r="I3287" t="s">
        <v>32</v>
      </c>
      <c r="J3287" t="s">
        <v>51</v>
      </c>
      <c r="K3287" t="s">
        <v>17</v>
      </c>
      <c r="L3287">
        <f>F3286*G3286*(1-H3286)</f>
        <v>6495</v>
      </c>
    </row>
    <row r="3288" spans="1:12">
      <c r="A3288" t="s">
        <v>4104</v>
      </c>
      <c r="B3288" s="1">
        <v>46098</v>
      </c>
      <c r="C3288" t="s">
        <v>843</v>
      </c>
      <c r="D3288" t="s">
        <v>43</v>
      </c>
      <c r="E3288" t="s">
        <v>27</v>
      </c>
      <c r="F3288">
        <v>5</v>
      </c>
      <c r="G3288">
        <v>999</v>
      </c>
      <c r="H3288">
        <v>0.15</v>
      </c>
      <c r="I3288" t="s">
        <v>15</v>
      </c>
      <c r="J3288" t="s">
        <v>16</v>
      </c>
      <c r="K3288" t="s">
        <v>17</v>
      </c>
      <c r="L3288">
        <f>F3287*G3287*(1-H3287)</f>
        <v>2716.6</v>
      </c>
    </row>
    <row r="3289" spans="1:12">
      <c r="A3289" t="s">
        <v>4105</v>
      </c>
      <c r="B3289" s="1">
        <v>46030</v>
      </c>
      <c r="C3289" t="s">
        <v>1601</v>
      </c>
      <c r="D3289" t="s">
        <v>13</v>
      </c>
      <c r="E3289" t="s">
        <v>40</v>
      </c>
      <c r="F3289">
        <v>4</v>
      </c>
      <c r="G3289">
        <v>599</v>
      </c>
      <c r="H3289">
        <v>0</v>
      </c>
      <c r="I3289" t="s">
        <v>32</v>
      </c>
      <c r="J3289" t="s">
        <v>28</v>
      </c>
      <c r="K3289" t="s">
        <v>23</v>
      </c>
      <c r="L3289">
        <f>F3288*G3288*(1-H3288)</f>
        <v>4245.75</v>
      </c>
    </row>
    <row r="3290" spans="1:12">
      <c r="A3290" t="s">
        <v>4106</v>
      </c>
      <c r="B3290" s="1">
        <v>46047</v>
      </c>
      <c r="C3290" t="s">
        <v>1004</v>
      </c>
      <c r="D3290" t="s">
        <v>26</v>
      </c>
      <c r="E3290" t="s">
        <v>40</v>
      </c>
      <c r="F3290">
        <v>3</v>
      </c>
      <c r="G3290">
        <v>7999</v>
      </c>
      <c r="H3290">
        <v>0.05</v>
      </c>
      <c r="I3290" t="s">
        <v>47</v>
      </c>
      <c r="J3290" t="s">
        <v>16</v>
      </c>
      <c r="K3290" t="s">
        <v>17</v>
      </c>
      <c r="L3290">
        <f>F3289*G3289*(1-H3289)</f>
        <v>2396</v>
      </c>
    </row>
    <row r="3291" spans="1:12">
      <c r="A3291" t="s">
        <v>4107</v>
      </c>
      <c r="B3291" s="1">
        <v>46244</v>
      </c>
      <c r="C3291" t="s">
        <v>2443</v>
      </c>
      <c r="D3291" t="s">
        <v>71</v>
      </c>
      <c r="E3291" t="s">
        <v>35</v>
      </c>
      <c r="F3291">
        <v>4</v>
      </c>
      <c r="G3291">
        <v>499</v>
      </c>
      <c r="H3291">
        <v>0.1</v>
      </c>
      <c r="I3291" t="s">
        <v>47</v>
      </c>
      <c r="J3291" t="s">
        <v>51</v>
      </c>
      <c r="K3291" t="s">
        <v>23</v>
      </c>
      <c r="L3291">
        <f>F3290*G3290*(1-H3290)</f>
        <v>22797.149999999998</v>
      </c>
    </row>
    <row r="3292" spans="1:12">
      <c r="A3292" t="s">
        <v>4108</v>
      </c>
      <c r="B3292" s="1">
        <v>46140</v>
      </c>
      <c r="C3292" t="s">
        <v>1456</v>
      </c>
      <c r="D3292" t="s">
        <v>20</v>
      </c>
      <c r="E3292" t="s">
        <v>27</v>
      </c>
      <c r="F3292">
        <v>3</v>
      </c>
      <c r="G3292">
        <v>2499</v>
      </c>
      <c r="H3292">
        <v>0.15</v>
      </c>
      <c r="I3292" t="s">
        <v>44</v>
      </c>
      <c r="J3292" t="s">
        <v>51</v>
      </c>
      <c r="K3292" t="s">
        <v>23</v>
      </c>
      <c r="L3292">
        <f>F3291*G3291*(1-H3291)</f>
        <v>1796.4</v>
      </c>
    </row>
    <row r="3293" spans="1:12">
      <c r="A3293" t="s">
        <v>4109</v>
      </c>
      <c r="B3293" s="1">
        <v>46083</v>
      </c>
      <c r="C3293" t="s">
        <v>1745</v>
      </c>
      <c r="D3293" t="s">
        <v>71</v>
      </c>
      <c r="E3293" t="s">
        <v>14</v>
      </c>
      <c r="F3293">
        <v>2</v>
      </c>
      <c r="G3293">
        <v>499</v>
      </c>
      <c r="H3293">
        <v>0.15</v>
      </c>
      <c r="I3293" t="s">
        <v>32</v>
      </c>
      <c r="J3293" t="s">
        <v>28</v>
      </c>
      <c r="K3293" t="s">
        <v>37</v>
      </c>
      <c r="L3293">
        <f>F3292*G3292*(1-H3292)</f>
        <v>6372.45</v>
      </c>
    </row>
    <row r="3294" spans="1:12">
      <c r="A3294" t="s">
        <v>4110</v>
      </c>
      <c r="B3294" s="1">
        <v>46096</v>
      </c>
      <c r="C3294" t="s">
        <v>961</v>
      </c>
      <c r="D3294" t="s">
        <v>43</v>
      </c>
      <c r="E3294" t="s">
        <v>40</v>
      </c>
      <c r="F3294">
        <v>2</v>
      </c>
      <c r="G3294">
        <v>1299</v>
      </c>
      <c r="H3294">
        <v>0</v>
      </c>
      <c r="I3294" t="s">
        <v>15</v>
      </c>
      <c r="J3294" t="s">
        <v>51</v>
      </c>
      <c r="K3294" t="s">
        <v>17</v>
      </c>
      <c r="L3294">
        <f>F3293*G3293*(1-H3293)</f>
        <v>848.3</v>
      </c>
    </row>
    <row r="3295" spans="1:12">
      <c r="A3295" t="s">
        <v>4111</v>
      </c>
      <c r="B3295" s="1">
        <v>46180</v>
      </c>
      <c r="C3295" t="s">
        <v>1340</v>
      </c>
      <c r="D3295" t="s">
        <v>20</v>
      </c>
      <c r="E3295" t="s">
        <v>35</v>
      </c>
      <c r="F3295">
        <v>2</v>
      </c>
      <c r="G3295">
        <v>499</v>
      </c>
      <c r="H3295">
        <v>0.15</v>
      </c>
      <c r="I3295" t="s">
        <v>47</v>
      </c>
      <c r="J3295" t="s">
        <v>36</v>
      </c>
      <c r="K3295" t="s">
        <v>17</v>
      </c>
      <c r="L3295">
        <f>F3294*G3294*(1-H3294)</f>
        <v>2598</v>
      </c>
    </row>
    <row r="3296" spans="1:12">
      <c r="A3296" t="s">
        <v>4112</v>
      </c>
      <c r="B3296" s="1">
        <v>46028</v>
      </c>
      <c r="C3296" t="s">
        <v>690</v>
      </c>
      <c r="D3296" t="s">
        <v>31</v>
      </c>
      <c r="E3296" t="s">
        <v>21</v>
      </c>
      <c r="F3296">
        <v>4</v>
      </c>
      <c r="G3296">
        <v>2499</v>
      </c>
      <c r="H3296">
        <v>0.1</v>
      </c>
      <c r="I3296" t="s">
        <v>32</v>
      </c>
      <c r="J3296" t="s">
        <v>28</v>
      </c>
      <c r="K3296" t="s">
        <v>37</v>
      </c>
      <c r="L3296">
        <f>F3295*G3295*(1-H3295)</f>
        <v>848.3</v>
      </c>
    </row>
    <row r="3297" spans="1:12">
      <c r="A3297" t="s">
        <v>4113</v>
      </c>
      <c r="B3297" s="1">
        <v>46262</v>
      </c>
      <c r="C3297" t="s">
        <v>1355</v>
      </c>
      <c r="D3297" t="s">
        <v>20</v>
      </c>
      <c r="E3297" t="s">
        <v>35</v>
      </c>
      <c r="F3297">
        <v>1</v>
      </c>
      <c r="G3297">
        <v>1999</v>
      </c>
      <c r="H3297">
        <v>0</v>
      </c>
      <c r="I3297" t="s">
        <v>32</v>
      </c>
      <c r="J3297" t="s">
        <v>16</v>
      </c>
      <c r="K3297" t="s">
        <v>23</v>
      </c>
      <c r="L3297">
        <f>F3296*G3296*(1-H3296)</f>
        <v>8996.4</v>
      </c>
    </row>
    <row r="3298" spans="1:12">
      <c r="A3298" t="s">
        <v>4114</v>
      </c>
      <c r="B3298" s="1">
        <v>46066</v>
      </c>
      <c r="C3298" t="s">
        <v>257</v>
      </c>
      <c r="D3298" t="s">
        <v>56</v>
      </c>
      <c r="E3298" t="s">
        <v>14</v>
      </c>
      <c r="F3298">
        <v>2</v>
      </c>
      <c r="G3298">
        <v>499</v>
      </c>
      <c r="H3298">
        <v>0</v>
      </c>
      <c r="I3298" t="s">
        <v>32</v>
      </c>
      <c r="J3298" t="s">
        <v>22</v>
      </c>
      <c r="K3298" t="s">
        <v>17</v>
      </c>
      <c r="L3298">
        <f>F3297*G3297*(1-H3297)</f>
        <v>1999</v>
      </c>
    </row>
    <row r="3299" spans="1:12">
      <c r="A3299" t="s">
        <v>4115</v>
      </c>
      <c r="B3299" s="1">
        <v>46159</v>
      </c>
      <c r="C3299" t="s">
        <v>3000</v>
      </c>
      <c r="D3299" t="s">
        <v>20</v>
      </c>
      <c r="E3299" t="s">
        <v>21</v>
      </c>
      <c r="F3299">
        <v>1</v>
      </c>
      <c r="G3299">
        <v>499</v>
      </c>
      <c r="H3299">
        <v>0.05</v>
      </c>
      <c r="I3299" t="s">
        <v>32</v>
      </c>
      <c r="J3299" t="s">
        <v>28</v>
      </c>
      <c r="K3299" t="s">
        <v>17</v>
      </c>
      <c r="L3299">
        <f>F3298*G3298*(1-H3298)</f>
        <v>998</v>
      </c>
    </row>
    <row r="3300" spans="1:12">
      <c r="A3300" t="s">
        <v>4116</v>
      </c>
      <c r="B3300" s="1">
        <v>46029</v>
      </c>
      <c r="C3300" t="s">
        <v>1898</v>
      </c>
      <c r="D3300" t="s">
        <v>20</v>
      </c>
      <c r="E3300" t="s">
        <v>27</v>
      </c>
      <c r="F3300">
        <v>2</v>
      </c>
      <c r="G3300">
        <v>1299</v>
      </c>
      <c r="H3300">
        <v>0</v>
      </c>
      <c r="I3300" t="s">
        <v>44</v>
      </c>
      <c r="J3300" t="s">
        <v>51</v>
      </c>
      <c r="K3300" t="s">
        <v>17</v>
      </c>
      <c r="L3300">
        <f>F3299*G3299*(1-H3299)</f>
        <v>474.04999999999995</v>
      </c>
    </row>
    <row r="3301" spans="1:12">
      <c r="A3301" t="s">
        <v>4117</v>
      </c>
      <c r="B3301" s="1">
        <v>46282</v>
      </c>
      <c r="C3301" t="s">
        <v>862</v>
      </c>
      <c r="D3301" t="s">
        <v>26</v>
      </c>
      <c r="E3301" t="s">
        <v>14</v>
      </c>
      <c r="F3301">
        <v>5</v>
      </c>
      <c r="G3301">
        <v>7999</v>
      </c>
      <c r="H3301">
        <v>0.1</v>
      </c>
      <c r="I3301" t="s">
        <v>44</v>
      </c>
      <c r="J3301" t="s">
        <v>28</v>
      </c>
      <c r="K3301" t="s">
        <v>37</v>
      </c>
      <c r="L3301">
        <f>F3300*G3300*(1-H3300)</f>
        <v>2598</v>
      </c>
    </row>
    <row r="3302" spans="1:12">
      <c r="A3302" t="s">
        <v>4118</v>
      </c>
      <c r="B3302" s="1">
        <v>46222</v>
      </c>
      <c r="C3302" t="s">
        <v>310</v>
      </c>
      <c r="D3302" t="s">
        <v>13</v>
      </c>
      <c r="E3302" t="s">
        <v>21</v>
      </c>
      <c r="F3302">
        <v>2</v>
      </c>
      <c r="G3302">
        <v>599</v>
      </c>
      <c r="H3302">
        <v>0.05</v>
      </c>
      <c r="I3302" t="s">
        <v>44</v>
      </c>
      <c r="J3302" t="s">
        <v>16</v>
      </c>
      <c r="K3302" t="s">
        <v>17</v>
      </c>
      <c r="L3302">
        <f>F3301*G3301*(1-H3301)</f>
        <v>35995.5</v>
      </c>
    </row>
    <row r="3303" spans="1:12">
      <c r="A3303" t="s">
        <v>4119</v>
      </c>
      <c r="B3303" s="1">
        <v>46197</v>
      </c>
      <c r="C3303" t="s">
        <v>271</v>
      </c>
      <c r="D3303" t="s">
        <v>43</v>
      </c>
      <c r="E3303" t="s">
        <v>27</v>
      </c>
      <c r="F3303">
        <v>1</v>
      </c>
      <c r="G3303">
        <v>1299</v>
      </c>
      <c r="H3303">
        <v>0.1</v>
      </c>
      <c r="I3303" t="s">
        <v>15</v>
      </c>
      <c r="J3303" t="s">
        <v>51</v>
      </c>
      <c r="K3303" t="s">
        <v>17</v>
      </c>
      <c r="L3303">
        <f>F3302*G3302*(1-H3302)</f>
        <v>1138.0999999999999</v>
      </c>
    </row>
    <row r="3304" spans="1:12">
      <c r="A3304" t="s">
        <v>4120</v>
      </c>
      <c r="B3304" s="1">
        <v>46216</v>
      </c>
      <c r="C3304" t="s">
        <v>237</v>
      </c>
      <c r="D3304" t="s">
        <v>62</v>
      </c>
      <c r="E3304" t="s">
        <v>27</v>
      </c>
      <c r="F3304">
        <v>5</v>
      </c>
      <c r="G3304">
        <v>1999</v>
      </c>
      <c r="H3304">
        <v>0</v>
      </c>
      <c r="I3304" t="s">
        <v>15</v>
      </c>
      <c r="J3304" t="s">
        <v>36</v>
      </c>
      <c r="K3304" t="s">
        <v>17</v>
      </c>
      <c r="L3304">
        <f>F3303*G3303*(1-H3303)</f>
        <v>1169.1000000000001</v>
      </c>
    </row>
    <row r="3305" spans="1:12">
      <c r="A3305" t="s">
        <v>4121</v>
      </c>
      <c r="B3305" s="1">
        <v>46095</v>
      </c>
      <c r="C3305" t="s">
        <v>1353</v>
      </c>
      <c r="D3305" t="s">
        <v>59</v>
      </c>
      <c r="E3305" t="s">
        <v>27</v>
      </c>
      <c r="F3305">
        <v>5</v>
      </c>
      <c r="G3305">
        <v>1499</v>
      </c>
      <c r="H3305">
        <v>0</v>
      </c>
      <c r="I3305" t="s">
        <v>47</v>
      </c>
      <c r="J3305" t="s">
        <v>36</v>
      </c>
      <c r="K3305" t="s">
        <v>23</v>
      </c>
      <c r="L3305">
        <f>F3304*G3304*(1-H3304)</f>
        <v>9995</v>
      </c>
    </row>
    <row r="3306" spans="1:12">
      <c r="A3306" t="s">
        <v>4122</v>
      </c>
      <c r="B3306" s="1">
        <v>46259</v>
      </c>
      <c r="C3306" t="s">
        <v>705</v>
      </c>
      <c r="D3306" t="s">
        <v>31</v>
      </c>
      <c r="E3306" t="s">
        <v>27</v>
      </c>
      <c r="F3306">
        <v>2</v>
      </c>
      <c r="G3306">
        <v>799</v>
      </c>
      <c r="H3306">
        <v>0</v>
      </c>
      <c r="I3306" t="s">
        <v>50</v>
      </c>
      <c r="J3306" t="s">
        <v>51</v>
      </c>
      <c r="K3306" t="s">
        <v>17</v>
      </c>
      <c r="L3306">
        <f>F3305*G3305*(1-H3305)</f>
        <v>7495</v>
      </c>
    </row>
    <row r="3307" spans="1:12">
      <c r="A3307" t="s">
        <v>4123</v>
      </c>
      <c r="B3307" s="1">
        <v>46132</v>
      </c>
      <c r="C3307" t="s">
        <v>1239</v>
      </c>
      <c r="D3307" t="s">
        <v>78</v>
      </c>
      <c r="E3307" t="s">
        <v>35</v>
      </c>
      <c r="F3307">
        <v>1</v>
      </c>
      <c r="G3307">
        <v>599</v>
      </c>
      <c r="H3307">
        <v>0.15</v>
      </c>
      <c r="I3307" t="s">
        <v>15</v>
      </c>
      <c r="J3307" t="s">
        <v>16</v>
      </c>
      <c r="K3307" t="s">
        <v>17</v>
      </c>
      <c r="L3307">
        <f>F3306*G3306*(1-H3306)</f>
        <v>1598</v>
      </c>
    </row>
    <row r="3308" spans="1:12">
      <c r="A3308" t="s">
        <v>4124</v>
      </c>
      <c r="B3308" s="1">
        <v>46127</v>
      </c>
      <c r="C3308" t="s">
        <v>1657</v>
      </c>
      <c r="D3308" t="s">
        <v>43</v>
      </c>
      <c r="E3308" t="s">
        <v>27</v>
      </c>
      <c r="F3308">
        <v>4</v>
      </c>
      <c r="G3308">
        <v>999</v>
      </c>
      <c r="H3308">
        <v>0.15</v>
      </c>
      <c r="I3308" t="s">
        <v>50</v>
      </c>
      <c r="J3308" t="s">
        <v>16</v>
      </c>
      <c r="K3308" t="s">
        <v>37</v>
      </c>
      <c r="L3308">
        <f>F3307*G3307*(1-H3307)</f>
        <v>509.15</v>
      </c>
    </row>
    <row r="3309" spans="1:12">
      <c r="A3309" t="s">
        <v>4125</v>
      </c>
      <c r="B3309" s="1">
        <v>46027</v>
      </c>
      <c r="C3309" t="s">
        <v>1646</v>
      </c>
      <c r="D3309" t="s">
        <v>20</v>
      </c>
      <c r="E3309" t="s">
        <v>21</v>
      </c>
      <c r="F3309">
        <v>3</v>
      </c>
      <c r="G3309">
        <v>599</v>
      </c>
      <c r="H3309">
        <v>0.15</v>
      </c>
      <c r="I3309" t="s">
        <v>15</v>
      </c>
      <c r="J3309" t="s">
        <v>51</v>
      </c>
      <c r="K3309" t="s">
        <v>23</v>
      </c>
      <c r="L3309">
        <f>F3308*G3308*(1-H3308)</f>
        <v>3396.6</v>
      </c>
    </row>
    <row r="3310" spans="1:12">
      <c r="A3310" t="s">
        <v>4126</v>
      </c>
      <c r="B3310" s="1">
        <v>46205</v>
      </c>
      <c r="C3310" t="s">
        <v>1050</v>
      </c>
      <c r="D3310" t="s">
        <v>20</v>
      </c>
      <c r="E3310" t="s">
        <v>27</v>
      </c>
      <c r="F3310">
        <v>4</v>
      </c>
      <c r="G3310">
        <v>799</v>
      </c>
      <c r="H3310">
        <v>0.15</v>
      </c>
      <c r="I3310" t="s">
        <v>50</v>
      </c>
      <c r="J3310" t="s">
        <v>51</v>
      </c>
      <c r="K3310" t="s">
        <v>17</v>
      </c>
      <c r="L3310">
        <f>F3309*G3309*(1-H3309)</f>
        <v>1527.45</v>
      </c>
    </row>
    <row r="3311" spans="1:12">
      <c r="A3311" t="s">
        <v>4127</v>
      </c>
      <c r="B3311" s="1">
        <v>46294</v>
      </c>
      <c r="C3311" t="s">
        <v>1456</v>
      </c>
      <c r="D3311" t="s">
        <v>31</v>
      </c>
      <c r="E3311" t="s">
        <v>35</v>
      </c>
      <c r="F3311">
        <v>3</v>
      </c>
      <c r="G3311">
        <v>1499</v>
      </c>
      <c r="H3311">
        <v>0.05</v>
      </c>
      <c r="I3311" t="s">
        <v>15</v>
      </c>
      <c r="J3311" t="s">
        <v>16</v>
      </c>
      <c r="K3311" t="s">
        <v>17</v>
      </c>
      <c r="L3311">
        <f>F3310*G3310*(1-H3310)</f>
        <v>2716.6</v>
      </c>
    </row>
    <row r="3312" spans="1:12">
      <c r="A3312" t="s">
        <v>4128</v>
      </c>
      <c r="B3312" s="1">
        <v>46214</v>
      </c>
      <c r="C3312" t="s">
        <v>1036</v>
      </c>
      <c r="D3312" t="s">
        <v>71</v>
      </c>
      <c r="E3312" t="s">
        <v>35</v>
      </c>
      <c r="F3312">
        <v>2</v>
      </c>
      <c r="G3312">
        <v>1299</v>
      </c>
      <c r="H3312">
        <v>0.15</v>
      </c>
      <c r="I3312" t="s">
        <v>50</v>
      </c>
      <c r="J3312" t="s">
        <v>51</v>
      </c>
      <c r="K3312" t="s">
        <v>23</v>
      </c>
      <c r="L3312">
        <f>F3311*G3311*(1-H3311)</f>
        <v>4272.1499999999996</v>
      </c>
    </row>
    <row r="3313" spans="1:12">
      <c r="A3313" t="s">
        <v>4129</v>
      </c>
      <c r="B3313" s="1">
        <v>46191</v>
      </c>
      <c r="C3313" t="s">
        <v>4130</v>
      </c>
      <c r="D3313" t="s">
        <v>71</v>
      </c>
      <c r="E3313" t="s">
        <v>40</v>
      </c>
      <c r="F3313">
        <v>1</v>
      </c>
      <c r="G3313">
        <v>2499</v>
      </c>
      <c r="H3313">
        <v>0.1</v>
      </c>
      <c r="I3313" t="s">
        <v>32</v>
      </c>
      <c r="J3313" t="s">
        <v>51</v>
      </c>
      <c r="K3313" t="s">
        <v>23</v>
      </c>
      <c r="L3313">
        <f>F3312*G3312*(1-H3312)</f>
        <v>2208.2999999999997</v>
      </c>
    </row>
    <row r="3314" spans="1:12">
      <c r="A3314" t="s">
        <v>4131</v>
      </c>
      <c r="B3314" s="1">
        <v>46221</v>
      </c>
      <c r="C3314" t="s">
        <v>1611</v>
      </c>
      <c r="D3314" t="s">
        <v>43</v>
      </c>
      <c r="E3314" t="s">
        <v>14</v>
      </c>
      <c r="F3314">
        <v>1</v>
      </c>
      <c r="G3314">
        <v>799</v>
      </c>
      <c r="H3314">
        <v>0.15</v>
      </c>
      <c r="I3314" t="s">
        <v>15</v>
      </c>
      <c r="J3314" t="s">
        <v>16</v>
      </c>
      <c r="K3314" t="s">
        <v>17</v>
      </c>
      <c r="L3314">
        <f>F3313*G3313*(1-H3313)</f>
        <v>2249.1</v>
      </c>
    </row>
    <row r="3315" spans="1:12">
      <c r="A3315" t="s">
        <v>4132</v>
      </c>
      <c r="B3315" s="1">
        <v>46192</v>
      </c>
      <c r="C3315" t="s">
        <v>84</v>
      </c>
      <c r="D3315" t="s">
        <v>71</v>
      </c>
      <c r="E3315" t="s">
        <v>40</v>
      </c>
      <c r="F3315">
        <v>1</v>
      </c>
      <c r="G3315">
        <v>499</v>
      </c>
      <c r="H3315">
        <v>0.1</v>
      </c>
      <c r="I3315" t="s">
        <v>44</v>
      </c>
      <c r="J3315" t="s">
        <v>28</v>
      </c>
      <c r="K3315" t="s">
        <v>17</v>
      </c>
      <c r="L3315">
        <f>F3314*G3314*(1-H3314)</f>
        <v>679.15</v>
      </c>
    </row>
    <row r="3316" spans="1:12">
      <c r="A3316" t="s">
        <v>4133</v>
      </c>
      <c r="B3316" s="1">
        <v>46114</v>
      </c>
      <c r="C3316" t="s">
        <v>1130</v>
      </c>
      <c r="D3316" t="s">
        <v>20</v>
      </c>
      <c r="E3316" t="s">
        <v>21</v>
      </c>
      <c r="F3316">
        <v>5</v>
      </c>
      <c r="G3316">
        <v>1499</v>
      </c>
      <c r="H3316">
        <v>0</v>
      </c>
      <c r="I3316" t="s">
        <v>47</v>
      </c>
      <c r="J3316" t="s">
        <v>36</v>
      </c>
      <c r="K3316" t="s">
        <v>17</v>
      </c>
      <c r="L3316">
        <f>F3315*G3315*(1-H3315)</f>
        <v>449.1</v>
      </c>
    </row>
    <row r="3317" spans="1:12">
      <c r="A3317" t="s">
        <v>4134</v>
      </c>
      <c r="B3317" s="1">
        <v>46199</v>
      </c>
      <c r="C3317" t="s">
        <v>524</v>
      </c>
      <c r="D3317" t="s">
        <v>71</v>
      </c>
      <c r="E3317" t="s">
        <v>14</v>
      </c>
      <c r="F3317">
        <v>4</v>
      </c>
      <c r="G3317">
        <v>1299</v>
      </c>
      <c r="H3317">
        <v>0</v>
      </c>
      <c r="I3317" t="s">
        <v>44</v>
      </c>
      <c r="J3317" t="s">
        <v>51</v>
      </c>
      <c r="K3317" t="s">
        <v>17</v>
      </c>
      <c r="L3317">
        <f>F3316*G3316*(1-H3316)</f>
        <v>7495</v>
      </c>
    </row>
    <row r="3318" spans="1:12">
      <c r="A3318" t="s">
        <v>4135</v>
      </c>
      <c r="B3318" s="1">
        <v>46225</v>
      </c>
      <c r="C3318" t="s">
        <v>106</v>
      </c>
      <c r="D3318" t="s">
        <v>43</v>
      </c>
      <c r="E3318" t="s">
        <v>40</v>
      </c>
      <c r="F3318">
        <v>1</v>
      </c>
      <c r="G3318">
        <v>999</v>
      </c>
      <c r="H3318">
        <v>0.15</v>
      </c>
      <c r="I3318" t="s">
        <v>50</v>
      </c>
      <c r="J3318" t="s">
        <v>28</v>
      </c>
      <c r="K3318" t="s">
        <v>17</v>
      </c>
      <c r="L3318">
        <f>F3317*G3317*(1-H3317)</f>
        <v>5196</v>
      </c>
    </row>
    <row r="3319" spans="1:12">
      <c r="A3319" t="s">
        <v>4136</v>
      </c>
      <c r="B3319" s="1">
        <v>46063</v>
      </c>
      <c r="C3319" t="s">
        <v>602</v>
      </c>
      <c r="D3319" t="s">
        <v>13</v>
      </c>
      <c r="E3319" t="s">
        <v>35</v>
      </c>
      <c r="F3319">
        <v>5</v>
      </c>
      <c r="G3319">
        <v>999</v>
      </c>
      <c r="H3319">
        <v>0</v>
      </c>
      <c r="I3319" t="s">
        <v>50</v>
      </c>
      <c r="J3319" t="s">
        <v>28</v>
      </c>
      <c r="K3319" t="s">
        <v>23</v>
      </c>
      <c r="L3319">
        <f>F3318*G3318*(1-H3318)</f>
        <v>849.15</v>
      </c>
    </row>
    <row r="3320" spans="1:12">
      <c r="A3320" t="s">
        <v>4137</v>
      </c>
      <c r="B3320" s="1">
        <v>46284</v>
      </c>
      <c r="C3320" t="s">
        <v>539</v>
      </c>
      <c r="D3320" t="s">
        <v>78</v>
      </c>
      <c r="E3320" t="s">
        <v>21</v>
      </c>
      <c r="F3320">
        <v>3</v>
      </c>
      <c r="G3320">
        <v>799</v>
      </c>
      <c r="H3320">
        <v>0.1</v>
      </c>
      <c r="I3320" t="s">
        <v>44</v>
      </c>
      <c r="J3320" t="s">
        <v>16</v>
      </c>
      <c r="K3320" t="s">
        <v>17</v>
      </c>
      <c r="L3320">
        <f>F3319*G3319*(1-H3319)</f>
        <v>4995</v>
      </c>
    </row>
    <row r="3321" spans="1:12">
      <c r="A3321" t="s">
        <v>4138</v>
      </c>
      <c r="B3321" s="1">
        <v>46273</v>
      </c>
      <c r="C3321" t="s">
        <v>528</v>
      </c>
      <c r="D3321" t="s">
        <v>59</v>
      </c>
      <c r="E3321" t="s">
        <v>14</v>
      </c>
      <c r="F3321">
        <v>3</v>
      </c>
      <c r="G3321">
        <v>799</v>
      </c>
      <c r="H3321">
        <v>0.05</v>
      </c>
      <c r="I3321" t="s">
        <v>50</v>
      </c>
      <c r="J3321" t="s">
        <v>28</v>
      </c>
      <c r="K3321" t="s">
        <v>37</v>
      </c>
      <c r="L3321">
        <f>F3320*G3320*(1-H3320)</f>
        <v>2157.3000000000002</v>
      </c>
    </row>
    <row r="3322" spans="1:12">
      <c r="A3322" t="s">
        <v>4139</v>
      </c>
      <c r="B3322" s="1">
        <v>46220</v>
      </c>
      <c r="C3322" t="s">
        <v>2272</v>
      </c>
      <c r="D3322" t="s">
        <v>62</v>
      </c>
      <c r="E3322" t="s">
        <v>27</v>
      </c>
      <c r="F3322">
        <v>5</v>
      </c>
      <c r="G3322">
        <v>499</v>
      </c>
      <c r="H3322">
        <v>0.15</v>
      </c>
      <c r="I3322" t="s">
        <v>44</v>
      </c>
      <c r="J3322" t="s">
        <v>16</v>
      </c>
      <c r="K3322" t="s">
        <v>17</v>
      </c>
      <c r="L3322">
        <f>F3321*G3321*(1-H3321)</f>
        <v>2277.15</v>
      </c>
    </row>
    <row r="3323" spans="1:12">
      <c r="A3323" t="s">
        <v>4140</v>
      </c>
      <c r="B3323" s="1">
        <v>46033</v>
      </c>
      <c r="C3323" t="s">
        <v>3950</v>
      </c>
      <c r="D3323" t="s">
        <v>71</v>
      </c>
      <c r="E3323" t="s">
        <v>14</v>
      </c>
      <c r="F3323">
        <v>1</v>
      </c>
      <c r="G3323">
        <v>7999</v>
      </c>
      <c r="H3323">
        <v>0</v>
      </c>
      <c r="I3323" t="s">
        <v>50</v>
      </c>
      <c r="J3323" t="s">
        <v>28</v>
      </c>
      <c r="K3323" t="s">
        <v>17</v>
      </c>
      <c r="L3323">
        <f>F3322*G3322*(1-H3322)</f>
        <v>2120.75</v>
      </c>
    </row>
    <row r="3324" spans="1:12">
      <c r="A3324" t="s">
        <v>4141</v>
      </c>
      <c r="B3324" s="1">
        <v>46220</v>
      </c>
      <c r="C3324" t="s">
        <v>713</v>
      </c>
      <c r="D3324" t="s">
        <v>59</v>
      </c>
      <c r="E3324" t="s">
        <v>14</v>
      </c>
      <c r="F3324">
        <v>3</v>
      </c>
      <c r="G3324">
        <v>499</v>
      </c>
      <c r="H3324">
        <v>0</v>
      </c>
      <c r="I3324" t="s">
        <v>44</v>
      </c>
      <c r="J3324" t="s">
        <v>22</v>
      </c>
      <c r="K3324" t="s">
        <v>17</v>
      </c>
      <c r="L3324">
        <f>F3323*G3323*(1-H3323)</f>
        <v>7999</v>
      </c>
    </row>
    <row r="3325" spans="1:12">
      <c r="A3325" t="s">
        <v>4142</v>
      </c>
      <c r="B3325" s="1">
        <v>46215</v>
      </c>
      <c r="C3325" t="s">
        <v>792</v>
      </c>
      <c r="D3325" t="s">
        <v>62</v>
      </c>
      <c r="E3325" t="s">
        <v>27</v>
      </c>
      <c r="F3325">
        <v>4</v>
      </c>
      <c r="G3325">
        <v>7999</v>
      </c>
      <c r="H3325">
        <v>0</v>
      </c>
      <c r="I3325" t="s">
        <v>50</v>
      </c>
      <c r="J3325" t="s">
        <v>28</v>
      </c>
      <c r="K3325" t="s">
        <v>17</v>
      </c>
      <c r="L3325">
        <f>F3324*G3324*(1-H3324)</f>
        <v>1497</v>
      </c>
    </row>
    <row r="3326" spans="1:12">
      <c r="A3326" t="s">
        <v>4143</v>
      </c>
      <c r="B3326" s="1">
        <v>46122</v>
      </c>
      <c r="C3326" t="s">
        <v>1355</v>
      </c>
      <c r="D3326" t="s">
        <v>31</v>
      </c>
      <c r="E3326" t="s">
        <v>35</v>
      </c>
      <c r="F3326">
        <v>5</v>
      </c>
      <c r="G3326">
        <v>1999</v>
      </c>
      <c r="H3326">
        <v>0.1</v>
      </c>
      <c r="I3326" t="s">
        <v>15</v>
      </c>
      <c r="J3326" t="s">
        <v>51</v>
      </c>
      <c r="K3326" t="s">
        <v>17</v>
      </c>
      <c r="L3326">
        <f>F3325*G3325*(1-H3325)</f>
        <v>31996</v>
      </c>
    </row>
    <row r="3327" spans="1:12">
      <c r="A3327" t="s">
        <v>4144</v>
      </c>
      <c r="B3327" s="1">
        <v>46253</v>
      </c>
      <c r="C3327" t="s">
        <v>3858</v>
      </c>
      <c r="D3327" t="s">
        <v>71</v>
      </c>
      <c r="E3327" t="s">
        <v>21</v>
      </c>
      <c r="F3327">
        <v>5</v>
      </c>
      <c r="G3327">
        <v>7999</v>
      </c>
      <c r="H3327">
        <v>0.15</v>
      </c>
      <c r="I3327" t="s">
        <v>44</v>
      </c>
      <c r="J3327" t="s">
        <v>16</v>
      </c>
      <c r="K3327" t="s">
        <v>17</v>
      </c>
      <c r="L3327">
        <f>F3326*G3326*(1-H3326)</f>
        <v>8995.5</v>
      </c>
    </row>
    <row r="3328" spans="1:12">
      <c r="A3328" t="s">
        <v>4145</v>
      </c>
      <c r="B3328" s="1">
        <v>46199</v>
      </c>
      <c r="C3328" t="s">
        <v>1754</v>
      </c>
      <c r="D3328" t="s">
        <v>31</v>
      </c>
      <c r="E3328" t="s">
        <v>27</v>
      </c>
      <c r="F3328">
        <v>3</v>
      </c>
      <c r="G3328">
        <v>7999</v>
      </c>
      <c r="H3328">
        <v>0.05</v>
      </c>
      <c r="I3328" t="s">
        <v>44</v>
      </c>
      <c r="J3328" t="s">
        <v>28</v>
      </c>
      <c r="K3328" t="s">
        <v>17</v>
      </c>
      <c r="L3328">
        <f>F3327*G3327*(1-H3327)</f>
        <v>33995.75</v>
      </c>
    </row>
    <row r="3329" spans="1:12">
      <c r="A3329" t="s">
        <v>4146</v>
      </c>
      <c r="B3329" s="1">
        <v>46073</v>
      </c>
      <c r="C3329" t="s">
        <v>1359</v>
      </c>
      <c r="D3329" t="s">
        <v>62</v>
      </c>
      <c r="E3329" t="s">
        <v>27</v>
      </c>
      <c r="F3329">
        <v>5</v>
      </c>
      <c r="G3329">
        <v>2499</v>
      </c>
      <c r="H3329">
        <v>0.15</v>
      </c>
      <c r="I3329" t="s">
        <v>50</v>
      </c>
      <c r="J3329" t="s">
        <v>16</v>
      </c>
      <c r="K3329" t="s">
        <v>17</v>
      </c>
      <c r="L3329">
        <f>F3328*G3328*(1-H3328)</f>
        <v>22797.149999999998</v>
      </c>
    </row>
    <row r="3330" spans="1:12">
      <c r="A3330" t="s">
        <v>4147</v>
      </c>
      <c r="B3330" s="1">
        <v>46198</v>
      </c>
      <c r="C3330" t="s">
        <v>2023</v>
      </c>
      <c r="D3330" t="s">
        <v>13</v>
      </c>
      <c r="E3330" t="s">
        <v>27</v>
      </c>
      <c r="F3330">
        <v>5</v>
      </c>
      <c r="G3330">
        <v>4999</v>
      </c>
      <c r="H3330">
        <v>0</v>
      </c>
      <c r="I3330" t="s">
        <v>47</v>
      </c>
      <c r="J3330" t="s">
        <v>51</v>
      </c>
      <c r="K3330" t="s">
        <v>17</v>
      </c>
      <c r="L3330">
        <f>F3329*G3329*(1-H3329)</f>
        <v>10620.75</v>
      </c>
    </row>
    <row r="3331" spans="1:12">
      <c r="A3331" t="s">
        <v>4148</v>
      </c>
      <c r="B3331" s="1">
        <v>46155</v>
      </c>
      <c r="C3331" t="s">
        <v>1288</v>
      </c>
      <c r="D3331" t="s">
        <v>78</v>
      </c>
      <c r="E3331" t="s">
        <v>27</v>
      </c>
      <c r="F3331">
        <v>4</v>
      </c>
      <c r="G3331">
        <v>1999</v>
      </c>
      <c r="H3331">
        <v>0</v>
      </c>
      <c r="I3331" t="s">
        <v>44</v>
      </c>
      <c r="J3331" t="s">
        <v>22</v>
      </c>
      <c r="K3331" t="s">
        <v>23</v>
      </c>
      <c r="L3331">
        <f>F3330*G3330*(1-H3330)</f>
        <v>24995</v>
      </c>
    </row>
    <row r="3332" spans="1:12">
      <c r="A3332" t="s">
        <v>4149</v>
      </c>
      <c r="B3332" s="1">
        <v>46252</v>
      </c>
      <c r="C3332" t="s">
        <v>2579</v>
      </c>
      <c r="D3332" t="s">
        <v>56</v>
      </c>
      <c r="E3332" t="s">
        <v>35</v>
      </c>
      <c r="F3332">
        <v>2</v>
      </c>
      <c r="G3332">
        <v>499</v>
      </c>
      <c r="H3332">
        <v>0</v>
      </c>
      <c r="I3332" t="s">
        <v>15</v>
      </c>
      <c r="J3332" t="s">
        <v>16</v>
      </c>
      <c r="K3332" t="s">
        <v>37</v>
      </c>
      <c r="L3332">
        <f>F3331*G3331*(1-H3331)</f>
        <v>7996</v>
      </c>
    </row>
    <row r="3333" spans="1:12">
      <c r="A3333" t="s">
        <v>4150</v>
      </c>
      <c r="B3333" s="1">
        <v>46240</v>
      </c>
      <c r="C3333" t="s">
        <v>417</v>
      </c>
      <c r="D3333" t="s">
        <v>20</v>
      </c>
      <c r="E3333" t="s">
        <v>21</v>
      </c>
      <c r="F3333">
        <v>1</v>
      </c>
      <c r="G3333">
        <v>1499</v>
      </c>
      <c r="H3333">
        <v>0.1</v>
      </c>
      <c r="I3333" t="s">
        <v>15</v>
      </c>
      <c r="J3333" t="s">
        <v>51</v>
      </c>
      <c r="K3333" t="s">
        <v>37</v>
      </c>
      <c r="L3333">
        <f>F3332*G3332*(1-H3332)</f>
        <v>998</v>
      </c>
    </row>
    <row r="3334" spans="1:12">
      <c r="A3334" t="s">
        <v>4151</v>
      </c>
      <c r="B3334" s="1">
        <v>46144</v>
      </c>
      <c r="C3334" t="s">
        <v>412</v>
      </c>
      <c r="D3334" t="s">
        <v>59</v>
      </c>
      <c r="E3334" t="s">
        <v>14</v>
      </c>
      <c r="F3334">
        <v>2</v>
      </c>
      <c r="G3334">
        <v>1499</v>
      </c>
      <c r="H3334">
        <v>0</v>
      </c>
      <c r="I3334" t="s">
        <v>15</v>
      </c>
      <c r="J3334" t="s">
        <v>36</v>
      </c>
      <c r="K3334" t="s">
        <v>17</v>
      </c>
      <c r="L3334">
        <f>F3333*G3333*(1-H3333)</f>
        <v>1349.1000000000001</v>
      </c>
    </row>
    <row r="3335" spans="1:12">
      <c r="A3335" t="s">
        <v>4152</v>
      </c>
      <c r="B3335" s="1">
        <v>46146</v>
      </c>
      <c r="C3335" t="s">
        <v>110</v>
      </c>
      <c r="D3335" t="s">
        <v>56</v>
      </c>
      <c r="E3335" t="s">
        <v>27</v>
      </c>
      <c r="F3335">
        <v>3</v>
      </c>
      <c r="G3335">
        <v>599</v>
      </c>
      <c r="H3335">
        <v>0.1</v>
      </c>
      <c r="I3335" t="s">
        <v>32</v>
      </c>
      <c r="J3335" t="s">
        <v>28</v>
      </c>
      <c r="K3335" t="s">
        <v>17</v>
      </c>
      <c r="L3335">
        <f>F3334*G3334*(1-H3334)</f>
        <v>2998</v>
      </c>
    </row>
    <row r="3336" spans="1:12">
      <c r="A3336" t="s">
        <v>4153</v>
      </c>
      <c r="B3336" s="1">
        <v>46204</v>
      </c>
      <c r="C3336" t="s">
        <v>296</v>
      </c>
      <c r="D3336" t="s">
        <v>20</v>
      </c>
      <c r="E3336" t="s">
        <v>35</v>
      </c>
      <c r="F3336">
        <v>4</v>
      </c>
      <c r="G3336">
        <v>599</v>
      </c>
      <c r="H3336">
        <v>0.1</v>
      </c>
      <c r="I3336" t="s">
        <v>44</v>
      </c>
      <c r="J3336" t="s">
        <v>22</v>
      </c>
      <c r="K3336" t="s">
        <v>17</v>
      </c>
      <c r="L3336">
        <f>F3335*G3335*(1-H3335)</f>
        <v>1617.3</v>
      </c>
    </row>
    <row r="3337" spans="1:12">
      <c r="A3337" t="s">
        <v>4154</v>
      </c>
      <c r="B3337" s="1">
        <v>46094</v>
      </c>
      <c r="C3337" t="s">
        <v>1934</v>
      </c>
      <c r="D3337" t="s">
        <v>20</v>
      </c>
      <c r="E3337" t="s">
        <v>40</v>
      </c>
      <c r="F3337">
        <v>3</v>
      </c>
      <c r="G3337">
        <v>499</v>
      </c>
      <c r="H3337">
        <v>0.1</v>
      </c>
      <c r="I3337" t="s">
        <v>32</v>
      </c>
      <c r="J3337" t="s">
        <v>28</v>
      </c>
      <c r="K3337" t="s">
        <v>17</v>
      </c>
      <c r="L3337">
        <f>F3336*G3336*(1-H3336)</f>
        <v>2156.4</v>
      </c>
    </row>
    <row r="3338" spans="1:12">
      <c r="A3338" t="s">
        <v>4155</v>
      </c>
      <c r="B3338" s="1">
        <v>46206</v>
      </c>
      <c r="C3338" t="s">
        <v>1316</v>
      </c>
      <c r="D3338" t="s">
        <v>56</v>
      </c>
      <c r="E3338" t="s">
        <v>21</v>
      </c>
      <c r="F3338">
        <v>5</v>
      </c>
      <c r="G3338">
        <v>2499</v>
      </c>
      <c r="H3338">
        <v>0</v>
      </c>
      <c r="I3338" t="s">
        <v>47</v>
      </c>
      <c r="J3338" t="s">
        <v>36</v>
      </c>
      <c r="K3338" t="s">
        <v>23</v>
      </c>
      <c r="L3338">
        <f>F3337*G3337*(1-H3337)</f>
        <v>1347.3</v>
      </c>
    </row>
    <row r="3339" spans="1:12">
      <c r="A3339" t="s">
        <v>4156</v>
      </c>
      <c r="B3339" s="1">
        <v>46237</v>
      </c>
      <c r="C3339" t="s">
        <v>1302</v>
      </c>
      <c r="D3339" t="s">
        <v>56</v>
      </c>
      <c r="E3339" t="s">
        <v>35</v>
      </c>
      <c r="F3339">
        <v>5</v>
      </c>
      <c r="G3339">
        <v>599</v>
      </c>
      <c r="H3339">
        <v>0</v>
      </c>
      <c r="I3339" t="s">
        <v>15</v>
      </c>
      <c r="J3339" t="s">
        <v>22</v>
      </c>
      <c r="K3339" t="s">
        <v>23</v>
      </c>
      <c r="L3339">
        <f>F3338*G3338*(1-H3338)</f>
        <v>12495</v>
      </c>
    </row>
    <row r="3340" spans="1:12">
      <c r="A3340" t="s">
        <v>4157</v>
      </c>
      <c r="B3340" s="1">
        <v>46245</v>
      </c>
      <c r="C3340" t="s">
        <v>458</v>
      </c>
      <c r="D3340" t="s">
        <v>59</v>
      </c>
      <c r="E3340" t="s">
        <v>40</v>
      </c>
      <c r="F3340">
        <v>3</v>
      </c>
      <c r="G3340">
        <v>4999</v>
      </c>
      <c r="H3340">
        <v>0</v>
      </c>
      <c r="I3340" t="s">
        <v>32</v>
      </c>
      <c r="J3340" t="s">
        <v>28</v>
      </c>
      <c r="K3340" t="s">
        <v>23</v>
      </c>
      <c r="L3340">
        <f>F3339*G3339*(1-H3339)</f>
        <v>2995</v>
      </c>
    </row>
    <row r="3341" spans="1:12">
      <c r="A3341" t="s">
        <v>4158</v>
      </c>
      <c r="B3341" s="1">
        <v>46235</v>
      </c>
      <c r="C3341" t="s">
        <v>1666</v>
      </c>
      <c r="D3341" t="s">
        <v>62</v>
      </c>
      <c r="E3341" t="s">
        <v>21</v>
      </c>
      <c r="F3341">
        <v>3</v>
      </c>
      <c r="G3341">
        <v>499</v>
      </c>
      <c r="H3341">
        <v>0.15</v>
      </c>
      <c r="I3341" t="s">
        <v>47</v>
      </c>
      <c r="J3341" t="s">
        <v>28</v>
      </c>
      <c r="K3341" t="s">
        <v>17</v>
      </c>
      <c r="L3341">
        <f>F3340*G3340*(1-H3340)</f>
        <v>14997</v>
      </c>
    </row>
    <row r="3342" spans="1:12">
      <c r="A3342" t="s">
        <v>4159</v>
      </c>
      <c r="B3342" s="1">
        <v>46169</v>
      </c>
      <c r="C3342" t="s">
        <v>1998</v>
      </c>
      <c r="D3342" t="s">
        <v>78</v>
      </c>
      <c r="E3342" t="s">
        <v>14</v>
      </c>
      <c r="F3342">
        <v>2</v>
      </c>
      <c r="G3342">
        <v>4999</v>
      </c>
      <c r="H3342">
        <v>0.05</v>
      </c>
      <c r="I3342" t="s">
        <v>15</v>
      </c>
      <c r="J3342" t="s">
        <v>22</v>
      </c>
      <c r="K3342" t="s">
        <v>37</v>
      </c>
      <c r="L3342">
        <f>F3341*G3341*(1-H3341)</f>
        <v>1272.45</v>
      </c>
    </row>
    <row r="3343" spans="1:12">
      <c r="A3343" t="s">
        <v>4160</v>
      </c>
      <c r="B3343" s="1">
        <v>46271</v>
      </c>
      <c r="C3343" t="s">
        <v>727</v>
      </c>
      <c r="D3343" t="s">
        <v>78</v>
      </c>
      <c r="E3343" t="s">
        <v>27</v>
      </c>
      <c r="F3343">
        <v>5</v>
      </c>
      <c r="G3343">
        <v>7999</v>
      </c>
      <c r="H3343">
        <v>0</v>
      </c>
      <c r="I3343" t="s">
        <v>32</v>
      </c>
      <c r="J3343" t="s">
        <v>28</v>
      </c>
      <c r="K3343" t="s">
        <v>37</v>
      </c>
      <c r="L3343">
        <f>F3342*G3342*(1-H3342)</f>
        <v>9498.1</v>
      </c>
    </row>
    <row r="3344" spans="1:12">
      <c r="A3344" t="s">
        <v>4161</v>
      </c>
      <c r="B3344" s="1">
        <v>46265</v>
      </c>
      <c r="C3344" t="s">
        <v>160</v>
      </c>
      <c r="D3344" t="s">
        <v>43</v>
      </c>
      <c r="E3344" t="s">
        <v>21</v>
      </c>
      <c r="F3344">
        <v>4</v>
      </c>
      <c r="G3344">
        <v>1499</v>
      </c>
      <c r="H3344">
        <v>0</v>
      </c>
      <c r="I3344" t="s">
        <v>44</v>
      </c>
      <c r="J3344" t="s">
        <v>36</v>
      </c>
      <c r="K3344" t="s">
        <v>23</v>
      </c>
      <c r="L3344">
        <f>F3343*G3343*(1-H3343)</f>
        <v>39995</v>
      </c>
    </row>
    <row r="3345" spans="1:12">
      <c r="A3345" t="s">
        <v>4162</v>
      </c>
      <c r="B3345" s="1">
        <v>46132</v>
      </c>
      <c r="C3345" t="s">
        <v>261</v>
      </c>
      <c r="D3345" t="s">
        <v>26</v>
      </c>
      <c r="E3345" t="s">
        <v>40</v>
      </c>
      <c r="F3345">
        <v>1</v>
      </c>
      <c r="G3345">
        <v>599</v>
      </c>
      <c r="H3345">
        <v>0</v>
      </c>
      <c r="I3345" t="s">
        <v>50</v>
      </c>
      <c r="J3345" t="s">
        <v>16</v>
      </c>
      <c r="K3345" t="s">
        <v>17</v>
      </c>
      <c r="L3345">
        <f>F3344*G3344*(1-H3344)</f>
        <v>5996</v>
      </c>
    </row>
    <row r="3346" spans="1:12">
      <c r="A3346" t="s">
        <v>4163</v>
      </c>
      <c r="B3346" s="1">
        <v>46078</v>
      </c>
      <c r="C3346" t="s">
        <v>331</v>
      </c>
      <c r="D3346" t="s">
        <v>43</v>
      </c>
      <c r="E3346" t="s">
        <v>14</v>
      </c>
      <c r="F3346">
        <v>4</v>
      </c>
      <c r="G3346">
        <v>7999</v>
      </c>
      <c r="H3346">
        <v>0</v>
      </c>
      <c r="I3346" t="s">
        <v>50</v>
      </c>
      <c r="J3346" t="s">
        <v>51</v>
      </c>
      <c r="K3346" t="s">
        <v>23</v>
      </c>
      <c r="L3346">
        <f>F3345*G3345*(1-H3345)</f>
        <v>599</v>
      </c>
    </row>
    <row r="3347" spans="1:12">
      <c r="A3347" t="s">
        <v>4164</v>
      </c>
      <c r="B3347" s="1">
        <v>46156</v>
      </c>
      <c r="C3347" t="s">
        <v>555</v>
      </c>
      <c r="D3347" t="s">
        <v>26</v>
      </c>
      <c r="E3347" t="s">
        <v>14</v>
      </c>
      <c r="F3347">
        <v>2</v>
      </c>
      <c r="G3347">
        <v>4999</v>
      </c>
      <c r="H3347">
        <v>0.1</v>
      </c>
      <c r="I3347" t="s">
        <v>44</v>
      </c>
      <c r="J3347" t="s">
        <v>36</v>
      </c>
      <c r="K3347" t="s">
        <v>17</v>
      </c>
      <c r="L3347">
        <f>F3346*G3346*(1-H3346)</f>
        <v>31996</v>
      </c>
    </row>
    <row r="3348" spans="1:12">
      <c r="A3348" t="s">
        <v>4165</v>
      </c>
      <c r="B3348" s="1">
        <v>46258</v>
      </c>
      <c r="C3348" t="s">
        <v>832</v>
      </c>
      <c r="D3348" t="s">
        <v>26</v>
      </c>
      <c r="E3348" t="s">
        <v>40</v>
      </c>
      <c r="F3348">
        <v>3</v>
      </c>
      <c r="G3348">
        <v>1299</v>
      </c>
      <c r="H3348">
        <v>0.15</v>
      </c>
      <c r="I3348" t="s">
        <v>50</v>
      </c>
      <c r="J3348" t="s">
        <v>16</v>
      </c>
      <c r="K3348" t="s">
        <v>17</v>
      </c>
      <c r="L3348">
        <f>F3347*G3347*(1-H3347)</f>
        <v>8998.2000000000007</v>
      </c>
    </row>
    <row r="3349" spans="1:12">
      <c r="A3349" t="s">
        <v>4166</v>
      </c>
      <c r="B3349" s="1">
        <v>46057</v>
      </c>
      <c r="C3349" t="s">
        <v>646</v>
      </c>
      <c r="D3349" t="s">
        <v>20</v>
      </c>
      <c r="E3349" t="s">
        <v>21</v>
      </c>
      <c r="F3349">
        <v>2</v>
      </c>
      <c r="G3349">
        <v>499</v>
      </c>
      <c r="H3349">
        <v>0</v>
      </c>
      <c r="I3349" t="s">
        <v>15</v>
      </c>
      <c r="J3349" t="s">
        <v>28</v>
      </c>
      <c r="K3349" t="s">
        <v>37</v>
      </c>
      <c r="L3349">
        <f>F3348*G3348*(1-H3348)</f>
        <v>3312.45</v>
      </c>
    </row>
    <row r="3350" spans="1:12">
      <c r="A3350" t="s">
        <v>4167</v>
      </c>
      <c r="B3350" s="1">
        <v>46057</v>
      </c>
      <c r="C3350" t="s">
        <v>1968</v>
      </c>
      <c r="D3350" t="s">
        <v>71</v>
      </c>
      <c r="E3350" t="s">
        <v>35</v>
      </c>
      <c r="F3350">
        <v>1</v>
      </c>
      <c r="G3350">
        <v>1999</v>
      </c>
      <c r="H3350">
        <v>0.05</v>
      </c>
      <c r="I3350" t="s">
        <v>47</v>
      </c>
      <c r="J3350" t="s">
        <v>36</v>
      </c>
      <c r="K3350" t="s">
        <v>17</v>
      </c>
      <c r="L3350">
        <f>F3349*G3349*(1-H3349)</f>
        <v>998</v>
      </c>
    </row>
    <row r="3351" spans="1:12">
      <c r="A3351" t="s">
        <v>4168</v>
      </c>
      <c r="B3351" s="1">
        <v>46230</v>
      </c>
      <c r="C3351" t="s">
        <v>289</v>
      </c>
      <c r="D3351" t="s">
        <v>59</v>
      </c>
      <c r="E3351" t="s">
        <v>40</v>
      </c>
      <c r="F3351">
        <v>2</v>
      </c>
      <c r="G3351">
        <v>1299</v>
      </c>
      <c r="H3351">
        <v>0</v>
      </c>
      <c r="I3351" t="s">
        <v>32</v>
      </c>
      <c r="J3351" t="s">
        <v>16</v>
      </c>
      <c r="K3351" t="s">
        <v>17</v>
      </c>
      <c r="L3351">
        <f>F3350*G3350*(1-H3350)</f>
        <v>1899.05</v>
      </c>
    </row>
    <row r="3352" spans="1:12">
      <c r="A3352" t="s">
        <v>4169</v>
      </c>
      <c r="B3352" s="1">
        <v>46102</v>
      </c>
      <c r="C3352" t="s">
        <v>318</v>
      </c>
      <c r="D3352" t="s">
        <v>78</v>
      </c>
      <c r="E3352" t="s">
        <v>21</v>
      </c>
      <c r="F3352">
        <v>2</v>
      </c>
      <c r="G3352">
        <v>2499</v>
      </c>
      <c r="H3352">
        <v>0.15</v>
      </c>
      <c r="I3352" t="s">
        <v>15</v>
      </c>
      <c r="J3352" t="s">
        <v>22</v>
      </c>
      <c r="K3352" t="s">
        <v>17</v>
      </c>
      <c r="L3352">
        <f>F3351*G3351*(1-H3351)</f>
        <v>2598</v>
      </c>
    </row>
    <row r="3353" spans="1:12">
      <c r="A3353" t="s">
        <v>4170</v>
      </c>
      <c r="B3353" s="1">
        <v>46123</v>
      </c>
      <c r="C3353" t="s">
        <v>1118</v>
      </c>
      <c r="D3353" t="s">
        <v>31</v>
      </c>
      <c r="E3353" t="s">
        <v>14</v>
      </c>
      <c r="F3353">
        <v>5</v>
      </c>
      <c r="G3353">
        <v>4999</v>
      </c>
      <c r="H3353">
        <v>0.15</v>
      </c>
      <c r="I3353" t="s">
        <v>50</v>
      </c>
      <c r="J3353" t="s">
        <v>22</v>
      </c>
      <c r="K3353" t="s">
        <v>23</v>
      </c>
      <c r="L3353">
        <f>F3352*G3352*(1-H3352)</f>
        <v>4248.3</v>
      </c>
    </row>
    <row r="3354" spans="1:12">
      <c r="A3354" t="s">
        <v>4171</v>
      </c>
      <c r="B3354" s="1">
        <v>46027</v>
      </c>
      <c r="C3354" t="s">
        <v>73</v>
      </c>
      <c r="D3354" t="s">
        <v>56</v>
      </c>
      <c r="E3354" t="s">
        <v>40</v>
      </c>
      <c r="F3354">
        <v>4</v>
      </c>
      <c r="G3354">
        <v>2499</v>
      </c>
      <c r="H3354">
        <v>0.05</v>
      </c>
      <c r="I3354" t="s">
        <v>15</v>
      </c>
      <c r="J3354" t="s">
        <v>16</v>
      </c>
      <c r="K3354" t="s">
        <v>23</v>
      </c>
      <c r="L3354">
        <f>F3353*G3353*(1-H3353)</f>
        <v>21245.75</v>
      </c>
    </row>
    <row r="3355" spans="1:12">
      <c r="A3355" t="s">
        <v>4172</v>
      </c>
      <c r="B3355" s="1">
        <v>46102</v>
      </c>
      <c r="C3355" t="s">
        <v>1632</v>
      </c>
      <c r="D3355" t="s">
        <v>78</v>
      </c>
      <c r="E3355" t="s">
        <v>40</v>
      </c>
      <c r="F3355">
        <v>3</v>
      </c>
      <c r="G3355">
        <v>2499</v>
      </c>
      <c r="H3355">
        <v>0</v>
      </c>
      <c r="I3355" t="s">
        <v>15</v>
      </c>
      <c r="J3355" t="s">
        <v>51</v>
      </c>
      <c r="K3355" t="s">
        <v>23</v>
      </c>
      <c r="L3355">
        <f>F3354*G3354*(1-H3354)</f>
        <v>9496.1999999999989</v>
      </c>
    </row>
    <row r="3356" spans="1:12">
      <c r="A3356" t="s">
        <v>4173</v>
      </c>
      <c r="B3356" s="1">
        <v>46061</v>
      </c>
      <c r="C3356" t="s">
        <v>329</v>
      </c>
      <c r="D3356" t="s">
        <v>71</v>
      </c>
      <c r="E3356" t="s">
        <v>21</v>
      </c>
      <c r="F3356">
        <v>1</v>
      </c>
      <c r="G3356">
        <v>1299</v>
      </c>
      <c r="H3356">
        <v>0.1</v>
      </c>
      <c r="I3356" t="s">
        <v>47</v>
      </c>
      <c r="J3356" t="s">
        <v>51</v>
      </c>
      <c r="K3356" t="s">
        <v>17</v>
      </c>
      <c r="L3356">
        <f>F3355*G3355*(1-H3355)</f>
        <v>7497</v>
      </c>
    </row>
    <row r="3357" spans="1:12">
      <c r="A3357" t="s">
        <v>4174</v>
      </c>
      <c r="B3357" s="1">
        <v>46096</v>
      </c>
      <c r="C3357" t="s">
        <v>104</v>
      </c>
      <c r="D3357" t="s">
        <v>13</v>
      </c>
      <c r="E3357" t="s">
        <v>35</v>
      </c>
      <c r="F3357">
        <v>1</v>
      </c>
      <c r="G3357">
        <v>4999</v>
      </c>
      <c r="H3357">
        <v>0</v>
      </c>
      <c r="I3357" t="s">
        <v>44</v>
      </c>
      <c r="J3357" t="s">
        <v>36</v>
      </c>
      <c r="K3357" t="s">
        <v>37</v>
      </c>
      <c r="L3357">
        <f>F3356*G3356*(1-H3356)</f>
        <v>1169.1000000000001</v>
      </c>
    </row>
    <row r="3358" spans="1:12">
      <c r="A3358" t="s">
        <v>4175</v>
      </c>
      <c r="B3358" s="1">
        <v>46231</v>
      </c>
      <c r="C3358" t="s">
        <v>117</v>
      </c>
      <c r="D3358" t="s">
        <v>59</v>
      </c>
      <c r="E3358" t="s">
        <v>35</v>
      </c>
      <c r="F3358">
        <v>1</v>
      </c>
      <c r="G3358">
        <v>999</v>
      </c>
      <c r="H3358">
        <v>0</v>
      </c>
      <c r="I3358" t="s">
        <v>44</v>
      </c>
      <c r="J3358" t="s">
        <v>28</v>
      </c>
      <c r="K3358" t="s">
        <v>17</v>
      </c>
      <c r="L3358">
        <f>F3357*G3357*(1-H3357)</f>
        <v>4999</v>
      </c>
    </row>
    <row r="3359" spans="1:12">
      <c r="A3359" t="s">
        <v>4176</v>
      </c>
      <c r="B3359" s="1">
        <v>46244</v>
      </c>
      <c r="C3359" t="s">
        <v>325</v>
      </c>
      <c r="D3359" t="s">
        <v>78</v>
      </c>
      <c r="E3359" t="s">
        <v>40</v>
      </c>
      <c r="F3359">
        <v>2</v>
      </c>
      <c r="G3359">
        <v>2499</v>
      </c>
      <c r="H3359">
        <v>0.1</v>
      </c>
      <c r="I3359" t="s">
        <v>44</v>
      </c>
      <c r="J3359" t="s">
        <v>28</v>
      </c>
      <c r="K3359" t="s">
        <v>37</v>
      </c>
      <c r="L3359">
        <f>F3358*G3358*(1-H3358)</f>
        <v>999</v>
      </c>
    </row>
    <row r="3360" spans="1:12">
      <c r="A3360" t="s">
        <v>4177</v>
      </c>
      <c r="B3360" s="1">
        <v>46159</v>
      </c>
      <c r="C3360" t="s">
        <v>70</v>
      </c>
      <c r="D3360" t="s">
        <v>20</v>
      </c>
      <c r="E3360" t="s">
        <v>21</v>
      </c>
      <c r="F3360">
        <v>1</v>
      </c>
      <c r="G3360">
        <v>499</v>
      </c>
      <c r="H3360">
        <v>0.05</v>
      </c>
      <c r="I3360" t="s">
        <v>32</v>
      </c>
      <c r="J3360" t="s">
        <v>36</v>
      </c>
      <c r="K3360" t="s">
        <v>37</v>
      </c>
      <c r="L3360">
        <f>F3359*G3359*(1-H3359)</f>
        <v>4498.2</v>
      </c>
    </row>
    <row r="3361" spans="1:12">
      <c r="A3361" t="s">
        <v>4178</v>
      </c>
      <c r="B3361" s="1">
        <v>46111</v>
      </c>
      <c r="C3361" t="s">
        <v>4179</v>
      </c>
      <c r="D3361" t="s">
        <v>78</v>
      </c>
      <c r="E3361" t="s">
        <v>14</v>
      </c>
      <c r="F3361">
        <v>2</v>
      </c>
      <c r="G3361">
        <v>499</v>
      </c>
      <c r="H3361">
        <v>0.15</v>
      </c>
      <c r="I3361" t="s">
        <v>47</v>
      </c>
      <c r="J3361" t="s">
        <v>36</v>
      </c>
      <c r="K3361" t="s">
        <v>17</v>
      </c>
      <c r="L3361">
        <f>F3360*G3360*(1-H3360)</f>
        <v>474.04999999999995</v>
      </c>
    </row>
    <row r="3362" spans="1:12">
      <c r="A3362" t="s">
        <v>4180</v>
      </c>
      <c r="B3362" s="1">
        <v>46214</v>
      </c>
      <c r="C3362" t="s">
        <v>46</v>
      </c>
      <c r="D3362" t="s">
        <v>59</v>
      </c>
      <c r="E3362" t="s">
        <v>21</v>
      </c>
      <c r="F3362">
        <v>2</v>
      </c>
      <c r="G3362">
        <v>1299</v>
      </c>
      <c r="H3362">
        <v>0.1</v>
      </c>
      <c r="I3362" t="s">
        <v>32</v>
      </c>
      <c r="J3362" t="s">
        <v>36</v>
      </c>
      <c r="K3362" t="s">
        <v>17</v>
      </c>
      <c r="L3362">
        <f>F3361*G3361*(1-H3361)</f>
        <v>848.3</v>
      </c>
    </row>
    <row r="3363" spans="1:12">
      <c r="A3363" t="s">
        <v>4181</v>
      </c>
      <c r="B3363" s="1">
        <v>46281</v>
      </c>
      <c r="C3363" t="s">
        <v>1017</v>
      </c>
      <c r="D3363" t="s">
        <v>59</v>
      </c>
      <c r="E3363" t="s">
        <v>14</v>
      </c>
      <c r="F3363">
        <v>2</v>
      </c>
      <c r="G3363">
        <v>1999</v>
      </c>
      <c r="H3363">
        <v>0</v>
      </c>
      <c r="I3363" t="s">
        <v>15</v>
      </c>
      <c r="J3363" t="s">
        <v>22</v>
      </c>
      <c r="K3363" t="s">
        <v>17</v>
      </c>
      <c r="L3363">
        <f>F3362*G3362*(1-H3362)</f>
        <v>2338.2000000000003</v>
      </c>
    </row>
    <row r="3364" spans="1:12">
      <c r="A3364" t="s">
        <v>4182</v>
      </c>
      <c r="B3364" s="1">
        <v>46164</v>
      </c>
      <c r="C3364" t="s">
        <v>2679</v>
      </c>
      <c r="D3364" t="s">
        <v>31</v>
      </c>
      <c r="E3364" t="s">
        <v>35</v>
      </c>
      <c r="F3364">
        <v>4</v>
      </c>
      <c r="G3364">
        <v>799</v>
      </c>
      <c r="H3364">
        <v>0.1</v>
      </c>
      <c r="I3364" t="s">
        <v>15</v>
      </c>
      <c r="J3364" t="s">
        <v>36</v>
      </c>
      <c r="K3364" t="s">
        <v>17</v>
      </c>
      <c r="L3364">
        <f>F3363*G3363*(1-H3363)</f>
        <v>3998</v>
      </c>
    </row>
    <row r="3365" spans="1:12">
      <c r="A3365" t="s">
        <v>4183</v>
      </c>
      <c r="B3365" s="1">
        <v>46272</v>
      </c>
      <c r="C3365" t="s">
        <v>720</v>
      </c>
      <c r="D3365" t="s">
        <v>62</v>
      </c>
      <c r="E3365" t="s">
        <v>40</v>
      </c>
      <c r="F3365">
        <v>5</v>
      </c>
      <c r="G3365">
        <v>1499</v>
      </c>
      <c r="H3365">
        <v>0</v>
      </c>
      <c r="I3365" t="s">
        <v>15</v>
      </c>
      <c r="J3365" t="s">
        <v>16</v>
      </c>
      <c r="K3365" t="s">
        <v>37</v>
      </c>
      <c r="L3365">
        <f>F3364*G3364*(1-H3364)</f>
        <v>2876.4</v>
      </c>
    </row>
    <row r="3366" spans="1:12">
      <c r="A3366" t="s">
        <v>4184</v>
      </c>
      <c r="B3366" s="1">
        <v>46293</v>
      </c>
      <c r="C3366" t="s">
        <v>749</v>
      </c>
      <c r="D3366" t="s">
        <v>13</v>
      </c>
      <c r="E3366" t="s">
        <v>40</v>
      </c>
      <c r="F3366">
        <v>1</v>
      </c>
      <c r="G3366">
        <v>4999</v>
      </c>
      <c r="H3366">
        <v>0.1</v>
      </c>
      <c r="I3366" t="s">
        <v>15</v>
      </c>
      <c r="J3366" t="s">
        <v>28</v>
      </c>
      <c r="K3366" t="s">
        <v>17</v>
      </c>
      <c r="L3366">
        <f>F3365*G3365*(1-H3365)</f>
        <v>7495</v>
      </c>
    </row>
    <row r="3367" spans="1:12">
      <c r="A3367" t="s">
        <v>4185</v>
      </c>
      <c r="B3367" s="1">
        <v>46261</v>
      </c>
      <c r="C3367" t="s">
        <v>4186</v>
      </c>
      <c r="D3367" t="s">
        <v>13</v>
      </c>
      <c r="E3367" t="s">
        <v>40</v>
      </c>
      <c r="F3367">
        <v>1</v>
      </c>
      <c r="G3367">
        <v>1299</v>
      </c>
      <c r="H3367">
        <v>0.05</v>
      </c>
      <c r="I3367" t="s">
        <v>50</v>
      </c>
      <c r="J3367" t="s">
        <v>28</v>
      </c>
      <c r="K3367" t="s">
        <v>17</v>
      </c>
      <c r="L3367">
        <f>F3366*G3366*(1-H3366)</f>
        <v>4499.1000000000004</v>
      </c>
    </row>
    <row r="3368" spans="1:12">
      <c r="A3368" t="s">
        <v>4187</v>
      </c>
      <c r="B3368" s="1">
        <v>46186</v>
      </c>
      <c r="C3368" t="s">
        <v>1115</v>
      </c>
      <c r="D3368" t="s">
        <v>13</v>
      </c>
      <c r="E3368" t="s">
        <v>35</v>
      </c>
      <c r="F3368">
        <v>4</v>
      </c>
      <c r="G3368">
        <v>1999</v>
      </c>
      <c r="H3368">
        <v>0</v>
      </c>
      <c r="I3368" t="s">
        <v>32</v>
      </c>
      <c r="J3368" t="s">
        <v>51</v>
      </c>
      <c r="K3368" t="s">
        <v>17</v>
      </c>
      <c r="L3368">
        <f>F3367*G3367*(1-H3367)</f>
        <v>1234.05</v>
      </c>
    </row>
    <row r="3369" spans="1:12">
      <c r="A3369" t="s">
        <v>4188</v>
      </c>
      <c r="B3369" s="1">
        <v>46236</v>
      </c>
      <c r="C3369" t="s">
        <v>1355</v>
      </c>
      <c r="D3369" t="s">
        <v>13</v>
      </c>
      <c r="E3369" t="s">
        <v>40</v>
      </c>
      <c r="F3369">
        <v>2</v>
      </c>
      <c r="G3369">
        <v>7999</v>
      </c>
      <c r="H3369">
        <v>0</v>
      </c>
      <c r="I3369" t="s">
        <v>44</v>
      </c>
      <c r="J3369" t="s">
        <v>16</v>
      </c>
      <c r="K3369" t="s">
        <v>17</v>
      </c>
      <c r="L3369">
        <f>F3368*G3368*(1-H3368)</f>
        <v>7996</v>
      </c>
    </row>
    <row r="3370" spans="1:12">
      <c r="A3370" t="s">
        <v>4189</v>
      </c>
      <c r="B3370" s="1">
        <v>46256</v>
      </c>
      <c r="C3370" t="s">
        <v>496</v>
      </c>
      <c r="D3370" t="s">
        <v>43</v>
      </c>
      <c r="E3370" t="s">
        <v>27</v>
      </c>
      <c r="F3370">
        <v>3</v>
      </c>
      <c r="G3370">
        <v>999</v>
      </c>
      <c r="H3370">
        <v>0.05</v>
      </c>
      <c r="I3370" t="s">
        <v>15</v>
      </c>
      <c r="J3370" t="s">
        <v>36</v>
      </c>
      <c r="K3370" t="s">
        <v>17</v>
      </c>
      <c r="L3370">
        <f>F3369*G3369*(1-H3369)</f>
        <v>15998</v>
      </c>
    </row>
    <row r="3371" spans="1:12">
      <c r="A3371" t="s">
        <v>4190</v>
      </c>
      <c r="B3371" s="1">
        <v>46174</v>
      </c>
      <c r="C3371" t="s">
        <v>581</v>
      </c>
      <c r="D3371" t="s">
        <v>71</v>
      </c>
      <c r="E3371" t="s">
        <v>21</v>
      </c>
      <c r="F3371">
        <v>5</v>
      </c>
      <c r="G3371">
        <v>1299</v>
      </c>
      <c r="H3371">
        <v>0</v>
      </c>
      <c r="I3371" t="s">
        <v>50</v>
      </c>
      <c r="J3371" t="s">
        <v>51</v>
      </c>
      <c r="K3371" t="s">
        <v>23</v>
      </c>
      <c r="L3371">
        <f>F3370*G3370*(1-H3370)</f>
        <v>2847.15</v>
      </c>
    </row>
    <row r="3372" spans="1:12">
      <c r="A3372" t="s">
        <v>4191</v>
      </c>
      <c r="B3372" s="1">
        <v>46243</v>
      </c>
      <c r="C3372" t="s">
        <v>4192</v>
      </c>
      <c r="D3372" t="s">
        <v>43</v>
      </c>
      <c r="E3372" t="s">
        <v>27</v>
      </c>
      <c r="F3372">
        <v>4</v>
      </c>
      <c r="G3372">
        <v>1499</v>
      </c>
      <c r="H3372">
        <v>0</v>
      </c>
      <c r="I3372" t="s">
        <v>44</v>
      </c>
      <c r="J3372" t="s">
        <v>51</v>
      </c>
      <c r="K3372" t="s">
        <v>23</v>
      </c>
      <c r="L3372">
        <f>F3371*G3371*(1-H3371)</f>
        <v>6495</v>
      </c>
    </row>
    <row r="3373" spans="1:12">
      <c r="A3373" t="s">
        <v>4193</v>
      </c>
      <c r="B3373" s="1">
        <v>46175</v>
      </c>
      <c r="C3373" t="s">
        <v>2103</v>
      </c>
      <c r="D3373" t="s">
        <v>71</v>
      </c>
      <c r="E3373" t="s">
        <v>21</v>
      </c>
      <c r="F3373">
        <v>3</v>
      </c>
      <c r="G3373">
        <v>7999</v>
      </c>
      <c r="H3373">
        <v>0.15</v>
      </c>
      <c r="I3373" t="s">
        <v>47</v>
      </c>
      <c r="J3373" t="s">
        <v>36</v>
      </c>
      <c r="K3373" t="s">
        <v>17</v>
      </c>
      <c r="L3373">
        <f>F3372*G3372*(1-H3372)</f>
        <v>5996</v>
      </c>
    </row>
    <row r="3374" spans="1:12">
      <c r="A3374" t="s">
        <v>4194</v>
      </c>
      <c r="B3374" s="1">
        <v>46276</v>
      </c>
      <c r="C3374" t="s">
        <v>989</v>
      </c>
      <c r="D3374" t="s">
        <v>20</v>
      </c>
      <c r="E3374" t="s">
        <v>40</v>
      </c>
      <c r="F3374">
        <v>3</v>
      </c>
      <c r="G3374">
        <v>1499</v>
      </c>
      <c r="H3374">
        <v>0.15</v>
      </c>
      <c r="I3374" t="s">
        <v>32</v>
      </c>
      <c r="J3374" t="s">
        <v>51</v>
      </c>
      <c r="K3374" t="s">
        <v>23</v>
      </c>
      <c r="L3374">
        <f>F3373*G3373*(1-H3373)</f>
        <v>20397.45</v>
      </c>
    </row>
    <row r="3375" spans="1:12">
      <c r="A3375" t="s">
        <v>4195</v>
      </c>
      <c r="B3375" s="1">
        <v>46129</v>
      </c>
      <c r="C3375" t="s">
        <v>180</v>
      </c>
      <c r="D3375" t="s">
        <v>71</v>
      </c>
      <c r="E3375" t="s">
        <v>27</v>
      </c>
      <c r="F3375">
        <v>4</v>
      </c>
      <c r="G3375">
        <v>799</v>
      </c>
      <c r="H3375">
        <v>0.05</v>
      </c>
      <c r="I3375" t="s">
        <v>50</v>
      </c>
      <c r="J3375" t="s">
        <v>28</v>
      </c>
      <c r="K3375" t="s">
        <v>17</v>
      </c>
      <c r="L3375">
        <f>F3374*G3374*(1-H3374)</f>
        <v>3822.45</v>
      </c>
    </row>
    <row r="3376" spans="1:12">
      <c r="A3376" t="s">
        <v>4196</v>
      </c>
      <c r="B3376" s="1">
        <v>46235</v>
      </c>
      <c r="C3376" t="s">
        <v>594</v>
      </c>
      <c r="D3376" t="s">
        <v>62</v>
      </c>
      <c r="E3376" t="s">
        <v>35</v>
      </c>
      <c r="F3376">
        <v>1</v>
      </c>
      <c r="G3376">
        <v>4999</v>
      </c>
      <c r="H3376">
        <v>0.1</v>
      </c>
      <c r="I3376" t="s">
        <v>15</v>
      </c>
      <c r="J3376" t="s">
        <v>36</v>
      </c>
      <c r="K3376" t="s">
        <v>17</v>
      </c>
      <c r="L3376">
        <f>F3375*G3375*(1-H3375)</f>
        <v>3036.2</v>
      </c>
    </row>
    <row r="3377" spans="1:12">
      <c r="A3377" t="s">
        <v>4197</v>
      </c>
      <c r="B3377" s="1">
        <v>46060</v>
      </c>
      <c r="C3377" t="s">
        <v>475</v>
      </c>
      <c r="D3377" t="s">
        <v>59</v>
      </c>
      <c r="E3377" t="s">
        <v>27</v>
      </c>
      <c r="F3377">
        <v>1</v>
      </c>
      <c r="G3377">
        <v>799</v>
      </c>
      <c r="H3377">
        <v>0</v>
      </c>
      <c r="I3377" t="s">
        <v>15</v>
      </c>
      <c r="J3377" t="s">
        <v>16</v>
      </c>
      <c r="K3377" t="s">
        <v>17</v>
      </c>
      <c r="L3377">
        <f>F3376*G3376*(1-H3376)</f>
        <v>4499.1000000000004</v>
      </c>
    </row>
    <row r="3378" spans="1:12">
      <c r="A3378" t="s">
        <v>4198</v>
      </c>
      <c r="B3378" s="1">
        <v>46056</v>
      </c>
      <c r="C3378" t="s">
        <v>1017</v>
      </c>
      <c r="D3378" t="s">
        <v>59</v>
      </c>
      <c r="E3378" t="s">
        <v>21</v>
      </c>
      <c r="F3378">
        <v>1</v>
      </c>
      <c r="G3378">
        <v>799</v>
      </c>
      <c r="H3378">
        <v>0</v>
      </c>
      <c r="I3378" t="s">
        <v>44</v>
      </c>
      <c r="J3378" t="s">
        <v>22</v>
      </c>
      <c r="K3378" t="s">
        <v>17</v>
      </c>
      <c r="L3378">
        <f>F3377*G3377*(1-H3377)</f>
        <v>799</v>
      </c>
    </row>
    <row r="3379" spans="1:12">
      <c r="A3379" t="s">
        <v>4199</v>
      </c>
      <c r="B3379" s="1">
        <v>46280</v>
      </c>
      <c r="C3379" t="s">
        <v>3934</v>
      </c>
      <c r="D3379" t="s">
        <v>26</v>
      </c>
      <c r="E3379" t="s">
        <v>14</v>
      </c>
      <c r="F3379">
        <v>2</v>
      </c>
      <c r="G3379">
        <v>1499</v>
      </c>
      <c r="H3379">
        <v>0.15</v>
      </c>
      <c r="I3379" t="s">
        <v>44</v>
      </c>
      <c r="J3379" t="s">
        <v>36</v>
      </c>
      <c r="K3379" t="s">
        <v>17</v>
      </c>
      <c r="L3379">
        <f>F3378*G3378*(1-H3378)</f>
        <v>799</v>
      </c>
    </row>
    <row r="3380" spans="1:12">
      <c r="A3380" t="s">
        <v>4200</v>
      </c>
      <c r="B3380" s="1">
        <v>46055</v>
      </c>
      <c r="C3380" t="s">
        <v>1465</v>
      </c>
      <c r="D3380" t="s">
        <v>43</v>
      </c>
      <c r="E3380" t="s">
        <v>14</v>
      </c>
      <c r="F3380">
        <v>2</v>
      </c>
      <c r="G3380">
        <v>599</v>
      </c>
      <c r="H3380">
        <v>0</v>
      </c>
      <c r="I3380" t="s">
        <v>44</v>
      </c>
      <c r="J3380" t="s">
        <v>22</v>
      </c>
      <c r="K3380" t="s">
        <v>17</v>
      </c>
      <c r="L3380">
        <f>F3379*G3379*(1-H3379)</f>
        <v>2548.2999999999997</v>
      </c>
    </row>
    <row r="3381" spans="1:12">
      <c r="A3381" t="s">
        <v>4201</v>
      </c>
      <c r="B3381" s="1">
        <v>46200</v>
      </c>
      <c r="C3381" t="s">
        <v>2115</v>
      </c>
      <c r="D3381" t="s">
        <v>78</v>
      </c>
      <c r="E3381" t="s">
        <v>40</v>
      </c>
      <c r="F3381">
        <v>1</v>
      </c>
      <c r="G3381">
        <v>499</v>
      </c>
      <c r="H3381">
        <v>0.15</v>
      </c>
      <c r="I3381" t="s">
        <v>32</v>
      </c>
      <c r="J3381" t="s">
        <v>22</v>
      </c>
      <c r="K3381" t="s">
        <v>17</v>
      </c>
      <c r="L3381">
        <f>F3380*G3380*(1-H3380)</f>
        <v>1198</v>
      </c>
    </row>
    <row r="3382" spans="1:12">
      <c r="A3382" t="s">
        <v>4202</v>
      </c>
      <c r="B3382" s="1">
        <v>46057</v>
      </c>
      <c r="C3382" t="s">
        <v>3757</v>
      </c>
      <c r="D3382" t="s">
        <v>13</v>
      </c>
      <c r="E3382" t="s">
        <v>40</v>
      </c>
      <c r="F3382">
        <v>2</v>
      </c>
      <c r="G3382">
        <v>2499</v>
      </c>
      <c r="H3382">
        <v>0</v>
      </c>
      <c r="I3382" t="s">
        <v>15</v>
      </c>
      <c r="J3382" t="s">
        <v>36</v>
      </c>
      <c r="K3382" t="s">
        <v>23</v>
      </c>
      <c r="L3382">
        <f>F3381*G3381*(1-H3381)</f>
        <v>424.15</v>
      </c>
    </row>
    <row r="3383" spans="1:12">
      <c r="A3383" t="s">
        <v>4203</v>
      </c>
      <c r="B3383" s="1">
        <v>46208</v>
      </c>
      <c r="C3383" t="s">
        <v>269</v>
      </c>
      <c r="D3383" t="s">
        <v>43</v>
      </c>
      <c r="E3383" t="s">
        <v>40</v>
      </c>
      <c r="F3383">
        <v>2</v>
      </c>
      <c r="G3383">
        <v>1499</v>
      </c>
      <c r="H3383">
        <v>0</v>
      </c>
      <c r="I3383" t="s">
        <v>32</v>
      </c>
      <c r="J3383" t="s">
        <v>51</v>
      </c>
      <c r="K3383" t="s">
        <v>23</v>
      </c>
      <c r="L3383">
        <f>F3382*G3382*(1-H3382)</f>
        <v>4998</v>
      </c>
    </row>
    <row r="3384" spans="1:12">
      <c r="A3384" t="s">
        <v>4204</v>
      </c>
      <c r="B3384" s="1">
        <v>46050</v>
      </c>
      <c r="C3384" t="s">
        <v>1031</v>
      </c>
      <c r="D3384" t="s">
        <v>59</v>
      </c>
      <c r="E3384" t="s">
        <v>35</v>
      </c>
      <c r="F3384">
        <v>1</v>
      </c>
      <c r="G3384">
        <v>1499</v>
      </c>
      <c r="H3384">
        <v>0</v>
      </c>
      <c r="I3384" t="s">
        <v>44</v>
      </c>
      <c r="J3384" t="s">
        <v>36</v>
      </c>
      <c r="K3384" t="s">
        <v>17</v>
      </c>
      <c r="L3384">
        <f>F3383*G3383*(1-H3383)</f>
        <v>2998</v>
      </c>
    </row>
    <row r="3385" spans="1:12">
      <c r="A3385" t="s">
        <v>4205</v>
      </c>
      <c r="B3385" s="1">
        <v>46250</v>
      </c>
      <c r="C3385" t="s">
        <v>492</v>
      </c>
      <c r="D3385" t="s">
        <v>43</v>
      </c>
      <c r="E3385" t="s">
        <v>27</v>
      </c>
      <c r="F3385">
        <v>1</v>
      </c>
      <c r="G3385">
        <v>7999</v>
      </c>
      <c r="H3385">
        <v>0.1</v>
      </c>
      <c r="I3385" t="s">
        <v>32</v>
      </c>
      <c r="J3385" t="s">
        <v>36</v>
      </c>
      <c r="K3385" t="s">
        <v>23</v>
      </c>
      <c r="L3385">
        <f>F3384*G3384*(1-H3384)</f>
        <v>1499</v>
      </c>
    </row>
    <row r="3386" spans="1:12">
      <c r="A3386" t="s">
        <v>4206</v>
      </c>
      <c r="B3386" s="1">
        <v>46254</v>
      </c>
      <c r="C3386" t="s">
        <v>653</v>
      </c>
      <c r="D3386" t="s">
        <v>43</v>
      </c>
      <c r="E3386" t="s">
        <v>35</v>
      </c>
      <c r="F3386">
        <v>3</v>
      </c>
      <c r="G3386">
        <v>1299</v>
      </c>
      <c r="H3386">
        <v>0</v>
      </c>
      <c r="I3386" t="s">
        <v>44</v>
      </c>
      <c r="J3386" t="s">
        <v>28</v>
      </c>
      <c r="K3386" t="s">
        <v>17</v>
      </c>
      <c r="L3386">
        <f>F3385*G3385*(1-H3385)</f>
        <v>7199.1</v>
      </c>
    </row>
    <row r="3387" spans="1:12">
      <c r="A3387" t="s">
        <v>4207</v>
      </c>
      <c r="B3387" s="1">
        <v>46229</v>
      </c>
      <c r="C3387" t="s">
        <v>372</v>
      </c>
      <c r="D3387" t="s">
        <v>71</v>
      </c>
      <c r="E3387" t="s">
        <v>21</v>
      </c>
      <c r="F3387">
        <v>1</v>
      </c>
      <c r="G3387">
        <v>499</v>
      </c>
      <c r="H3387">
        <v>0</v>
      </c>
      <c r="I3387" t="s">
        <v>44</v>
      </c>
      <c r="J3387" t="s">
        <v>51</v>
      </c>
      <c r="K3387" t="s">
        <v>23</v>
      </c>
      <c r="L3387">
        <f>F3386*G3386*(1-H3386)</f>
        <v>3897</v>
      </c>
    </row>
    <row r="3388" spans="1:12">
      <c r="A3388" t="s">
        <v>4208</v>
      </c>
      <c r="B3388" s="1">
        <v>46095</v>
      </c>
      <c r="C3388" t="s">
        <v>3006</v>
      </c>
      <c r="D3388" t="s">
        <v>13</v>
      </c>
      <c r="E3388" t="s">
        <v>35</v>
      </c>
      <c r="F3388">
        <v>4</v>
      </c>
      <c r="G3388">
        <v>799</v>
      </c>
      <c r="H3388">
        <v>0</v>
      </c>
      <c r="I3388" t="s">
        <v>15</v>
      </c>
      <c r="J3388" t="s">
        <v>28</v>
      </c>
      <c r="K3388" t="s">
        <v>37</v>
      </c>
      <c r="L3388">
        <f>F3387*G3387*(1-H3387)</f>
        <v>499</v>
      </c>
    </row>
    <row r="3389" spans="1:12">
      <c r="A3389" t="s">
        <v>4209</v>
      </c>
      <c r="B3389" s="1">
        <v>46266</v>
      </c>
      <c r="C3389" t="s">
        <v>3792</v>
      </c>
      <c r="D3389" t="s">
        <v>71</v>
      </c>
      <c r="E3389" t="s">
        <v>40</v>
      </c>
      <c r="F3389">
        <v>1</v>
      </c>
      <c r="G3389">
        <v>499</v>
      </c>
      <c r="H3389">
        <v>0.1</v>
      </c>
      <c r="I3389" t="s">
        <v>44</v>
      </c>
      <c r="J3389" t="s">
        <v>51</v>
      </c>
      <c r="K3389" t="s">
        <v>37</v>
      </c>
      <c r="L3389">
        <f>F3388*G3388*(1-H3388)</f>
        <v>3196</v>
      </c>
    </row>
    <row r="3390" spans="1:12">
      <c r="A3390" t="s">
        <v>4210</v>
      </c>
      <c r="B3390" s="1">
        <v>46090</v>
      </c>
      <c r="C3390" t="s">
        <v>2520</v>
      </c>
      <c r="D3390" t="s">
        <v>26</v>
      </c>
      <c r="E3390" t="s">
        <v>21</v>
      </c>
      <c r="F3390">
        <v>4</v>
      </c>
      <c r="G3390">
        <v>4999</v>
      </c>
      <c r="H3390">
        <v>0</v>
      </c>
      <c r="I3390" t="s">
        <v>15</v>
      </c>
      <c r="J3390" t="s">
        <v>22</v>
      </c>
      <c r="K3390" t="s">
        <v>17</v>
      </c>
      <c r="L3390">
        <f>F3389*G3389*(1-H3389)</f>
        <v>449.1</v>
      </c>
    </row>
    <row r="3391" spans="1:12">
      <c r="A3391" t="s">
        <v>4211</v>
      </c>
      <c r="B3391" s="1">
        <v>46187</v>
      </c>
      <c r="C3391" t="s">
        <v>524</v>
      </c>
      <c r="D3391" t="s">
        <v>20</v>
      </c>
      <c r="E3391" t="s">
        <v>27</v>
      </c>
      <c r="F3391">
        <v>4</v>
      </c>
      <c r="G3391">
        <v>599</v>
      </c>
      <c r="H3391">
        <v>0.15</v>
      </c>
      <c r="I3391" t="s">
        <v>47</v>
      </c>
      <c r="J3391" t="s">
        <v>22</v>
      </c>
      <c r="K3391" t="s">
        <v>17</v>
      </c>
      <c r="L3391">
        <f>F3390*G3390*(1-H3390)</f>
        <v>19996</v>
      </c>
    </row>
    <row r="3392" spans="1:12">
      <c r="A3392" t="s">
        <v>4212</v>
      </c>
      <c r="B3392" s="1">
        <v>46099</v>
      </c>
      <c r="C3392" t="s">
        <v>1165</v>
      </c>
      <c r="D3392" t="s">
        <v>59</v>
      </c>
      <c r="E3392" t="s">
        <v>14</v>
      </c>
      <c r="F3392">
        <v>3</v>
      </c>
      <c r="G3392">
        <v>499</v>
      </c>
      <c r="H3392">
        <v>0.1</v>
      </c>
      <c r="I3392" t="s">
        <v>50</v>
      </c>
      <c r="J3392" t="s">
        <v>28</v>
      </c>
      <c r="K3392" t="s">
        <v>17</v>
      </c>
      <c r="L3392">
        <f>F3391*G3391*(1-H3391)</f>
        <v>2036.6</v>
      </c>
    </row>
    <row r="3393" spans="1:12">
      <c r="A3393" t="s">
        <v>4213</v>
      </c>
      <c r="B3393" s="1">
        <v>46064</v>
      </c>
      <c r="C3393" t="s">
        <v>1412</v>
      </c>
      <c r="D3393" t="s">
        <v>13</v>
      </c>
      <c r="E3393" t="s">
        <v>40</v>
      </c>
      <c r="F3393">
        <v>3</v>
      </c>
      <c r="G3393">
        <v>4999</v>
      </c>
      <c r="H3393">
        <v>0.05</v>
      </c>
      <c r="I3393" t="s">
        <v>44</v>
      </c>
      <c r="J3393" t="s">
        <v>36</v>
      </c>
      <c r="K3393" t="s">
        <v>17</v>
      </c>
      <c r="L3393">
        <f>F3392*G3392*(1-H3392)</f>
        <v>1347.3</v>
      </c>
    </row>
    <row r="3394" spans="1:12">
      <c r="A3394" t="s">
        <v>4214</v>
      </c>
      <c r="B3394" s="1">
        <v>46171</v>
      </c>
      <c r="C3394" t="s">
        <v>905</v>
      </c>
      <c r="D3394" t="s">
        <v>62</v>
      </c>
      <c r="E3394" t="s">
        <v>21</v>
      </c>
      <c r="F3394">
        <v>5</v>
      </c>
      <c r="G3394">
        <v>499</v>
      </c>
      <c r="H3394">
        <v>0.1</v>
      </c>
      <c r="I3394" t="s">
        <v>32</v>
      </c>
      <c r="J3394" t="s">
        <v>28</v>
      </c>
      <c r="K3394" t="s">
        <v>17</v>
      </c>
      <c r="L3394">
        <f>F3393*G3393*(1-H3393)</f>
        <v>14247.15</v>
      </c>
    </row>
    <row r="3395" spans="1:12">
      <c r="A3395" t="s">
        <v>4215</v>
      </c>
      <c r="B3395" s="1">
        <v>46135</v>
      </c>
      <c r="C3395" t="s">
        <v>259</v>
      </c>
      <c r="D3395" t="s">
        <v>31</v>
      </c>
      <c r="E3395" t="s">
        <v>14</v>
      </c>
      <c r="F3395">
        <v>3</v>
      </c>
      <c r="G3395">
        <v>2499</v>
      </c>
      <c r="H3395">
        <v>0</v>
      </c>
      <c r="I3395" t="s">
        <v>47</v>
      </c>
      <c r="J3395" t="s">
        <v>22</v>
      </c>
      <c r="K3395" t="s">
        <v>17</v>
      </c>
      <c r="L3395">
        <f>F3394*G3394*(1-H3394)</f>
        <v>2245.5</v>
      </c>
    </row>
    <row r="3396" spans="1:12">
      <c r="A3396" t="s">
        <v>4216</v>
      </c>
      <c r="B3396" s="1">
        <v>46161</v>
      </c>
      <c r="C3396" t="s">
        <v>2057</v>
      </c>
      <c r="D3396" t="s">
        <v>26</v>
      </c>
      <c r="E3396" t="s">
        <v>35</v>
      </c>
      <c r="F3396">
        <v>4</v>
      </c>
      <c r="G3396">
        <v>1299</v>
      </c>
      <c r="H3396">
        <v>0.05</v>
      </c>
      <c r="I3396" t="s">
        <v>47</v>
      </c>
      <c r="J3396" t="s">
        <v>22</v>
      </c>
      <c r="K3396" t="s">
        <v>37</v>
      </c>
      <c r="L3396">
        <f>F3395*G3395*(1-H3395)</f>
        <v>7497</v>
      </c>
    </row>
    <row r="3397" spans="1:12">
      <c r="A3397" t="s">
        <v>4217</v>
      </c>
      <c r="B3397" s="1">
        <v>46107</v>
      </c>
      <c r="C3397" t="s">
        <v>2887</v>
      </c>
      <c r="D3397" t="s">
        <v>78</v>
      </c>
      <c r="E3397" t="s">
        <v>27</v>
      </c>
      <c r="F3397">
        <v>1</v>
      </c>
      <c r="G3397">
        <v>2499</v>
      </c>
      <c r="H3397">
        <v>0</v>
      </c>
      <c r="I3397" t="s">
        <v>32</v>
      </c>
      <c r="J3397" t="s">
        <v>51</v>
      </c>
      <c r="K3397" t="s">
        <v>17</v>
      </c>
      <c r="L3397">
        <f>F3396*G3396*(1-H3396)</f>
        <v>4936.2</v>
      </c>
    </row>
    <row r="3398" spans="1:12">
      <c r="A3398" t="s">
        <v>4218</v>
      </c>
      <c r="B3398" s="1">
        <v>46046</v>
      </c>
      <c r="C3398" t="s">
        <v>1827</v>
      </c>
      <c r="D3398" t="s">
        <v>59</v>
      </c>
      <c r="E3398" t="s">
        <v>27</v>
      </c>
      <c r="F3398">
        <v>2</v>
      </c>
      <c r="G3398">
        <v>7999</v>
      </c>
      <c r="H3398">
        <v>0.1</v>
      </c>
      <c r="I3398" t="s">
        <v>15</v>
      </c>
      <c r="J3398" t="s">
        <v>16</v>
      </c>
      <c r="K3398" t="s">
        <v>17</v>
      </c>
      <c r="L3398">
        <f>F3397*G3397*(1-H3397)</f>
        <v>2499</v>
      </c>
    </row>
    <row r="3399" spans="1:12">
      <c r="A3399" t="s">
        <v>4219</v>
      </c>
      <c r="B3399" s="1">
        <v>46041</v>
      </c>
      <c r="C3399" t="s">
        <v>581</v>
      </c>
      <c r="D3399" t="s">
        <v>20</v>
      </c>
      <c r="E3399" t="s">
        <v>14</v>
      </c>
      <c r="F3399">
        <v>3</v>
      </c>
      <c r="G3399">
        <v>1999</v>
      </c>
      <c r="H3399">
        <v>0.15</v>
      </c>
      <c r="I3399" t="s">
        <v>32</v>
      </c>
      <c r="J3399" t="s">
        <v>16</v>
      </c>
      <c r="K3399" t="s">
        <v>17</v>
      </c>
      <c r="L3399">
        <f>F3398*G3398*(1-H3398)</f>
        <v>14398.2</v>
      </c>
    </row>
    <row r="3400" spans="1:12">
      <c r="A3400" t="s">
        <v>4220</v>
      </c>
      <c r="B3400" s="1">
        <v>46183</v>
      </c>
      <c r="C3400" t="s">
        <v>2207</v>
      </c>
      <c r="D3400" t="s">
        <v>43</v>
      </c>
      <c r="E3400" t="s">
        <v>14</v>
      </c>
      <c r="F3400">
        <v>2</v>
      </c>
      <c r="G3400">
        <v>999</v>
      </c>
      <c r="H3400">
        <v>0.05</v>
      </c>
      <c r="I3400" t="s">
        <v>15</v>
      </c>
      <c r="J3400" t="s">
        <v>16</v>
      </c>
      <c r="K3400" t="s">
        <v>17</v>
      </c>
      <c r="L3400">
        <f>F3399*G3399*(1-H3399)</f>
        <v>5097.45</v>
      </c>
    </row>
    <row r="3401" spans="1:12">
      <c r="A3401" t="s">
        <v>4221</v>
      </c>
      <c r="B3401" s="1">
        <v>46175</v>
      </c>
      <c r="C3401" t="s">
        <v>215</v>
      </c>
      <c r="D3401" t="s">
        <v>13</v>
      </c>
      <c r="E3401" t="s">
        <v>40</v>
      </c>
      <c r="F3401">
        <v>1</v>
      </c>
      <c r="G3401">
        <v>799</v>
      </c>
      <c r="H3401">
        <v>0.1</v>
      </c>
      <c r="I3401" t="s">
        <v>15</v>
      </c>
      <c r="J3401" t="s">
        <v>28</v>
      </c>
      <c r="K3401" t="s">
        <v>17</v>
      </c>
      <c r="L3401">
        <f>F3400*G3400*(1-H3400)</f>
        <v>1898.1</v>
      </c>
    </row>
    <row r="3402" spans="1:12">
      <c r="A3402" t="s">
        <v>4222</v>
      </c>
      <c r="B3402" s="1">
        <v>46072</v>
      </c>
      <c r="C3402" t="s">
        <v>600</v>
      </c>
      <c r="D3402" t="s">
        <v>78</v>
      </c>
      <c r="E3402" t="s">
        <v>40</v>
      </c>
      <c r="F3402">
        <v>3</v>
      </c>
      <c r="G3402">
        <v>1499</v>
      </c>
      <c r="H3402">
        <v>0</v>
      </c>
      <c r="I3402" t="s">
        <v>32</v>
      </c>
      <c r="J3402" t="s">
        <v>22</v>
      </c>
      <c r="K3402" t="s">
        <v>17</v>
      </c>
      <c r="L3402">
        <f>F3401*G3401*(1-H3401)</f>
        <v>719.1</v>
      </c>
    </row>
    <row r="3403" spans="1:12">
      <c r="A3403" t="s">
        <v>4223</v>
      </c>
      <c r="B3403" s="1">
        <v>46063</v>
      </c>
      <c r="C3403" t="s">
        <v>353</v>
      </c>
      <c r="D3403" t="s">
        <v>26</v>
      </c>
      <c r="E3403" t="s">
        <v>27</v>
      </c>
      <c r="F3403">
        <v>1</v>
      </c>
      <c r="G3403">
        <v>799</v>
      </c>
      <c r="H3403">
        <v>0.05</v>
      </c>
      <c r="I3403" t="s">
        <v>50</v>
      </c>
      <c r="J3403" t="s">
        <v>22</v>
      </c>
      <c r="K3403" t="s">
        <v>17</v>
      </c>
      <c r="L3403">
        <f>F3402*G3402*(1-H3402)</f>
        <v>4497</v>
      </c>
    </row>
    <row r="3404" spans="1:12">
      <c r="A3404" t="s">
        <v>4224</v>
      </c>
      <c r="B3404" s="1">
        <v>46285</v>
      </c>
      <c r="C3404" t="s">
        <v>1563</v>
      </c>
      <c r="D3404" t="s">
        <v>13</v>
      </c>
      <c r="E3404" t="s">
        <v>40</v>
      </c>
      <c r="F3404">
        <v>3</v>
      </c>
      <c r="G3404">
        <v>7999</v>
      </c>
      <c r="H3404">
        <v>0.15</v>
      </c>
      <c r="I3404" t="s">
        <v>32</v>
      </c>
      <c r="J3404" t="s">
        <v>36</v>
      </c>
      <c r="K3404" t="s">
        <v>17</v>
      </c>
      <c r="L3404">
        <f>F3403*G3403*(1-H3403)</f>
        <v>759.05</v>
      </c>
    </row>
    <row r="3405" spans="1:12">
      <c r="A3405" t="s">
        <v>4225</v>
      </c>
      <c r="B3405" s="1">
        <v>46071</v>
      </c>
      <c r="C3405" t="s">
        <v>243</v>
      </c>
      <c r="D3405" t="s">
        <v>56</v>
      </c>
      <c r="E3405" t="s">
        <v>40</v>
      </c>
      <c r="F3405">
        <v>4</v>
      </c>
      <c r="G3405">
        <v>7999</v>
      </c>
      <c r="H3405">
        <v>0.15</v>
      </c>
      <c r="I3405" t="s">
        <v>15</v>
      </c>
      <c r="J3405" t="s">
        <v>51</v>
      </c>
      <c r="K3405" t="s">
        <v>17</v>
      </c>
      <c r="L3405">
        <f>F3404*G3404*(1-H3404)</f>
        <v>20397.45</v>
      </c>
    </row>
    <row r="3406" spans="1:12">
      <c r="A3406" t="s">
        <v>4226</v>
      </c>
      <c r="B3406" s="1">
        <v>46131</v>
      </c>
      <c r="C3406" t="s">
        <v>1194</v>
      </c>
      <c r="D3406" t="s">
        <v>31</v>
      </c>
      <c r="E3406" t="s">
        <v>35</v>
      </c>
      <c r="F3406">
        <v>2</v>
      </c>
      <c r="G3406">
        <v>4999</v>
      </c>
      <c r="H3406">
        <v>0</v>
      </c>
      <c r="I3406" t="s">
        <v>32</v>
      </c>
      <c r="J3406" t="s">
        <v>22</v>
      </c>
      <c r="K3406" t="s">
        <v>23</v>
      </c>
      <c r="L3406">
        <f>F3405*G3405*(1-H3405)</f>
        <v>27196.6</v>
      </c>
    </row>
    <row r="3407" spans="1:12">
      <c r="A3407" t="s">
        <v>4227</v>
      </c>
      <c r="B3407" s="1">
        <v>46036</v>
      </c>
      <c r="C3407" t="s">
        <v>428</v>
      </c>
      <c r="D3407" t="s">
        <v>59</v>
      </c>
      <c r="E3407" t="s">
        <v>27</v>
      </c>
      <c r="F3407">
        <v>2</v>
      </c>
      <c r="G3407">
        <v>799</v>
      </c>
      <c r="H3407">
        <v>0.05</v>
      </c>
      <c r="I3407" t="s">
        <v>47</v>
      </c>
      <c r="J3407" t="s">
        <v>36</v>
      </c>
      <c r="K3407" t="s">
        <v>17</v>
      </c>
      <c r="L3407">
        <f>F3406*G3406*(1-H3406)</f>
        <v>9998</v>
      </c>
    </row>
    <row r="3408" spans="1:12">
      <c r="A3408" t="s">
        <v>4228</v>
      </c>
      <c r="B3408" s="1">
        <v>46037</v>
      </c>
      <c r="C3408" t="s">
        <v>1462</v>
      </c>
      <c r="D3408" t="s">
        <v>43</v>
      </c>
      <c r="E3408" t="s">
        <v>21</v>
      </c>
      <c r="F3408">
        <v>3</v>
      </c>
      <c r="G3408">
        <v>499</v>
      </c>
      <c r="H3408">
        <v>0</v>
      </c>
      <c r="I3408" t="s">
        <v>47</v>
      </c>
      <c r="J3408" t="s">
        <v>16</v>
      </c>
      <c r="K3408" t="s">
        <v>37</v>
      </c>
      <c r="L3408">
        <f>F3407*G3407*(1-H3407)</f>
        <v>1518.1</v>
      </c>
    </row>
    <row r="3409" spans="1:12">
      <c r="A3409" t="s">
        <v>4229</v>
      </c>
      <c r="B3409" s="1">
        <v>46156</v>
      </c>
      <c r="C3409" t="s">
        <v>729</v>
      </c>
      <c r="D3409" t="s">
        <v>31</v>
      </c>
      <c r="E3409" t="s">
        <v>14</v>
      </c>
      <c r="F3409">
        <v>4</v>
      </c>
      <c r="G3409">
        <v>7999</v>
      </c>
      <c r="H3409">
        <v>0</v>
      </c>
      <c r="I3409" t="s">
        <v>44</v>
      </c>
      <c r="J3409" t="s">
        <v>22</v>
      </c>
      <c r="K3409" t="s">
        <v>17</v>
      </c>
      <c r="L3409">
        <f>F3408*G3408*(1-H3408)</f>
        <v>1497</v>
      </c>
    </row>
    <row r="3410" spans="1:12">
      <c r="A3410" t="s">
        <v>4230</v>
      </c>
      <c r="B3410" s="1">
        <v>46088</v>
      </c>
      <c r="C3410" t="s">
        <v>1028</v>
      </c>
      <c r="D3410" t="s">
        <v>13</v>
      </c>
      <c r="E3410" t="s">
        <v>40</v>
      </c>
      <c r="F3410">
        <v>3</v>
      </c>
      <c r="G3410">
        <v>7999</v>
      </c>
      <c r="H3410">
        <v>0</v>
      </c>
      <c r="I3410" t="s">
        <v>47</v>
      </c>
      <c r="J3410" t="s">
        <v>51</v>
      </c>
      <c r="K3410" t="s">
        <v>17</v>
      </c>
      <c r="L3410">
        <f>F3409*G3409*(1-H3409)</f>
        <v>31996</v>
      </c>
    </row>
    <row r="3411" spans="1:12">
      <c r="A3411" t="s">
        <v>4231</v>
      </c>
      <c r="B3411" s="1">
        <v>46178</v>
      </c>
      <c r="C3411" t="s">
        <v>545</v>
      </c>
      <c r="D3411" t="s">
        <v>62</v>
      </c>
      <c r="E3411" t="s">
        <v>14</v>
      </c>
      <c r="F3411">
        <v>5</v>
      </c>
      <c r="G3411">
        <v>4999</v>
      </c>
      <c r="H3411">
        <v>0.15</v>
      </c>
      <c r="I3411" t="s">
        <v>32</v>
      </c>
      <c r="J3411" t="s">
        <v>22</v>
      </c>
      <c r="K3411" t="s">
        <v>23</v>
      </c>
      <c r="L3411">
        <f>F3410*G3410*(1-H3410)</f>
        <v>23997</v>
      </c>
    </row>
    <row r="3412" spans="1:12">
      <c r="A3412" t="s">
        <v>4232</v>
      </c>
      <c r="B3412" s="1">
        <v>46288</v>
      </c>
      <c r="C3412" t="s">
        <v>3252</v>
      </c>
      <c r="D3412" t="s">
        <v>62</v>
      </c>
      <c r="E3412" t="s">
        <v>40</v>
      </c>
      <c r="F3412">
        <v>1</v>
      </c>
      <c r="G3412">
        <v>499</v>
      </c>
      <c r="H3412">
        <v>0</v>
      </c>
      <c r="I3412" t="s">
        <v>47</v>
      </c>
      <c r="J3412" t="s">
        <v>22</v>
      </c>
      <c r="K3412" t="s">
        <v>23</v>
      </c>
      <c r="L3412">
        <f>F3411*G3411*(1-H3411)</f>
        <v>21245.75</v>
      </c>
    </row>
    <row r="3413" spans="1:12">
      <c r="A3413" t="s">
        <v>4233</v>
      </c>
      <c r="B3413" s="1">
        <v>46209</v>
      </c>
      <c r="C3413" t="s">
        <v>2053</v>
      </c>
      <c r="D3413" t="s">
        <v>71</v>
      </c>
      <c r="E3413" t="s">
        <v>21</v>
      </c>
      <c r="F3413">
        <v>4</v>
      </c>
      <c r="G3413">
        <v>4999</v>
      </c>
      <c r="H3413">
        <v>0</v>
      </c>
      <c r="I3413" t="s">
        <v>32</v>
      </c>
      <c r="J3413" t="s">
        <v>51</v>
      </c>
      <c r="K3413" t="s">
        <v>17</v>
      </c>
      <c r="L3413">
        <f>F3412*G3412*(1-H3412)</f>
        <v>499</v>
      </c>
    </row>
    <row r="3414" spans="1:12">
      <c r="A3414" t="s">
        <v>4234</v>
      </c>
      <c r="B3414" s="1">
        <v>46061</v>
      </c>
      <c r="C3414" t="s">
        <v>374</v>
      </c>
      <c r="D3414" t="s">
        <v>13</v>
      </c>
      <c r="E3414" t="s">
        <v>14</v>
      </c>
      <c r="F3414">
        <v>1</v>
      </c>
      <c r="G3414">
        <v>999</v>
      </c>
      <c r="H3414">
        <v>0</v>
      </c>
      <c r="I3414" t="s">
        <v>47</v>
      </c>
      <c r="J3414" t="s">
        <v>16</v>
      </c>
      <c r="K3414" t="s">
        <v>17</v>
      </c>
      <c r="L3414">
        <f>F3413*G3413*(1-H3413)</f>
        <v>19996</v>
      </c>
    </row>
    <row r="3415" spans="1:12">
      <c r="A3415" t="s">
        <v>4235</v>
      </c>
      <c r="B3415" s="1">
        <v>46029</v>
      </c>
      <c r="C3415" t="s">
        <v>285</v>
      </c>
      <c r="D3415" t="s">
        <v>78</v>
      </c>
      <c r="E3415" t="s">
        <v>35</v>
      </c>
      <c r="F3415">
        <v>4</v>
      </c>
      <c r="G3415">
        <v>499</v>
      </c>
      <c r="H3415">
        <v>0</v>
      </c>
      <c r="I3415" t="s">
        <v>32</v>
      </c>
      <c r="J3415" t="s">
        <v>28</v>
      </c>
      <c r="K3415" t="s">
        <v>17</v>
      </c>
      <c r="L3415">
        <f>F3414*G3414*(1-H3414)</f>
        <v>999</v>
      </c>
    </row>
    <row r="3416" spans="1:12">
      <c r="A3416" t="s">
        <v>4236</v>
      </c>
      <c r="B3416" s="1">
        <v>46187</v>
      </c>
      <c r="C3416" t="s">
        <v>119</v>
      </c>
      <c r="D3416" t="s">
        <v>13</v>
      </c>
      <c r="E3416" t="s">
        <v>35</v>
      </c>
      <c r="F3416">
        <v>2</v>
      </c>
      <c r="G3416">
        <v>499</v>
      </c>
      <c r="H3416">
        <v>0</v>
      </c>
      <c r="I3416" t="s">
        <v>32</v>
      </c>
      <c r="J3416" t="s">
        <v>28</v>
      </c>
      <c r="K3416" t="s">
        <v>37</v>
      </c>
      <c r="L3416">
        <f>F3415*G3415*(1-H3415)</f>
        <v>1996</v>
      </c>
    </row>
    <row r="3417" spans="1:12">
      <c r="A3417" t="s">
        <v>4237</v>
      </c>
      <c r="B3417" s="1">
        <v>46204</v>
      </c>
      <c r="C3417" t="s">
        <v>462</v>
      </c>
      <c r="D3417" t="s">
        <v>13</v>
      </c>
      <c r="E3417" t="s">
        <v>21</v>
      </c>
      <c r="F3417">
        <v>2</v>
      </c>
      <c r="G3417">
        <v>2499</v>
      </c>
      <c r="H3417">
        <v>0.15</v>
      </c>
      <c r="I3417" t="s">
        <v>44</v>
      </c>
      <c r="J3417" t="s">
        <v>36</v>
      </c>
      <c r="K3417" t="s">
        <v>17</v>
      </c>
      <c r="L3417">
        <f>F3416*G3416*(1-H3416)</f>
        <v>998</v>
      </c>
    </row>
    <row r="3418" spans="1:12">
      <c r="A3418" t="s">
        <v>4238</v>
      </c>
      <c r="B3418" s="1">
        <v>46164</v>
      </c>
      <c r="C3418" t="s">
        <v>1384</v>
      </c>
      <c r="D3418" t="s">
        <v>59</v>
      </c>
      <c r="E3418" t="s">
        <v>21</v>
      </c>
      <c r="F3418">
        <v>3</v>
      </c>
      <c r="G3418">
        <v>7999</v>
      </c>
      <c r="H3418">
        <v>0.15</v>
      </c>
      <c r="I3418" t="s">
        <v>44</v>
      </c>
      <c r="J3418" t="s">
        <v>36</v>
      </c>
      <c r="K3418" t="s">
        <v>17</v>
      </c>
      <c r="L3418">
        <f>F3417*G3417*(1-H3417)</f>
        <v>4248.3</v>
      </c>
    </row>
    <row r="3419" spans="1:12">
      <c r="A3419" t="s">
        <v>4239</v>
      </c>
      <c r="B3419" s="1">
        <v>46213</v>
      </c>
      <c r="C3419" t="s">
        <v>908</v>
      </c>
      <c r="D3419" t="s">
        <v>56</v>
      </c>
      <c r="E3419" t="s">
        <v>40</v>
      </c>
      <c r="F3419">
        <v>3</v>
      </c>
      <c r="G3419">
        <v>999</v>
      </c>
      <c r="H3419">
        <v>0.15</v>
      </c>
      <c r="I3419" t="s">
        <v>47</v>
      </c>
      <c r="J3419" t="s">
        <v>51</v>
      </c>
      <c r="K3419" t="s">
        <v>17</v>
      </c>
      <c r="L3419">
        <f>F3418*G3418*(1-H3418)</f>
        <v>20397.45</v>
      </c>
    </row>
    <row r="3420" spans="1:12">
      <c r="A3420" t="s">
        <v>4240</v>
      </c>
      <c r="B3420" s="1">
        <v>46029</v>
      </c>
      <c r="C3420" t="s">
        <v>987</v>
      </c>
      <c r="D3420" t="s">
        <v>71</v>
      </c>
      <c r="E3420" t="s">
        <v>21</v>
      </c>
      <c r="F3420">
        <v>1</v>
      </c>
      <c r="G3420">
        <v>599</v>
      </c>
      <c r="H3420">
        <v>0.15</v>
      </c>
      <c r="I3420" t="s">
        <v>44</v>
      </c>
      <c r="J3420" t="s">
        <v>51</v>
      </c>
      <c r="K3420" t="s">
        <v>17</v>
      </c>
      <c r="L3420">
        <f>F3419*G3419*(1-H3419)</f>
        <v>2547.4499999999998</v>
      </c>
    </row>
    <row r="3421" spans="1:12">
      <c r="A3421" t="s">
        <v>4241</v>
      </c>
      <c r="B3421" s="1">
        <v>46293</v>
      </c>
      <c r="C3421" t="s">
        <v>796</v>
      </c>
      <c r="D3421" t="s">
        <v>26</v>
      </c>
      <c r="E3421" t="s">
        <v>14</v>
      </c>
      <c r="F3421">
        <v>2</v>
      </c>
      <c r="G3421">
        <v>999</v>
      </c>
      <c r="H3421">
        <v>0.05</v>
      </c>
      <c r="I3421" t="s">
        <v>47</v>
      </c>
      <c r="J3421" t="s">
        <v>36</v>
      </c>
      <c r="K3421" t="s">
        <v>23</v>
      </c>
      <c r="L3421">
        <f>F3420*G3420*(1-H3420)</f>
        <v>509.15</v>
      </c>
    </row>
    <row r="3422" spans="1:12">
      <c r="A3422" t="s">
        <v>4242</v>
      </c>
      <c r="B3422" s="1">
        <v>46165</v>
      </c>
      <c r="C3422" t="s">
        <v>792</v>
      </c>
      <c r="D3422" t="s">
        <v>56</v>
      </c>
      <c r="E3422" t="s">
        <v>14</v>
      </c>
      <c r="F3422">
        <v>3</v>
      </c>
      <c r="G3422">
        <v>1999</v>
      </c>
      <c r="H3422">
        <v>0</v>
      </c>
      <c r="I3422" t="s">
        <v>15</v>
      </c>
      <c r="J3422" t="s">
        <v>28</v>
      </c>
      <c r="K3422" t="s">
        <v>17</v>
      </c>
      <c r="L3422">
        <f>F3421*G3421*(1-H3421)</f>
        <v>1898.1</v>
      </c>
    </row>
    <row r="3423" spans="1:12">
      <c r="A3423" t="s">
        <v>4243</v>
      </c>
      <c r="B3423" s="1">
        <v>46231</v>
      </c>
      <c r="C3423" t="s">
        <v>1508</v>
      </c>
      <c r="D3423" t="s">
        <v>43</v>
      </c>
      <c r="E3423" t="s">
        <v>27</v>
      </c>
      <c r="F3423">
        <v>3</v>
      </c>
      <c r="G3423">
        <v>1499</v>
      </c>
      <c r="H3423">
        <v>0</v>
      </c>
      <c r="I3423" t="s">
        <v>47</v>
      </c>
      <c r="J3423" t="s">
        <v>51</v>
      </c>
      <c r="K3423" t="s">
        <v>17</v>
      </c>
      <c r="L3423">
        <f>F3422*G3422*(1-H3422)</f>
        <v>5997</v>
      </c>
    </row>
    <row r="3424" spans="1:12">
      <c r="A3424" t="s">
        <v>4244</v>
      </c>
      <c r="B3424" s="1">
        <v>46096</v>
      </c>
      <c r="C3424" t="s">
        <v>1235</v>
      </c>
      <c r="D3424" t="s">
        <v>20</v>
      </c>
      <c r="E3424" t="s">
        <v>21</v>
      </c>
      <c r="F3424">
        <v>3</v>
      </c>
      <c r="G3424">
        <v>4999</v>
      </c>
      <c r="H3424">
        <v>0.1</v>
      </c>
      <c r="I3424" t="s">
        <v>47</v>
      </c>
      <c r="J3424" t="s">
        <v>51</v>
      </c>
      <c r="K3424" t="s">
        <v>17</v>
      </c>
      <c r="L3424">
        <f>F3423*G3423*(1-H3423)</f>
        <v>4497</v>
      </c>
    </row>
    <row r="3425" spans="1:12">
      <c r="A3425" t="s">
        <v>4245</v>
      </c>
      <c r="B3425" s="1">
        <v>46255</v>
      </c>
      <c r="C3425" t="s">
        <v>1566</v>
      </c>
      <c r="D3425" t="s">
        <v>31</v>
      </c>
      <c r="E3425" t="s">
        <v>21</v>
      </c>
      <c r="F3425">
        <v>4</v>
      </c>
      <c r="G3425">
        <v>799</v>
      </c>
      <c r="H3425">
        <v>0.15</v>
      </c>
      <c r="I3425" t="s">
        <v>44</v>
      </c>
      <c r="J3425" t="s">
        <v>51</v>
      </c>
      <c r="K3425" t="s">
        <v>23</v>
      </c>
      <c r="L3425">
        <f>F3424*G3424*(1-H3424)</f>
        <v>13497.300000000001</v>
      </c>
    </row>
    <row r="3426" spans="1:12">
      <c r="A3426" t="s">
        <v>4246</v>
      </c>
      <c r="B3426" s="1">
        <v>46110</v>
      </c>
      <c r="C3426" t="s">
        <v>822</v>
      </c>
      <c r="D3426" t="s">
        <v>26</v>
      </c>
      <c r="E3426" t="s">
        <v>35</v>
      </c>
      <c r="F3426">
        <v>5</v>
      </c>
      <c r="G3426">
        <v>2499</v>
      </c>
      <c r="H3426">
        <v>0</v>
      </c>
      <c r="I3426" t="s">
        <v>50</v>
      </c>
      <c r="J3426" t="s">
        <v>16</v>
      </c>
      <c r="K3426" t="s">
        <v>37</v>
      </c>
      <c r="L3426">
        <f>F3425*G3425*(1-H3425)</f>
        <v>2716.6</v>
      </c>
    </row>
    <row r="3427" spans="1:12">
      <c r="A3427" t="s">
        <v>4247</v>
      </c>
      <c r="B3427" s="1">
        <v>46237</v>
      </c>
      <c r="C3427" t="s">
        <v>217</v>
      </c>
      <c r="D3427" t="s">
        <v>71</v>
      </c>
      <c r="E3427" t="s">
        <v>35</v>
      </c>
      <c r="F3427">
        <v>3</v>
      </c>
      <c r="G3427">
        <v>4999</v>
      </c>
      <c r="H3427">
        <v>0.05</v>
      </c>
      <c r="I3427" t="s">
        <v>32</v>
      </c>
      <c r="J3427" t="s">
        <v>36</v>
      </c>
      <c r="K3427" t="s">
        <v>17</v>
      </c>
      <c r="L3427">
        <f>F3426*G3426*(1-H3426)</f>
        <v>12495</v>
      </c>
    </row>
    <row r="3428" spans="1:12">
      <c r="A3428" t="s">
        <v>4248</v>
      </c>
      <c r="B3428" s="1">
        <v>46246</v>
      </c>
      <c r="C3428" t="s">
        <v>2777</v>
      </c>
      <c r="D3428" t="s">
        <v>13</v>
      </c>
      <c r="E3428" t="s">
        <v>40</v>
      </c>
      <c r="F3428">
        <v>3</v>
      </c>
      <c r="G3428">
        <v>1499</v>
      </c>
      <c r="H3428">
        <v>0</v>
      </c>
      <c r="I3428" t="s">
        <v>44</v>
      </c>
      <c r="J3428" t="s">
        <v>28</v>
      </c>
      <c r="K3428" t="s">
        <v>17</v>
      </c>
      <c r="L3428">
        <f>F3427*G3427*(1-H3427)</f>
        <v>14247.15</v>
      </c>
    </row>
    <row r="3429" spans="1:12">
      <c r="A3429" t="s">
        <v>4249</v>
      </c>
      <c r="B3429" s="1">
        <v>46247</v>
      </c>
      <c r="C3429" t="s">
        <v>1374</v>
      </c>
      <c r="D3429" t="s">
        <v>31</v>
      </c>
      <c r="E3429" t="s">
        <v>35</v>
      </c>
      <c r="F3429">
        <v>1</v>
      </c>
      <c r="G3429">
        <v>1999</v>
      </c>
      <c r="H3429">
        <v>0</v>
      </c>
      <c r="I3429" t="s">
        <v>50</v>
      </c>
      <c r="J3429" t="s">
        <v>28</v>
      </c>
      <c r="K3429" t="s">
        <v>37</v>
      </c>
      <c r="L3429">
        <f>F3428*G3428*(1-H3428)</f>
        <v>4497</v>
      </c>
    </row>
    <row r="3430" spans="1:12">
      <c r="A3430" t="s">
        <v>4250</v>
      </c>
      <c r="B3430" s="1">
        <v>46106</v>
      </c>
      <c r="C3430" t="s">
        <v>166</v>
      </c>
      <c r="D3430" t="s">
        <v>59</v>
      </c>
      <c r="E3430" t="s">
        <v>35</v>
      </c>
      <c r="F3430">
        <v>5</v>
      </c>
      <c r="G3430">
        <v>799</v>
      </c>
      <c r="H3430">
        <v>0.15</v>
      </c>
      <c r="I3430" t="s">
        <v>47</v>
      </c>
      <c r="J3430" t="s">
        <v>51</v>
      </c>
      <c r="K3430" t="s">
        <v>17</v>
      </c>
      <c r="L3430">
        <f>F3429*G3429*(1-H3429)</f>
        <v>1999</v>
      </c>
    </row>
    <row r="3431" spans="1:12">
      <c r="A3431" t="s">
        <v>4251</v>
      </c>
      <c r="B3431" s="1">
        <v>46087</v>
      </c>
      <c r="C3431" t="s">
        <v>839</v>
      </c>
      <c r="D3431" t="s">
        <v>26</v>
      </c>
      <c r="E3431" t="s">
        <v>35</v>
      </c>
      <c r="F3431">
        <v>5</v>
      </c>
      <c r="G3431">
        <v>7999</v>
      </c>
      <c r="H3431">
        <v>0.1</v>
      </c>
      <c r="I3431" t="s">
        <v>44</v>
      </c>
      <c r="J3431" t="s">
        <v>22</v>
      </c>
      <c r="K3431" t="s">
        <v>23</v>
      </c>
      <c r="L3431">
        <f>F3430*G3430*(1-H3430)</f>
        <v>3395.75</v>
      </c>
    </row>
    <row r="3432" spans="1:12">
      <c r="A3432" t="s">
        <v>4252</v>
      </c>
      <c r="B3432" s="1">
        <v>46143</v>
      </c>
      <c r="C3432" t="s">
        <v>3641</v>
      </c>
      <c r="D3432" t="s">
        <v>26</v>
      </c>
      <c r="E3432" t="s">
        <v>40</v>
      </c>
      <c r="F3432">
        <v>1</v>
      </c>
      <c r="G3432">
        <v>1299</v>
      </c>
      <c r="H3432">
        <v>0.05</v>
      </c>
      <c r="I3432" t="s">
        <v>32</v>
      </c>
      <c r="J3432" t="s">
        <v>16</v>
      </c>
      <c r="K3432" t="s">
        <v>17</v>
      </c>
      <c r="L3432">
        <f>F3431*G3431*(1-H3431)</f>
        <v>35995.5</v>
      </c>
    </row>
    <row r="3433" spans="1:12">
      <c r="A3433" t="s">
        <v>4253</v>
      </c>
      <c r="B3433" s="1">
        <v>46110</v>
      </c>
      <c r="C3433" t="s">
        <v>1467</v>
      </c>
      <c r="D3433" t="s">
        <v>31</v>
      </c>
      <c r="E3433" t="s">
        <v>14</v>
      </c>
      <c r="F3433">
        <v>3</v>
      </c>
      <c r="G3433">
        <v>1999</v>
      </c>
      <c r="H3433">
        <v>0</v>
      </c>
      <c r="I3433" t="s">
        <v>50</v>
      </c>
      <c r="J3433" t="s">
        <v>51</v>
      </c>
      <c r="K3433" t="s">
        <v>17</v>
      </c>
      <c r="L3433">
        <f>F3432*G3432*(1-H3432)</f>
        <v>1234.05</v>
      </c>
    </row>
    <row r="3434" spans="1:12">
      <c r="A3434" t="s">
        <v>4254</v>
      </c>
      <c r="B3434" s="1">
        <v>46127</v>
      </c>
      <c r="C3434" t="s">
        <v>864</v>
      </c>
      <c r="D3434" t="s">
        <v>43</v>
      </c>
      <c r="E3434" t="s">
        <v>27</v>
      </c>
      <c r="F3434">
        <v>3</v>
      </c>
      <c r="G3434">
        <v>999</v>
      </c>
      <c r="H3434">
        <v>0</v>
      </c>
      <c r="I3434" t="s">
        <v>47</v>
      </c>
      <c r="J3434" t="s">
        <v>22</v>
      </c>
      <c r="K3434" t="s">
        <v>17</v>
      </c>
      <c r="L3434">
        <f>F3433*G3433*(1-H3433)</f>
        <v>5997</v>
      </c>
    </row>
    <row r="3435" spans="1:12">
      <c r="A3435" t="s">
        <v>4255</v>
      </c>
      <c r="B3435" s="1">
        <v>46198</v>
      </c>
      <c r="C3435" t="s">
        <v>2103</v>
      </c>
      <c r="D3435" t="s">
        <v>26</v>
      </c>
      <c r="E3435" t="s">
        <v>35</v>
      </c>
      <c r="F3435">
        <v>3</v>
      </c>
      <c r="G3435">
        <v>1499</v>
      </c>
      <c r="H3435">
        <v>0</v>
      </c>
      <c r="I3435" t="s">
        <v>32</v>
      </c>
      <c r="J3435" t="s">
        <v>16</v>
      </c>
      <c r="K3435" t="s">
        <v>17</v>
      </c>
      <c r="L3435">
        <f>F3434*G3434*(1-H3434)</f>
        <v>2997</v>
      </c>
    </row>
    <row r="3436" spans="1:12">
      <c r="A3436" t="s">
        <v>4256</v>
      </c>
      <c r="B3436" s="1">
        <v>46259</v>
      </c>
      <c r="C3436" t="s">
        <v>2516</v>
      </c>
      <c r="D3436" t="s">
        <v>59</v>
      </c>
      <c r="E3436" t="s">
        <v>14</v>
      </c>
      <c r="F3436">
        <v>4</v>
      </c>
      <c r="G3436">
        <v>1299</v>
      </c>
      <c r="H3436">
        <v>0.1</v>
      </c>
      <c r="I3436" t="s">
        <v>47</v>
      </c>
      <c r="J3436" t="s">
        <v>36</v>
      </c>
      <c r="K3436" t="s">
        <v>17</v>
      </c>
      <c r="L3436">
        <f>F3435*G3435*(1-H3435)</f>
        <v>4497</v>
      </c>
    </row>
    <row r="3437" spans="1:12">
      <c r="A3437" t="s">
        <v>4257</v>
      </c>
      <c r="B3437" s="1">
        <v>46054</v>
      </c>
      <c r="C3437" t="s">
        <v>1859</v>
      </c>
      <c r="D3437" t="s">
        <v>71</v>
      </c>
      <c r="E3437" t="s">
        <v>27</v>
      </c>
      <c r="F3437">
        <v>4</v>
      </c>
      <c r="G3437">
        <v>599</v>
      </c>
      <c r="H3437">
        <v>0</v>
      </c>
      <c r="I3437" t="s">
        <v>47</v>
      </c>
      <c r="J3437" t="s">
        <v>28</v>
      </c>
      <c r="K3437" t="s">
        <v>37</v>
      </c>
      <c r="L3437">
        <f>F3436*G3436*(1-H3436)</f>
        <v>4676.4000000000005</v>
      </c>
    </row>
    <row r="3438" spans="1:12">
      <c r="A3438" t="s">
        <v>4258</v>
      </c>
      <c r="B3438" s="1">
        <v>46189</v>
      </c>
      <c r="C3438" t="s">
        <v>1359</v>
      </c>
      <c r="D3438" t="s">
        <v>59</v>
      </c>
      <c r="E3438" t="s">
        <v>35</v>
      </c>
      <c r="F3438">
        <v>5</v>
      </c>
      <c r="G3438">
        <v>799</v>
      </c>
      <c r="H3438">
        <v>0</v>
      </c>
      <c r="I3438" t="s">
        <v>50</v>
      </c>
      <c r="J3438" t="s">
        <v>36</v>
      </c>
      <c r="K3438" t="s">
        <v>17</v>
      </c>
      <c r="L3438">
        <f>F3437*G3437*(1-H3437)</f>
        <v>2396</v>
      </c>
    </row>
    <row r="3439" spans="1:12">
      <c r="A3439" t="s">
        <v>4259</v>
      </c>
      <c r="B3439" s="1">
        <v>46292</v>
      </c>
      <c r="C3439" t="s">
        <v>2726</v>
      </c>
      <c r="D3439" t="s">
        <v>62</v>
      </c>
      <c r="E3439" t="s">
        <v>14</v>
      </c>
      <c r="F3439">
        <v>4</v>
      </c>
      <c r="G3439">
        <v>1499</v>
      </c>
      <c r="H3439">
        <v>0.05</v>
      </c>
      <c r="I3439" t="s">
        <v>47</v>
      </c>
      <c r="J3439" t="s">
        <v>22</v>
      </c>
      <c r="K3439" t="s">
        <v>23</v>
      </c>
      <c r="L3439">
        <f>F3438*G3438*(1-H3438)</f>
        <v>3995</v>
      </c>
    </row>
    <row r="3440" spans="1:12">
      <c r="A3440" t="s">
        <v>4260</v>
      </c>
      <c r="B3440" s="1">
        <v>46136</v>
      </c>
      <c r="C3440" t="s">
        <v>2051</v>
      </c>
      <c r="D3440" t="s">
        <v>31</v>
      </c>
      <c r="E3440" t="s">
        <v>27</v>
      </c>
      <c r="F3440">
        <v>5</v>
      </c>
      <c r="G3440">
        <v>799</v>
      </c>
      <c r="H3440">
        <v>0.15</v>
      </c>
      <c r="I3440" t="s">
        <v>15</v>
      </c>
      <c r="J3440" t="s">
        <v>51</v>
      </c>
      <c r="K3440" t="s">
        <v>37</v>
      </c>
      <c r="L3440">
        <f>F3439*G3439*(1-H3439)</f>
        <v>5696.2</v>
      </c>
    </row>
    <row r="3441" spans="1:12">
      <c r="A3441" t="s">
        <v>4261</v>
      </c>
      <c r="B3441" s="1">
        <v>46157</v>
      </c>
      <c r="C3441" t="s">
        <v>722</v>
      </c>
      <c r="D3441" t="s">
        <v>20</v>
      </c>
      <c r="E3441" t="s">
        <v>21</v>
      </c>
      <c r="F3441">
        <v>5</v>
      </c>
      <c r="G3441">
        <v>1499</v>
      </c>
      <c r="H3441">
        <v>0.05</v>
      </c>
      <c r="I3441" t="s">
        <v>47</v>
      </c>
      <c r="J3441" t="s">
        <v>36</v>
      </c>
      <c r="K3441" t="s">
        <v>37</v>
      </c>
      <c r="L3441">
        <f>F3440*G3440*(1-H3440)</f>
        <v>3395.75</v>
      </c>
    </row>
    <row r="3442" spans="1:12">
      <c r="A3442" t="s">
        <v>4262</v>
      </c>
      <c r="B3442" s="1">
        <v>46235</v>
      </c>
      <c r="C3442" t="s">
        <v>736</v>
      </c>
      <c r="D3442" t="s">
        <v>43</v>
      </c>
      <c r="E3442" t="s">
        <v>35</v>
      </c>
      <c r="F3442">
        <v>1</v>
      </c>
      <c r="G3442">
        <v>7999</v>
      </c>
      <c r="H3442">
        <v>0.05</v>
      </c>
      <c r="I3442" t="s">
        <v>15</v>
      </c>
      <c r="J3442" t="s">
        <v>51</v>
      </c>
      <c r="K3442" t="s">
        <v>23</v>
      </c>
      <c r="L3442">
        <f>F3441*G3441*(1-H3441)</f>
        <v>7120.25</v>
      </c>
    </row>
    <row r="3443" spans="1:12">
      <c r="A3443" t="s">
        <v>4263</v>
      </c>
      <c r="B3443" s="1">
        <v>46114</v>
      </c>
      <c r="C3443" t="s">
        <v>613</v>
      </c>
      <c r="D3443" t="s">
        <v>26</v>
      </c>
      <c r="E3443" t="s">
        <v>21</v>
      </c>
      <c r="F3443">
        <v>2</v>
      </c>
      <c r="G3443">
        <v>7999</v>
      </c>
      <c r="H3443">
        <v>0.05</v>
      </c>
      <c r="I3443" t="s">
        <v>50</v>
      </c>
      <c r="J3443" t="s">
        <v>51</v>
      </c>
      <c r="K3443" t="s">
        <v>23</v>
      </c>
      <c r="L3443">
        <f>F3442*G3442*(1-H3442)</f>
        <v>7599.0499999999993</v>
      </c>
    </row>
    <row r="3444" spans="1:12">
      <c r="A3444" t="s">
        <v>4264</v>
      </c>
      <c r="B3444" s="1">
        <v>46036</v>
      </c>
      <c r="C3444" t="s">
        <v>1582</v>
      </c>
      <c r="D3444" t="s">
        <v>43</v>
      </c>
      <c r="E3444" t="s">
        <v>21</v>
      </c>
      <c r="F3444">
        <v>4</v>
      </c>
      <c r="G3444">
        <v>799</v>
      </c>
      <c r="H3444">
        <v>0</v>
      </c>
      <c r="I3444" t="s">
        <v>44</v>
      </c>
      <c r="J3444" t="s">
        <v>51</v>
      </c>
      <c r="K3444" t="s">
        <v>17</v>
      </c>
      <c r="L3444">
        <f>F3443*G3443*(1-H3443)</f>
        <v>15198.099999999999</v>
      </c>
    </row>
    <row r="3445" spans="1:12">
      <c r="A3445" t="s">
        <v>4265</v>
      </c>
      <c r="B3445" s="1">
        <v>46126</v>
      </c>
      <c r="C3445" t="s">
        <v>515</v>
      </c>
      <c r="D3445" t="s">
        <v>31</v>
      </c>
      <c r="E3445" t="s">
        <v>21</v>
      </c>
      <c r="F3445">
        <v>5</v>
      </c>
      <c r="G3445">
        <v>1299</v>
      </c>
      <c r="H3445">
        <v>0.05</v>
      </c>
      <c r="I3445" t="s">
        <v>47</v>
      </c>
      <c r="J3445" t="s">
        <v>28</v>
      </c>
      <c r="K3445" t="s">
        <v>37</v>
      </c>
      <c r="L3445">
        <f>F3444*G3444*(1-H3444)</f>
        <v>3196</v>
      </c>
    </row>
    <row r="3446" spans="1:12">
      <c r="A3446" t="s">
        <v>4266</v>
      </c>
      <c r="B3446" s="1">
        <v>46151</v>
      </c>
      <c r="C3446" t="s">
        <v>1514</v>
      </c>
      <c r="D3446" t="s">
        <v>43</v>
      </c>
      <c r="E3446" t="s">
        <v>27</v>
      </c>
      <c r="F3446">
        <v>1</v>
      </c>
      <c r="G3446">
        <v>1499</v>
      </c>
      <c r="H3446">
        <v>0.05</v>
      </c>
      <c r="I3446" t="s">
        <v>44</v>
      </c>
      <c r="J3446" t="s">
        <v>22</v>
      </c>
      <c r="K3446" t="s">
        <v>37</v>
      </c>
      <c r="L3446">
        <f>F3445*G3445*(1-H3445)</f>
        <v>6170.25</v>
      </c>
    </row>
    <row r="3447" spans="1:12">
      <c r="A3447" t="s">
        <v>4267</v>
      </c>
      <c r="B3447" s="1">
        <v>46047</v>
      </c>
      <c r="C3447" t="s">
        <v>1393</v>
      </c>
      <c r="D3447" t="s">
        <v>71</v>
      </c>
      <c r="E3447" t="s">
        <v>21</v>
      </c>
      <c r="F3447">
        <v>1</v>
      </c>
      <c r="G3447">
        <v>1999</v>
      </c>
      <c r="H3447">
        <v>0.1</v>
      </c>
      <c r="I3447" t="s">
        <v>47</v>
      </c>
      <c r="J3447" t="s">
        <v>51</v>
      </c>
      <c r="K3447" t="s">
        <v>17</v>
      </c>
      <c r="L3447">
        <f>F3446*G3446*(1-H3446)</f>
        <v>1424.05</v>
      </c>
    </row>
    <row r="3448" spans="1:12">
      <c r="A3448" t="s">
        <v>4268</v>
      </c>
      <c r="B3448" s="1">
        <v>46173</v>
      </c>
      <c r="C3448" t="s">
        <v>1393</v>
      </c>
      <c r="D3448" t="s">
        <v>59</v>
      </c>
      <c r="E3448" t="s">
        <v>21</v>
      </c>
      <c r="F3448">
        <v>1</v>
      </c>
      <c r="G3448">
        <v>1499</v>
      </c>
      <c r="H3448">
        <v>0</v>
      </c>
      <c r="I3448" t="s">
        <v>47</v>
      </c>
      <c r="J3448" t="s">
        <v>51</v>
      </c>
      <c r="K3448" t="s">
        <v>17</v>
      </c>
      <c r="L3448">
        <f>F3447*G3447*(1-H3447)</f>
        <v>1799.1000000000001</v>
      </c>
    </row>
    <row r="3449" spans="1:12">
      <c r="A3449" t="s">
        <v>4269</v>
      </c>
      <c r="B3449" s="1">
        <v>46276</v>
      </c>
      <c r="C3449" t="s">
        <v>2413</v>
      </c>
      <c r="D3449" t="s">
        <v>20</v>
      </c>
      <c r="E3449" t="s">
        <v>40</v>
      </c>
      <c r="F3449">
        <v>4</v>
      </c>
      <c r="G3449">
        <v>499</v>
      </c>
      <c r="H3449">
        <v>0.1</v>
      </c>
      <c r="I3449" t="s">
        <v>32</v>
      </c>
      <c r="J3449" t="s">
        <v>22</v>
      </c>
      <c r="K3449" t="s">
        <v>23</v>
      </c>
      <c r="L3449">
        <f>F3448*G3448*(1-H3448)</f>
        <v>1499</v>
      </c>
    </row>
    <row r="3450" spans="1:12">
      <c r="A3450" t="s">
        <v>4270</v>
      </c>
      <c r="B3450" s="1">
        <v>46096</v>
      </c>
      <c r="C3450" t="s">
        <v>1110</v>
      </c>
      <c r="D3450" t="s">
        <v>31</v>
      </c>
      <c r="E3450" t="s">
        <v>35</v>
      </c>
      <c r="F3450">
        <v>2</v>
      </c>
      <c r="G3450">
        <v>999</v>
      </c>
      <c r="H3450">
        <v>0.15</v>
      </c>
      <c r="I3450" t="s">
        <v>32</v>
      </c>
      <c r="J3450" t="s">
        <v>16</v>
      </c>
      <c r="K3450" t="s">
        <v>17</v>
      </c>
      <c r="L3450">
        <f>F3449*G3449*(1-H3449)</f>
        <v>1796.4</v>
      </c>
    </row>
    <row r="3451" spans="1:12">
      <c r="A3451" t="s">
        <v>4271</v>
      </c>
      <c r="B3451" s="1">
        <v>46143</v>
      </c>
      <c r="C3451" t="s">
        <v>126</v>
      </c>
      <c r="D3451" t="s">
        <v>31</v>
      </c>
      <c r="E3451" t="s">
        <v>14</v>
      </c>
      <c r="F3451">
        <v>1</v>
      </c>
      <c r="G3451">
        <v>4999</v>
      </c>
      <c r="H3451">
        <v>0.15</v>
      </c>
      <c r="I3451" t="s">
        <v>47</v>
      </c>
      <c r="J3451" t="s">
        <v>28</v>
      </c>
      <c r="K3451" t="s">
        <v>17</v>
      </c>
      <c r="L3451">
        <f>F3450*G3450*(1-H3450)</f>
        <v>1698.3</v>
      </c>
    </row>
    <row r="3452" spans="1:12">
      <c r="A3452" t="s">
        <v>4272</v>
      </c>
      <c r="B3452" s="1">
        <v>46045</v>
      </c>
      <c r="C3452" t="s">
        <v>877</v>
      </c>
      <c r="D3452" t="s">
        <v>31</v>
      </c>
      <c r="E3452" t="s">
        <v>14</v>
      </c>
      <c r="F3452">
        <v>5</v>
      </c>
      <c r="G3452">
        <v>1999</v>
      </c>
      <c r="H3452">
        <v>0.1</v>
      </c>
      <c r="I3452" t="s">
        <v>47</v>
      </c>
      <c r="J3452" t="s">
        <v>36</v>
      </c>
      <c r="K3452" t="s">
        <v>23</v>
      </c>
      <c r="L3452">
        <f>F3451*G3451*(1-H3451)</f>
        <v>4249.1499999999996</v>
      </c>
    </row>
    <row r="3453" spans="1:12">
      <c r="A3453" t="s">
        <v>4273</v>
      </c>
      <c r="B3453" s="1">
        <v>46233</v>
      </c>
      <c r="C3453" t="s">
        <v>4274</v>
      </c>
      <c r="D3453" t="s">
        <v>62</v>
      </c>
      <c r="E3453" t="s">
        <v>40</v>
      </c>
      <c r="F3453">
        <v>5</v>
      </c>
      <c r="G3453">
        <v>999</v>
      </c>
      <c r="H3453">
        <v>0</v>
      </c>
      <c r="I3453" t="s">
        <v>50</v>
      </c>
      <c r="J3453" t="s">
        <v>51</v>
      </c>
      <c r="K3453" t="s">
        <v>17</v>
      </c>
      <c r="L3453">
        <f>F3452*G3452*(1-H3452)</f>
        <v>8995.5</v>
      </c>
    </row>
    <row r="3454" spans="1:12">
      <c r="A3454" t="s">
        <v>4275</v>
      </c>
      <c r="B3454" s="1">
        <v>46187</v>
      </c>
      <c r="C3454" t="s">
        <v>1259</v>
      </c>
      <c r="D3454" t="s">
        <v>43</v>
      </c>
      <c r="E3454" t="s">
        <v>40</v>
      </c>
      <c r="F3454">
        <v>3</v>
      </c>
      <c r="G3454">
        <v>7999</v>
      </c>
      <c r="H3454">
        <v>0.1</v>
      </c>
      <c r="I3454" t="s">
        <v>44</v>
      </c>
      <c r="J3454" t="s">
        <v>36</v>
      </c>
      <c r="K3454" t="s">
        <v>37</v>
      </c>
      <c r="L3454">
        <f>F3453*G3453*(1-H3453)</f>
        <v>4995</v>
      </c>
    </row>
    <row r="3455" spans="1:12">
      <c r="A3455" t="s">
        <v>4276</v>
      </c>
      <c r="B3455" s="1">
        <v>46082</v>
      </c>
      <c r="C3455" t="s">
        <v>4277</v>
      </c>
      <c r="D3455" t="s">
        <v>71</v>
      </c>
      <c r="E3455" t="s">
        <v>14</v>
      </c>
      <c r="F3455">
        <v>2</v>
      </c>
      <c r="G3455">
        <v>7999</v>
      </c>
      <c r="H3455">
        <v>0.15</v>
      </c>
      <c r="I3455" t="s">
        <v>50</v>
      </c>
      <c r="J3455" t="s">
        <v>16</v>
      </c>
      <c r="K3455" t="s">
        <v>17</v>
      </c>
      <c r="L3455">
        <f>F3454*G3454*(1-H3454)</f>
        <v>21597.3</v>
      </c>
    </row>
    <row r="3456" spans="1:12">
      <c r="A3456" t="s">
        <v>4278</v>
      </c>
      <c r="B3456" s="1">
        <v>46071</v>
      </c>
      <c r="C3456" t="s">
        <v>92</v>
      </c>
      <c r="D3456" t="s">
        <v>78</v>
      </c>
      <c r="E3456" t="s">
        <v>35</v>
      </c>
      <c r="F3456">
        <v>5</v>
      </c>
      <c r="G3456">
        <v>7999</v>
      </c>
      <c r="H3456">
        <v>0.15</v>
      </c>
      <c r="I3456" t="s">
        <v>44</v>
      </c>
      <c r="J3456" t="s">
        <v>36</v>
      </c>
      <c r="K3456" t="s">
        <v>17</v>
      </c>
      <c r="L3456">
        <f>F3455*G3455*(1-H3455)</f>
        <v>13598.3</v>
      </c>
    </row>
    <row r="3457" spans="1:12">
      <c r="A3457" t="s">
        <v>4279</v>
      </c>
      <c r="B3457" s="1">
        <v>46081</v>
      </c>
      <c r="C3457" t="s">
        <v>4274</v>
      </c>
      <c r="D3457" t="s">
        <v>26</v>
      </c>
      <c r="E3457" t="s">
        <v>14</v>
      </c>
      <c r="F3457">
        <v>5</v>
      </c>
      <c r="G3457">
        <v>1499</v>
      </c>
      <c r="H3457">
        <v>0.15</v>
      </c>
      <c r="I3457" t="s">
        <v>15</v>
      </c>
      <c r="J3457" t="s">
        <v>16</v>
      </c>
      <c r="K3457" t="s">
        <v>17</v>
      </c>
      <c r="L3457">
        <f>F3456*G3456*(1-H3456)</f>
        <v>33995.75</v>
      </c>
    </row>
    <row r="3458" spans="1:12">
      <c r="A3458" t="s">
        <v>4280</v>
      </c>
      <c r="B3458" s="1">
        <v>46053</v>
      </c>
      <c r="C3458" t="s">
        <v>1800</v>
      </c>
      <c r="D3458" t="s">
        <v>62</v>
      </c>
      <c r="E3458" t="s">
        <v>14</v>
      </c>
      <c r="F3458">
        <v>2</v>
      </c>
      <c r="G3458">
        <v>799</v>
      </c>
      <c r="H3458">
        <v>0.1</v>
      </c>
      <c r="I3458" t="s">
        <v>44</v>
      </c>
      <c r="J3458" t="s">
        <v>16</v>
      </c>
      <c r="K3458" t="s">
        <v>17</v>
      </c>
      <c r="L3458">
        <f>F3457*G3457*(1-H3457)</f>
        <v>6370.75</v>
      </c>
    </row>
    <row r="3459" spans="1:12">
      <c r="A3459" t="s">
        <v>4281</v>
      </c>
      <c r="B3459" s="1">
        <v>46267</v>
      </c>
      <c r="C3459" t="s">
        <v>102</v>
      </c>
      <c r="D3459" t="s">
        <v>31</v>
      </c>
      <c r="E3459" t="s">
        <v>40</v>
      </c>
      <c r="F3459">
        <v>1</v>
      </c>
      <c r="G3459">
        <v>1499</v>
      </c>
      <c r="H3459">
        <v>0.05</v>
      </c>
      <c r="I3459" t="s">
        <v>32</v>
      </c>
      <c r="J3459" t="s">
        <v>16</v>
      </c>
      <c r="K3459" t="s">
        <v>23</v>
      </c>
      <c r="L3459">
        <f>F3458*G3458*(1-H3458)</f>
        <v>1438.2</v>
      </c>
    </row>
    <row r="3460" spans="1:12">
      <c r="A3460" t="s">
        <v>4282</v>
      </c>
      <c r="B3460" s="1">
        <v>46044</v>
      </c>
      <c r="C3460" t="s">
        <v>191</v>
      </c>
      <c r="D3460" t="s">
        <v>62</v>
      </c>
      <c r="E3460" t="s">
        <v>14</v>
      </c>
      <c r="F3460">
        <v>3</v>
      </c>
      <c r="G3460">
        <v>1999</v>
      </c>
      <c r="H3460">
        <v>0.1</v>
      </c>
      <c r="I3460" t="s">
        <v>50</v>
      </c>
      <c r="J3460" t="s">
        <v>28</v>
      </c>
      <c r="K3460" t="s">
        <v>17</v>
      </c>
      <c r="L3460">
        <f>F3459*G3459*(1-H3459)</f>
        <v>1424.05</v>
      </c>
    </row>
    <row r="3461" spans="1:12">
      <c r="A3461" t="s">
        <v>4283</v>
      </c>
      <c r="B3461" s="1">
        <v>46204</v>
      </c>
      <c r="C3461" t="s">
        <v>412</v>
      </c>
      <c r="D3461" t="s">
        <v>62</v>
      </c>
      <c r="E3461" t="s">
        <v>21</v>
      </c>
      <c r="F3461">
        <v>1</v>
      </c>
      <c r="G3461">
        <v>799</v>
      </c>
      <c r="H3461">
        <v>0.1</v>
      </c>
      <c r="I3461" t="s">
        <v>44</v>
      </c>
      <c r="J3461" t="s">
        <v>36</v>
      </c>
      <c r="K3461" t="s">
        <v>37</v>
      </c>
      <c r="L3461">
        <f>F3460*G3460*(1-H3460)</f>
        <v>5397.3</v>
      </c>
    </row>
    <row r="3462" spans="1:12">
      <c r="A3462" t="s">
        <v>4284</v>
      </c>
      <c r="B3462" s="1">
        <v>46206</v>
      </c>
      <c r="C3462" t="s">
        <v>513</v>
      </c>
      <c r="D3462" t="s">
        <v>78</v>
      </c>
      <c r="E3462" t="s">
        <v>21</v>
      </c>
      <c r="F3462">
        <v>1</v>
      </c>
      <c r="G3462">
        <v>1499</v>
      </c>
      <c r="H3462">
        <v>0</v>
      </c>
      <c r="I3462" t="s">
        <v>15</v>
      </c>
      <c r="J3462" t="s">
        <v>51</v>
      </c>
      <c r="K3462" t="s">
        <v>23</v>
      </c>
      <c r="L3462">
        <f>F3461*G3461*(1-H3461)</f>
        <v>719.1</v>
      </c>
    </row>
    <row r="3463" spans="1:12">
      <c r="A3463" t="s">
        <v>4285</v>
      </c>
      <c r="B3463" s="1">
        <v>46286</v>
      </c>
      <c r="C3463" t="s">
        <v>910</v>
      </c>
      <c r="D3463" t="s">
        <v>78</v>
      </c>
      <c r="E3463" t="s">
        <v>27</v>
      </c>
      <c r="F3463">
        <v>3</v>
      </c>
      <c r="G3463">
        <v>499</v>
      </c>
      <c r="H3463">
        <v>0.15</v>
      </c>
      <c r="I3463" t="s">
        <v>32</v>
      </c>
      <c r="J3463" t="s">
        <v>16</v>
      </c>
      <c r="K3463" t="s">
        <v>17</v>
      </c>
      <c r="L3463">
        <f>F3462*G3462*(1-H3462)</f>
        <v>1499</v>
      </c>
    </row>
    <row r="3464" spans="1:12">
      <c r="A3464" t="s">
        <v>4286</v>
      </c>
      <c r="B3464" s="1">
        <v>46103</v>
      </c>
      <c r="C3464" t="s">
        <v>364</v>
      </c>
      <c r="D3464" t="s">
        <v>59</v>
      </c>
      <c r="E3464" t="s">
        <v>27</v>
      </c>
      <c r="F3464">
        <v>3</v>
      </c>
      <c r="G3464">
        <v>7999</v>
      </c>
      <c r="H3464">
        <v>0.15</v>
      </c>
      <c r="I3464" t="s">
        <v>44</v>
      </c>
      <c r="J3464" t="s">
        <v>16</v>
      </c>
      <c r="K3464" t="s">
        <v>17</v>
      </c>
      <c r="L3464">
        <f>F3463*G3463*(1-H3463)</f>
        <v>1272.45</v>
      </c>
    </row>
    <row r="3465" spans="1:12">
      <c r="A3465" t="s">
        <v>4287</v>
      </c>
      <c r="B3465" s="1">
        <v>46219</v>
      </c>
      <c r="C3465" t="s">
        <v>1101</v>
      </c>
      <c r="D3465" t="s">
        <v>13</v>
      </c>
      <c r="E3465" t="s">
        <v>14</v>
      </c>
      <c r="F3465">
        <v>2</v>
      </c>
      <c r="G3465">
        <v>799</v>
      </c>
      <c r="H3465">
        <v>0</v>
      </c>
      <c r="I3465" t="s">
        <v>47</v>
      </c>
      <c r="J3465" t="s">
        <v>16</v>
      </c>
      <c r="K3465" t="s">
        <v>17</v>
      </c>
      <c r="L3465">
        <f>F3464*G3464*(1-H3464)</f>
        <v>20397.45</v>
      </c>
    </row>
    <row r="3466" spans="1:12">
      <c r="A3466" t="s">
        <v>4288</v>
      </c>
      <c r="B3466" s="1">
        <v>46161</v>
      </c>
      <c r="C3466" t="s">
        <v>942</v>
      </c>
      <c r="D3466" t="s">
        <v>59</v>
      </c>
      <c r="E3466" t="s">
        <v>35</v>
      </c>
      <c r="F3466">
        <v>5</v>
      </c>
      <c r="G3466">
        <v>1999</v>
      </c>
      <c r="H3466">
        <v>0.1</v>
      </c>
      <c r="I3466" t="s">
        <v>15</v>
      </c>
      <c r="J3466" t="s">
        <v>51</v>
      </c>
      <c r="K3466" t="s">
        <v>17</v>
      </c>
      <c r="L3466">
        <f>F3465*G3465*(1-H3465)</f>
        <v>1598</v>
      </c>
    </row>
    <row r="3467" spans="1:12">
      <c r="A3467" t="s">
        <v>4289</v>
      </c>
      <c r="B3467" s="1">
        <v>46075</v>
      </c>
      <c r="C3467" t="s">
        <v>2601</v>
      </c>
      <c r="D3467" t="s">
        <v>26</v>
      </c>
      <c r="E3467" t="s">
        <v>40</v>
      </c>
      <c r="F3467">
        <v>4</v>
      </c>
      <c r="G3467">
        <v>499</v>
      </c>
      <c r="H3467">
        <v>0</v>
      </c>
      <c r="I3467" t="s">
        <v>32</v>
      </c>
      <c r="J3467" t="s">
        <v>28</v>
      </c>
      <c r="K3467" t="s">
        <v>37</v>
      </c>
      <c r="L3467">
        <f>F3466*G3466*(1-H3466)</f>
        <v>8995.5</v>
      </c>
    </row>
    <row r="3468" spans="1:12">
      <c r="A3468" t="s">
        <v>4290</v>
      </c>
      <c r="B3468" s="1">
        <v>46171</v>
      </c>
      <c r="C3468" t="s">
        <v>245</v>
      </c>
      <c r="D3468" t="s">
        <v>20</v>
      </c>
      <c r="E3468" t="s">
        <v>14</v>
      </c>
      <c r="F3468">
        <v>1</v>
      </c>
      <c r="G3468">
        <v>799</v>
      </c>
      <c r="H3468">
        <v>0.1</v>
      </c>
      <c r="I3468" t="s">
        <v>15</v>
      </c>
      <c r="J3468" t="s">
        <v>16</v>
      </c>
      <c r="K3468" t="s">
        <v>17</v>
      </c>
      <c r="L3468">
        <f>F3467*G3467*(1-H3467)</f>
        <v>1996</v>
      </c>
    </row>
    <row r="3469" spans="1:12">
      <c r="A3469" t="s">
        <v>4291</v>
      </c>
      <c r="B3469" s="1">
        <v>46129</v>
      </c>
      <c r="C3469" t="s">
        <v>1194</v>
      </c>
      <c r="D3469" t="s">
        <v>20</v>
      </c>
      <c r="E3469" t="s">
        <v>35</v>
      </c>
      <c r="F3469">
        <v>3</v>
      </c>
      <c r="G3469">
        <v>499</v>
      </c>
      <c r="H3469">
        <v>0.15</v>
      </c>
      <c r="I3469" t="s">
        <v>47</v>
      </c>
      <c r="J3469" t="s">
        <v>22</v>
      </c>
      <c r="K3469" t="s">
        <v>17</v>
      </c>
      <c r="L3469">
        <f>F3468*G3468*(1-H3468)</f>
        <v>719.1</v>
      </c>
    </row>
    <row r="3470" spans="1:12">
      <c r="A3470" t="s">
        <v>4292</v>
      </c>
      <c r="B3470" s="1">
        <v>46229</v>
      </c>
      <c r="C3470" t="s">
        <v>1582</v>
      </c>
      <c r="D3470" t="s">
        <v>56</v>
      </c>
      <c r="E3470" t="s">
        <v>21</v>
      </c>
      <c r="F3470">
        <v>3</v>
      </c>
      <c r="G3470">
        <v>799</v>
      </c>
      <c r="H3470">
        <v>0.15</v>
      </c>
      <c r="I3470" t="s">
        <v>32</v>
      </c>
      <c r="J3470" t="s">
        <v>22</v>
      </c>
      <c r="K3470" t="s">
        <v>23</v>
      </c>
      <c r="L3470">
        <f>F3469*G3469*(1-H3469)</f>
        <v>1272.45</v>
      </c>
    </row>
    <row r="3471" spans="1:12">
      <c r="A3471" t="s">
        <v>4293</v>
      </c>
      <c r="B3471" s="1">
        <v>46167</v>
      </c>
      <c r="C3471" t="s">
        <v>1954</v>
      </c>
      <c r="D3471" t="s">
        <v>56</v>
      </c>
      <c r="E3471" t="s">
        <v>14</v>
      </c>
      <c r="F3471">
        <v>1</v>
      </c>
      <c r="G3471">
        <v>499</v>
      </c>
      <c r="H3471">
        <v>0</v>
      </c>
      <c r="I3471" t="s">
        <v>15</v>
      </c>
      <c r="J3471" t="s">
        <v>36</v>
      </c>
      <c r="K3471" t="s">
        <v>23</v>
      </c>
      <c r="L3471">
        <f>F3470*G3470*(1-H3470)</f>
        <v>2037.45</v>
      </c>
    </row>
    <row r="3472" spans="1:12">
      <c r="A3472" t="s">
        <v>4294</v>
      </c>
      <c r="B3472" s="1">
        <v>46236</v>
      </c>
      <c r="C3472" t="s">
        <v>1934</v>
      </c>
      <c r="D3472" t="s">
        <v>13</v>
      </c>
      <c r="E3472" t="s">
        <v>27</v>
      </c>
      <c r="F3472">
        <v>4</v>
      </c>
      <c r="G3472">
        <v>499</v>
      </c>
      <c r="H3472">
        <v>0.1</v>
      </c>
      <c r="I3472" t="s">
        <v>47</v>
      </c>
      <c r="J3472" t="s">
        <v>51</v>
      </c>
      <c r="K3472" t="s">
        <v>23</v>
      </c>
      <c r="L3472">
        <f>F3471*G3471*(1-H3471)</f>
        <v>499</v>
      </c>
    </row>
    <row r="3473" spans="1:12">
      <c r="A3473" t="s">
        <v>4295</v>
      </c>
      <c r="B3473" s="1">
        <v>46192</v>
      </c>
      <c r="C3473" t="s">
        <v>969</v>
      </c>
      <c r="D3473" t="s">
        <v>56</v>
      </c>
      <c r="E3473" t="s">
        <v>14</v>
      </c>
      <c r="F3473">
        <v>4</v>
      </c>
      <c r="G3473">
        <v>999</v>
      </c>
      <c r="H3473">
        <v>0.1</v>
      </c>
      <c r="I3473" t="s">
        <v>32</v>
      </c>
      <c r="J3473" t="s">
        <v>51</v>
      </c>
      <c r="K3473" t="s">
        <v>37</v>
      </c>
      <c r="L3473">
        <f>F3472*G3472*(1-H3472)</f>
        <v>1796.4</v>
      </c>
    </row>
    <row r="3474" spans="1:12">
      <c r="A3474" t="s">
        <v>4296</v>
      </c>
      <c r="B3474" s="1">
        <v>46077</v>
      </c>
      <c r="C3474" t="s">
        <v>134</v>
      </c>
      <c r="D3474" t="s">
        <v>31</v>
      </c>
      <c r="E3474" t="s">
        <v>21</v>
      </c>
      <c r="F3474">
        <v>3</v>
      </c>
      <c r="G3474">
        <v>4999</v>
      </c>
      <c r="H3474">
        <v>0</v>
      </c>
      <c r="I3474" t="s">
        <v>15</v>
      </c>
      <c r="J3474" t="s">
        <v>36</v>
      </c>
      <c r="K3474" t="s">
        <v>23</v>
      </c>
      <c r="L3474">
        <f>F3473*G3473*(1-H3473)</f>
        <v>3596.4</v>
      </c>
    </row>
    <row r="3475" spans="1:12">
      <c r="A3475" t="s">
        <v>4297</v>
      </c>
      <c r="B3475" s="1">
        <v>46120</v>
      </c>
      <c r="C3475" t="s">
        <v>456</v>
      </c>
      <c r="D3475" t="s">
        <v>78</v>
      </c>
      <c r="E3475" t="s">
        <v>27</v>
      </c>
      <c r="F3475">
        <v>3</v>
      </c>
      <c r="G3475">
        <v>1499</v>
      </c>
      <c r="H3475">
        <v>0.15</v>
      </c>
      <c r="I3475" t="s">
        <v>50</v>
      </c>
      <c r="J3475" t="s">
        <v>51</v>
      </c>
      <c r="K3475" t="s">
        <v>37</v>
      </c>
      <c r="L3475">
        <f>F3474*G3474*(1-H3474)</f>
        <v>14997</v>
      </c>
    </row>
    <row r="3476" spans="1:12">
      <c r="A3476" t="s">
        <v>4298</v>
      </c>
      <c r="B3476" s="1">
        <v>46286</v>
      </c>
      <c r="C3476" t="s">
        <v>1112</v>
      </c>
      <c r="D3476" t="s">
        <v>20</v>
      </c>
      <c r="E3476" t="s">
        <v>35</v>
      </c>
      <c r="F3476">
        <v>3</v>
      </c>
      <c r="G3476">
        <v>599</v>
      </c>
      <c r="H3476">
        <v>0</v>
      </c>
      <c r="I3476" t="s">
        <v>32</v>
      </c>
      <c r="J3476" t="s">
        <v>22</v>
      </c>
      <c r="K3476" t="s">
        <v>23</v>
      </c>
      <c r="L3476">
        <f>F3475*G3475*(1-H3475)</f>
        <v>3822.45</v>
      </c>
    </row>
    <row r="3477" spans="1:12">
      <c r="A3477" t="s">
        <v>4299</v>
      </c>
      <c r="B3477" s="1">
        <v>46045</v>
      </c>
      <c r="C3477" t="s">
        <v>746</v>
      </c>
      <c r="D3477" t="s">
        <v>71</v>
      </c>
      <c r="E3477" t="s">
        <v>21</v>
      </c>
      <c r="F3477">
        <v>3</v>
      </c>
      <c r="G3477">
        <v>799</v>
      </c>
      <c r="H3477">
        <v>0.05</v>
      </c>
      <c r="I3477" t="s">
        <v>32</v>
      </c>
      <c r="J3477" t="s">
        <v>51</v>
      </c>
      <c r="K3477" t="s">
        <v>37</v>
      </c>
      <c r="L3477">
        <f>F3476*G3476*(1-H3476)</f>
        <v>1797</v>
      </c>
    </row>
    <row r="3478" spans="1:12">
      <c r="A3478" t="s">
        <v>4300</v>
      </c>
      <c r="B3478" s="1">
        <v>46136</v>
      </c>
      <c r="C3478" t="s">
        <v>1895</v>
      </c>
      <c r="D3478" t="s">
        <v>31</v>
      </c>
      <c r="E3478" t="s">
        <v>21</v>
      </c>
      <c r="F3478">
        <v>5</v>
      </c>
      <c r="G3478">
        <v>999</v>
      </c>
      <c r="H3478">
        <v>0.05</v>
      </c>
      <c r="I3478" t="s">
        <v>15</v>
      </c>
      <c r="J3478" t="s">
        <v>16</v>
      </c>
      <c r="K3478" t="s">
        <v>23</v>
      </c>
      <c r="L3478">
        <f>F3477*G3477*(1-H3477)</f>
        <v>2277.15</v>
      </c>
    </row>
    <row r="3479" spans="1:12">
      <c r="A3479" t="s">
        <v>4301</v>
      </c>
      <c r="B3479" s="1">
        <v>46292</v>
      </c>
      <c r="C3479" t="s">
        <v>2807</v>
      </c>
      <c r="D3479" t="s">
        <v>26</v>
      </c>
      <c r="E3479" t="s">
        <v>27</v>
      </c>
      <c r="F3479">
        <v>5</v>
      </c>
      <c r="G3479">
        <v>2499</v>
      </c>
      <c r="H3479">
        <v>0.15</v>
      </c>
      <c r="I3479" t="s">
        <v>32</v>
      </c>
      <c r="J3479" t="s">
        <v>36</v>
      </c>
      <c r="K3479" t="s">
        <v>17</v>
      </c>
      <c r="L3479">
        <f>F3478*G3478*(1-H3478)</f>
        <v>4745.25</v>
      </c>
    </row>
    <row r="3480" spans="1:12">
      <c r="A3480" t="s">
        <v>4302</v>
      </c>
      <c r="B3480" s="1">
        <v>46292</v>
      </c>
      <c r="C3480" t="s">
        <v>1499</v>
      </c>
      <c r="D3480" t="s">
        <v>59</v>
      </c>
      <c r="E3480" t="s">
        <v>14</v>
      </c>
      <c r="F3480">
        <v>1</v>
      </c>
      <c r="G3480">
        <v>7999</v>
      </c>
      <c r="H3480">
        <v>0.15</v>
      </c>
      <c r="I3480" t="s">
        <v>32</v>
      </c>
      <c r="J3480" t="s">
        <v>36</v>
      </c>
      <c r="K3480" t="s">
        <v>17</v>
      </c>
      <c r="L3480">
        <f>F3479*G3479*(1-H3479)</f>
        <v>10620.75</v>
      </c>
    </row>
    <row r="3481" spans="1:12">
      <c r="A3481" t="s">
        <v>4303</v>
      </c>
      <c r="B3481" s="1">
        <v>46130</v>
      </c>
      <c r="C3481" t="s">
        <v>273</v>
      </c>
      <c r="D3481" t="s">
        <v>62</v>
      </c>
      <c r="E3481" t="s">
        <v>27</v>
      </c>
      <c r="F3481">
        <v>4</v>
      </c>
      <c r="G3481">
        <v>799</v>
      </c>
      <c r="H3481">
        <v>0</v>
      </c>
      <c r="I3481" t="s">
        <v>15</v>
      </c>
      <c r="J3481" t="s">
        <v>22</v>
      </c>
      <c r="K3481" t="s">
        <v>17</v>
      </c>
      <c r="L3481">
        <f>F3480*G3480*(1-H3480)</f>
        <v>6799.15</v>
      </c>
    </row>
    <row r="3482" spans="1:12">
      <c r="A3482" t="s">
        <v>4304</v>
      </c>
      <c r="B3482" s="1">
        <v>46129</v>
      </c>
      <c r="C3482" t="s">
        <v>1511</v>
      </c>
      <c r="D3482" t="s">
        <v>71</v>
      </c>
      <c r="E3482" t="s">
        <v>35</v>
      </c>
      <c r="F3482">
        <v>2</v>
      </c>
      <c r="G3482">
        <v>1999</v>
      </c>
      <c r="H3482">
        <v>0.05</v>
      </c>
      <c r="I3482" t="s">
        <v>15</v>
      </c>
      <c r="J3482" t="s">
        <v>36</v>
      </c>
      <c r="K3482" t="s">
        <v>37</v>
      </c>
      <c r="L3482">
        <f>F3481*G3481*(1-H3481)</f>
        <v>3196</v>
      </c>
    </row>
    <row r="3483" spans="1:12">
      <c r="A3483" t="s">
        <v>4305</v>
      </c>
      <c r="B3483" s="1">
        <v>46264</v>
      </c>
      <c r="C3483" t="s">
        <v>685</v>
      </c>
      <c r="D3483" t="s">
        <v>71</v>
      </c>
      <c r="E3483" t="s">
        <v>14</v>
      </c>
      <c r="F3483">
        <v>5</v>
      </c>
      <c r="G3483">
        <v>1499</v>
      </c>
      <c r="H3483">
        <v>0.05</v>
      </c>
      <c r="I3483" t="s">
        <v>32</v>
      </c>
      <c r="J3483" t="s">
        <v>28</v>
      </c>
      <c r="K3483" t="s">
        <v>17</v>
      </c>
      <c r="L3483">
        <f>F3482*G3482*(1-H3482)</f>
        <v>3798.1</v>
      </c>
    </row>
    <row r="3484" spans="1:12">
      <c r="A3484" t="s">
        <v>4306</v>
      </c>
      <c r="B3484" s="1">
        <v>46239</v>
      </c>
      <c r="C3484" t="s">
        <v>2562</v>
      </c>
      <c r="D3484" t="s">
        <v>43</v>
      </c>
      <c r="E3484" t="s">
        <v>14</v>
      </c>
      <c r="F3484">
        <v>1</v>
      </c>
      <c r="G3484">
        <v>1499</v>
      </c>
      <c r="H3484">
        <v>0.15</v>
      </c>
      <c r="I3484" t="s">
        <v>44</v>
      </c>
      <c r="J3484" t="s">
        <v>28</v>
      </c>
      <c r="K3484" t="s">
        <v>17</v>
      </c>
      <c r="L3484">
        <f>F3483*G3483*(1-H3483)</f>
        <v>7120.25</v>
      </c>
    </row>
    <row r="3485" spans="1:12">
      <c r="A3485" t="s">
        <v>4307</v>
      </c>
      <c r="B3485" s="1">
        <v>46115</v>
      </c>
      <c r="C3485" t="s">
        <v>905</v>
      </c>
      <c r="D3485" t="s">
        <v>62</v>
      </c>
      <c r="E3485" t="s">
        <v>40</v>
      </c>
      <c r="F3485">
        <v>5</v>
      </c>
      <c r="G3485">
        <v>499</v>
      </c>
      <c r="H3485">
        <v>0</v>
      </c>
      <c r="I3485" t="s">
        <v>32</v>
      </c>
      <c r="J3485" t="s">
        <v>51</v>
      </c>
      <c r="K3485" t="s">
        <v>37</v>
      </c>
      <c r="L3485">
        <f>F3484*G3484*(1-H3484)</f>
        <v>1274.1499999999999</v>
      </c>
    </row>
    <row r="3486" spans="1:12">
      <c r="A3486" t="s">
        <v>4308</v>
      </c>
      <c r="B3486" s="1">
        <v>46051</v>
      </c>
      <c r="C3486" t="s">
        <v>1654</v>
      </c>
      <c r="D3486" t="s">
        <v>31</v>
      </c>
      <c r="E3486" t="s">
        <v>40</v>
      </c>
      <c r="F3486">
        <v>2</v>
      </c>
      <c r="G3486">
        <v>599</v>
      </c>
      <c r="H3486">
        <v>0</v>
      </c>
      <c r="I3486" t="s">
        <v>44</v>
      </c>
      <c r="J3486" t="s">
        <v>28</v>
      </c>
      <c r="K3486" t="s">
        <v>17</v>
      </c>
      <c r="L3486">
        <f>F3485*G3485*(1-H3485)</f>
        <v>2495</v>
      </c>
    </row>
    <row r="3487" spans="1:12">
      <c r="A3487" t="s">
        <v>4309</v>
      </c>
      <c r="B3487" s="1">
        <v>46193</v>
      </c>
      <c r="C3487" t="s">
        <v>1511</v>
      </c>
      <c r="D3487" t="s">
        <v>13</v>
      </c>
      <c r="E3487" t="s">
        <v>21</v>
      </c>
      <c r="F3487">
        <v>5</v>
      </c>
      <c r="G3487">
        <v>799</v>
      </c>
      <c r="H3487">
        <v>0.05</v>
      </c>
      <c r="I3487" t="s">
        <v>47</v>
      </c>
      <c r="J3487" t="s">
        <v>36</v>
      </c>
      <c r="K3487" t="s">
        <v>37</v>
      </c>
      <c r="L3487">
        <f>F3486*G3486*(1-H3486)</f>
        <v>1198</v>
      </c>
    </row>
    <row r="3488" spans="1:12">
      <c r="A3488" t="s">
        <v>4310</v>
      </c>
      <c r="B3488" s="1">
        <v>46180</v>
      </c>
      <c r="C3488" t="s">
        <v>1827</v>
      </c>
      <c r="D3488" t="s">
        <v>78</v>
      </c>
      <c r="E3488" t="s">
        <v>14</v>
      </c>
      <c r="F3488">
        <v>2</v>
      </c>
      <c r="G3488">
        <v>1299</v>
      </c>
      <c r="H3488">
        <v>0.1</v>
      </c>
      <c r="I3488" t="s">
        <v>47</v>
      </c>
      <c r="J3488" t="s">
        <v>28</v>
      </c>
      <c r="K3488" t="s">
        <v>17</v>
      </c>
      <c r="L3488">
        <f>F3487*G3487*(1-H3487)</f>
        <v>3795.25</v>
      </c>
    </row>
    <row r="3489" spans="1:12">
      <c r="A3489" t="s">
        <v>4311</v>
      </c>
      <c r="B3489" s="1">
        <v>46042</v>
      </c>
      <c r="C3489" t="s">
        <v>541</v>
      </c>
      <c r="D3489" t="s">
        <v>71</v>
      </c>
      <c r="E3489" t="s">
        <v>21</v>
      </c>
      <c r="F3489">
        <v>1</v>
      </c>
      <c r="G3489">
        <v>1499</v>
      </c>
      <c r="H3489">
        <v>0</v>
      </c>
      <c r="I3489" t="s">
        <v>47</v>
      </c>
      <c r="J3489" t="s">
        <v>16</v>
      </c>
      <c r="K3489" t="s">
        <v>17</v>
      </c>
      <c r="L3489">
        <f>F3488*G3488*(1-H3488)</f>
        <v>2338.2000000000003</v>
      </c>
    </row>
    <row r="3490" spans="1:12">
      <c r="A3490" t="s">
        <v>4312</v>
      </c>
      <c r="B3490" s="1">
        <v>46143</v>
      </c>
      <c r="C3490" t="s">
        <v>1728</v>
      </c>
      <c r="D3490" t="s">
        <v>62</v>
      </c>
      <c r="E3490" t="s">
        <v>14</v>
      </c>
      <c r="F3490">
        <v>1</v>
      </c>
      <c r="G3490">
        <v>1299</v>
      </c>
      <c r="H3490">
        <v>0.15</v>
      </c>
      <c r="I3490" t="s">
        <v>32</v>
      </c>
      <c r="J3490" t="s">
        <v>28</v>
      </c>
      <c r="K3490" t="s">
        <v>17</v>
      </c>
      <c r="L3490">
        <f>F3489*G3489*(1-H3489)</f>
        <v>1499</v>
      </c>
    </row>
    <row r="3491" spans="1:12">
      <c r="A3491" t="s">
        <v>4313</v>
      </c>
      <c r="B3491" s="1">
        <v>46125</v>
      </c>
      <c r="C3491" t="s">
        <v>30</v>
      </c>
      <c r="D3491" t="s">
        <v>13</v>
      </c>
      <c r="E3491" t="s">
        <v>14</v>
      </c>
      <c r="F3491">
        <v>3</v>
      </c>
      <c r="G3491">
        <v>499</v>
      </c>
      <c r="H3491">
        <v>0.15</v>
      </c>
      <c r="I3491" t="s">
        <v>47</v>
      </c>
      <c r="J3491" t="s">
        <v>28</v>
      </c>
      <c r="K3491" t="s">
        <v>17</v>
      </c>
      <c r="L3491">
        <f>F3490*G3490*(1-H3490)</f>
        <v>1104.1499999999999</v>
      </c>
    </row>
    <row r="3492" spans="1:12">
      <c r="A3492" t="s">
        <v>4314</v>
      </c>
      <c r="B3492" s="1">
        <v>46183</v>
      </c>
      <c r="C3492" t="s">
        <v>1291</v>
      </c>
      <c r="D3492" t="s">
        <v>78</v>
      </c>
      <c r="E3492" t="s">
        <v>21</v>
      </c>
      <c r="F3492">
        <v>4</v>
      </c>
      <c r="G3492">
        <v>499</v>
      </c>
      <c r="H3492">
        <v>0</v>
      </c>
      <c r="I3492" t="s">
        <v>50</v>
      </c>
      <c r="J3492" t="s">
        <v>16</v>
      </c>
      <c r="K3492" t="s">
        <v>17</v>
      </c>
      <c r="L3492">
        <f>F3491*G3491*(1-H3491)</f>
        <v>1272.45</v>
      </c>
    </row>
    <row r="3493" spans="1:12">
      <c r="A3493" t="s">
        <v>4315</v>
      </c>
      <c r="B3493" s="1">
        <v>46276</v>
      </c>
      <c r="C3493" t="s">
        <v>213</v>
      </c>
      <c r="D3493" t="s">
        <v>59</v>
      </c>
      <c r="E3493" t="s">
        <v>21</v>
      </c>
      <c r="F3493">
        <v>1</v>
      </c>
      <c r="G3493">
        <v>799</v>
      </c>
      <c r="H3493">
        <v>0.05</v>
      </c>
      <c r="I3493" t="s">
        <v>47</v>
      </c>
      <c r="J3493" t="s">
        <v>22</v>
      </c>
      <c r="K3493" t="s">
        <v>37</v>
      </c>
      <c r="L3493">
        <f>F3492*G3492*(1-H3492)</f>
        <v>1996</v>
      </c>
    </row>
    <row r="3494" spans="1:12">
      <c r="A3494" t="s">
        <v>4316</v>
      </c>
      <c r="B3494" s="1">
        <v>46083</v>
      </c>
      <c r="C3494" t="s">
        <v>294</v>
      </c>
      <c r="D3494" t="s">
        <v>26</v>
      </c>
      <c r="E3494" t="s">
        <v>40</v>
      </c>
      <c r="F3494">
        <v>4</v>
      </c>
      <c r="G3494">
        <v>7999</v>
      </c>
      <c r="H3494">
        <v>0</v>
      </c>
      <c r="I3494" t="s">
        <v>50</v>
      </c>
      <c r="J3494" t="s">
        <v>51</v>
      </c>
      <c r="K3494" t="s">
        <v>17</v>
      </c>
      <c r="L3494">
        <f>F3493*G3493*(1-H3493)</f>
        <v>759.05</v>
      </c>
    </row>
    <row r="3495" spans="1:12">
      <c r="A3495" t="s">
        <v>4317</v>
      </c>
      <c r="B3495" s="1">
        <v>46104</v>
      </c>
      <c r="C3495" t="s">
        <v>378</v>
      </c>
      <c r="D3495" t="s">
        <v>56</v>
      </c>
      <c r="E3495" t="s">
        <v>27</v>
      </c>
      <c r="F3495">
        <v>5</v>
      </c>
      <c r="G3495">
        <v>499</v>
      </c>
      <c r="H3495">
        <v>0</v>
      </c>
      <c r="I3495" t="s">
        <v>50</v>
      </c>
      <c r="J3495" t="s">
        <v>36</v>
      </c>
      <c r="K3495" t="s">
        <v>17</v>
      </c>
      <c r="L3495">
        <f>F3494*G3494*(1-H3494)</f>
        <v>31996</v>
      </c>
    </row>
    <row r="3496" spans="1:12">
      <c r="A3496" t="s">
        <v>4318</v>
      </c>
      <c r="B3496" s="1">
        <v>46194</v>
      </c>
      <c r="C3496" t="s">
        <v>1432</v>
      </c>
      <c r="D3496" t="s">
        <v>31</v>
      </c>
      <c r="E3496" t="s">
        <v>35</v>
      </c>
      <c r="F3496">
        <v>3</v>
      </c>
      <c r="G3496">
        <v>999</v>
      </c>
      <c r="H3496">
        <v>0.1</v>
      </c>
      <c r="I3496" t="s">
        <v>44</v>
      </c>
      <c r="J3496" t="s">
        <v>51</v>
      </c>
      <c r="K3496" t="s">
        <v>37</v>
      </c>
      <c r="L3496">
        <f>F3495*G3495*(1-H3495)</f>
        <v>2495</v>
      </c>
    </row>
    <row r="3497" spans="1:12">
      <c r="A3497" t="s">
        <v>4319</v>
      </c>
      <c r="B3497" s="1">
        <v>46159</v>
      </c>
      <c r="C3497" t="s">
        <v>1495</v>
      </c>
      <c r="D3497" t="s">
        <v>59</v>
      </c>
      <c r="E3497" t="s">
        <v>21</v>
      </c>
      <c r="F3497">
        <v>3</v>
      </c>
      <c r="G3497">
        <v>999</v>
      </c>
      <c r="H3497">
        <v>0</v>
      </c>
      <c r="I3497" t="s">
        <v>44</v>
      </c>
      <c r="J3497" t="s">
        <v>36</v>
      </c>
      <c r="K3497" t="s">
        <v>23</v>
      </c>
      <c r="L3497">
        <f>F3496*G3496*(1-H3496)</f>
        <v>2697.3</v>
      </c>
    </row>
    <row r="3498" spans="1:12">
      <c r="A3498" t="s">
        <v>4320</v>
      </c>
      <c r="B3498" s="1">
        <v>46259</v>
      </c>
      <c r="C3498" t="s">
        <v>174</v>
      </c>
      <c r="D3498" t="s">
        <v>43</v>
      </c>
      <c r="E3498" t="s">
        <v>21</v>
      </c>
      <c r="F3498">
        <v>4</v>
      </c>
      <c r="G3498">
        <v>4999</v>
      </c>
      <c r="H3498">
        <v>0.05</v>
      </c>
      <c r="I3498" t="s">
        <v>50</v>
      </c>
      <c r="J3498" t="s">
        <v>16</v>
      </c>
      <c r="K3498" t="s">
        <v>17</v>
      </c>
      <c r="L3498">
        <f>F3497*G3497*(1-H3497)</f>
        <v>2997</v>
      </c>
    </row>
    <row r="3499" spans="1:12">
      <c r="A3499" t="s">
        <v>4321</v>
      </c>
      <c r="B3499" s="1">
        <v>46244</v>
      </c>
      <c r="C3499" t="s">
        <v>1244</v>
      </c>
      <c r="D3499" t="s">
        <v>71</v>
      </c>
      <c r="E3499" t="s">
        <v>14</v>
      </c>
      <c r="F3499">
        <v>4</v>
      </c>
      <c r="G3499">
        <v>1299</v>
      </c>
      <c r="H3499">
        <v>0.05</v>
      </c>
      <c r="I3499" t="s">
        <v>15</v>
      </c>
      <c r="J3499" t="s">
        <v>28</v>
      </c>
      <c r="K3499" t="s">
        <v>37</v>
      </c>
      <c r="L3499">
        <f>F3498*G3498*(1-H3498)</f>
        <v>18996.2</v>
      </c>
    </row>
    <row r="3500" spans="1:12">
      <c r="A3500" t="s">
        <v>4322</v>
      </c>
      <c r="B3500" s="1">
        <v>46261</v>
      </c>
      <c r="C3500" t="s">
        <v>389</v>
      </c>
      <c r="D3500" t="s">
        <v>31</v>
      </c>
      <c r="E3500" t="s">
        <v>14</v>
      </c>
      <c r="F3500">
        <v>1</v>
      </c>
      <c r="G3500">
        <v>1299</v>
      </c>
      <c r="H3500">
        <v>0.15</v>
      </c>
      <c r="I3500" t="s">
        <v>50</v>
      </c>
      <c r="J3500" t="s">
        <v>36</v>
      </c>
      <c r="K3500" t="s">
        <v>17</v>
      </c>
      <c r="L3500">
        <f>F3499*G3499*(1-H3499)</f>
        <v>4936.2</v>
      </c>
    </row>
    <row r="3501" spans="1:12">
      <c r="A3501" t="s">
        <v>4323</v>
      </c>
      <c r="B3501" s="1">
        <v>46254</v>
      </c>
      <c r="C3501" t="s">
        <v>119</v>
      </c>
      <c r="D3501" t="s">
        <v>62</v>
      </c>
      <c r="E3501" t="s">
        <v>35</v>
      </c>
      <c r="F3501">
        <v>5</v>
      </c>
      <c r="G3501">
        <v>4999</v>
      </c>
      <c r="H3501">
        <v>0</v>
      </c>
      <c r="I3501" t="s">
        <v>47</v>
      </c>
      <c r="J3501" t="s">
        <v>22</v>
      </c>
      <c r="K3501" t="s">
        <v>17</v>
      </c>
      <c r="L3501">
        <f>F3500*G3500*(1-H3500)</f>
        <v>1104.1499999999999</v>
      </c>
    </row>
    <row r="3502" spans="1:12">
      <c r="A3502" t="s">
        <v>4324</v>
      </c>
      <c r="B3502" s="1">
        <v>46040</v>
      </c>
      <c r="C3502" t="s">
        <v>3530</v>
      </c>
      <c r="D3502" t="s">
        <v>20</v>
      </c>
      <c r="E3502" t="s">
        <v>27</v>
      </c>
      <c r="F3502">
        <v>1</v>
      </c>
      <c r="G3502">
        <v>4999</v>
      </c>
      <c r="H3502">
        <v>0</v>
      </c>
      <c r="I3502" t="s">
        <v>47</v>
      </c>
      <c r="J3502" t="s">
        <v>36</v>
      </c>
      <c r="K3502" t="s">
        <v>17</v>
      </c>
      <c r="L3502">
        <f>F3501*G3501*(1-H3501)</f>
        <v>24995</v>
      </c>
    </row>
    <row r="3503" spans="1:12">
      <c r="A3503" t="s">
        <v>4325</v>
      </c>
      <c r="B3503" s="1">
        <v>46243</v>
      </c>
      <c r="C3503" t="s">
        <v>2724</v>
      </c>
      <c r="D3503" t="s">
        <v>43</v>
      </c>
      <c r="E3503" t="s">
        <v>21</v>
      </c>
      <c r="F3503">
        <v>3</v>
      </c>
      <c r="G3503">
        <v>799</v>
      </c>
      <c r="H3503">
        <v>0.15</v>
      </c>
      <c r="I3503" t="s">
        <v>44</v>
      </c>
      <c r="J3503" t="s">
        <v>16</v>
      </c>
      <c r="K3503" t="s">
        <v>17</v>
      </c>
      <c r="L3503">
        <f>F3502*G3502*(1-H3502)</f>
        <v>4999</v>
      </c>
    </row>
    <row r="3504" spans="1:12">
      <c r="A3504" t="s">
        <v>4326</v>
      </c>
      <c r="B3504" s="1">
        <v>46270</v>
      </c>
      <c r="C3504" t="s">
        <v>1760</v>
      </c>
      <c r="D3504" t="s">
        <v>26</v>
      </c>
      <c r="E3504" t="s">
        <v>14</v>
      </c>
      <c r="F3504">
        <v>5</v>
      </c>
      <c r="G3504">
        <v>4999</v>
      </c>
      <c r="H3504">
        <v>0</v>
      </c>
      <c r="I3504" t="s">
        <v>44</v>
      </c>
      <c r="J3504" t="s">
        <v>36</v>
      </c>
      <c r="K3504" t="s">
        <v>17</v>
      </c>
      <c r="L3504">
        <f>F3503*G3503*(1-H3503)</f>
        <v>2037.45</v>
      </c>
    </row>
    <row r="3505" spans="1:12">
      <c r="A3505" t="s">
        <v>4327</v>
      </c>
      <c r="B3505" s="1">
        <v>46156</v>
      </c>
      <c r="C3505" t="s">
        <v>857</v>
      </c>
      <c r="D3505" t="s">
        <v>13</v>
      </c>
      <c r="E3505" t="s">
        <v>14</v>
      </c>
      <c r="F3505">
        <v>1</v>
      </c>
      <c r="G3505">
        <v>2499</v>
      </c>
      <c r="H3505">
        <v>0.1</v>
      </c>
      <c r="I3505" t="s">
        <v>15</v>
      </c>
      <c r="J3505" t="s">
        <v>51</v>
      </c>
      <c r="K3505" t="s">
        <v>23</v>
      </c>
      <c r="L3505">
        <f>F3504*G3504*(1-H3504)</f>
        <v>24995</v>
      </c>
    </row>
    <row r="3506" spans="1:12">
      <c r="A3506" t="s">
        <v>4328</v>
      </c>
      <c r="B3506" s="1">
        <v>46240</v>
      </c>
      <c r="C3506" t="s">
        <v>1998</v>
      </c>
      <c r="D3506" t="s">
        <v>43</v>
      </c>
      <c r="E3506" t="s">
        <v>35</v>
      </c>
      <c r="F3506">
        <v>4</v>
      </c>
      <c r="G3506">
        <v>1299</v>
      </c>
      <c r="H3506">
        <v>0.05</v>
      </c>
      <c r="I3506" t="s">
        <v>47</v>
      </c>
      <c r="J3506" t="s">
        <v>28</v>
      </c>
      <c r="K3506" t="s">
        <v>17</v>
      </c>
      <c r="L3506">
        <f>F3505*G3505*(1-H3505)</f>
        <v>2249.1</v>
      </c>
    </row>
    <row r="3507" spans="1:12">
      <c r="A3507" t="s">
        <v>4329</v>
      </c>
      <c r="B3507" s="1">
        <v>46195</v>
      </c>
      <c r="C3507" t="s">
        <v>1990</v>
      </c>
      <c r="D3507" t="s">
        <v>78</v>
      </c>
      <c r="E3507" t="s">
        <v>14</v>
      </c>
      <c r="F3507">
        <v>1</v>
      </c>
      <c r="G3507">
        <v>1299</v>
      </c>
      <c r="H3507">
        <v>0.15</v>
      </c>
      <c r="I3507" t="s">
        <v>50</v>
      </c>
      <c r="J3507" t="s">
        <v>16</v>
      </c>
      <c r="K3507" t="s">
        <v>17</v>
      </c>
      <c r="L3507">
        <f>F3506*G3506*(1-H3506)</f>
        <v>4936.2</v>
      </c>
    </row>
    <row r="3508" spans="1:12">
      <c r="A3508" t="s">
        <v>4330</v>
      </c>
      <c r="B3508" s="1">
        <v>46050</v>
      </c>
      <c r="C3508" t="s">
        <v>2987</v>
      </c>
      <c r="D3508" t="s">
        <v>31</v>
      </c>
      <c r="E3508" t="s">
        <v>21</v>
      </c>
      <c r="F3508">
        <v>1</v>
      </c>
      <c r="G3508">
        <v>1299</v>
      </c>
      <c r="H3508">
        <v>0</v>
      </c>
      <c r="I3508" t="s">
        <v>15</v>
      </c>
      <c r="J3508" t="s">
        <v>22</v>
      </c>
      <c r="K3508" t="s">
        <v>17</v>
      </c>
      <c r="L3508">
        <f>F3507*G3507*(1-H3507)</f>
        <v>1104.1499999999999</v>
      </c>
    </row>
    <row r="3509" spans="1:12">
      <c r="A3509" t="s">
        <v>4331</v>
      </c>
      <c r="B3509" s="1">
        <v>46245</v>
      </c>
      <c r="C3509" t="s">
        <v>3641</v>
      </c>
      <c r="D3509" t="s">
        <v>71</v>
      </c>
      <c r="E3509" t="s">
        <v>35</v>
      </c>
      <c r="F3509">
        <v>1</v>
      </c>
      <c r="G3509">
        <v>599</v>
      </c>
      <c r="H3509">
        <v>0</v>
      </c>
      <c r="I3509" t="s">
        <v>50</v>
      </c>
      <c r="J3509" t="s">
        <v>36</v>
      </c>
      <c r="K3509" t="s">
        <v>17</v>
      </c>
      <c r="L3509">
        <f>F3508*G3508*(1-H3508)</f>
        <v>1299</v>
      </c>
    </row>
    <row r="3510" spans="1:12">
      <c r="A3510" t="s">
        <v>4332</v>
      </c>
      <c r="B3510" s="1">
        <v>46046</v>
      </c>
      <c r="C3510" t="s">
        <v>68</v>
      </c>
      <c r="D3510" t="s">
        <v>78</v>
      </c>
      <c r="E3510" t="s">
        <v>14</v>
      </c>
      <c r="F3510">
        <v>5</v>
      </c>
      <c r="G3510">
        <v>1999</v>
      </c>
      <c r="H3510">
        <v>0.15</v>
      </c>
      <c r="I3510" t="s">
        <v>44</v>
      </c>
      <c r="J3510" t="s">
        <v>51</v>
      </c>
      <c r="K3510" t="s">
        <v>23</v>
      </c>
      <c r="L3510">
        <f>F3509*G3509*(1-H3509)</f>
        <v>599</v>
      </c>
    </row>
    <row r="3511" spans="1:12">
      <c r="A3511" t="s">
        <v>4333</v>
      </c>
      <c r="B3511" s="1">
        <v>46166</v>
      </c>
      <c r="C3511" t="s">
        <v>626</v>
      </c>
      <c r="D3511" t="s">
        <v>78</v>
      </c>
      <c r="E3511" t="s">
        <v>27</v>
      </c>
      <c r="F3511">
        <v>1</v>
      </c>
      <c r="G3511">
        <v>1999</v>
      </c>
      <c r="H3511">
        <v>0</v>
      </c>
      <c r="I3511" t="s">
        <v>50</v>
      </c>
      <c r="J3511" t="s">
        <v>51</v>
      </c>
      <c r="K3511" t="s">
        <v>23</v>
      </c>
      <c r="L3511">
        <f>F3510*G3510*(1-H3510)</f>
        <v>8495.75</v>
      </c>
    </row>
    <row r="3512" spans="1:12">
      <c r="A3512" t="s">
        <v>4334</v>
      </c>
      <c r="B3512" s="1">
        <v>46090</v>
      </c>
      <c r="C3512" t="s">
        <v>3336</v>
      </c>
      <c r="D3512" t="s">
        <v>20</v>
      </c>
      <c r="E3512" t="s">
        <v>35</v>
      </c>
      <c r="F3512">
        <v>2</v>
      </c>
      <c r="G3512">
        <v>4999</v>
      </c>
      <c r="H3512">
        <v>0</v>
      </c>
      <c r="I3512" t="s">
        <v>44</v>
      </c>
      <c r="J3512" t="s">
        <v>28</v>
      </c>
      <c r="K3512" t="s">
        <v>37</v>
      </c>
      <c r="L3512">
        <f>F3511*G3511*(1-H3511)</f>
        <v>1999</v>
      </c>
    </row>
    <row r="3513" spans="1:12">
      <c r="A3513" t="s">
        <v>4335</v>
      </c>
      <c r="B3513" s="1">
        <v>46158</v>
      </c>
      <c r="C3513" t="s">
        <v>430</v>
      </c>
      <c r="D3513" t="s">
        <v>78</v>
      </c>
      <c r="E3513" t="s">
        <v>21</v>
      </c>
      <c r="F3513">
        <v>2</v>
      </c>
      <c r="G3513">
        <v>1499</v>
      </c>
      <c r="H3513">
        <v>0.15</v>
      </c>
      <c r="I3513" t="s">
        <v>44</v>
      </c>
      <c r="J3513" t="s">
        <v>28</v>
      </c>
      <c r="K3513" t="s">
        <v>23</v>
      </c>
      <c r="L3513">
        <f>F3512*G3512*(1-H3512)</f>
        <v>9998</v>
      </c>
    </row>
    <row r="3514" spans="1:12">
      <c r="A3514" t="s">
        <v>4336</v>
      </c>
      <c r="B3514" s="1">
        <v>46213</v>
      </c>
      <c r="C3514" t="s">
        <v>606</v>
      </c>
      <c r="D3514" t="s">
        <v>62</v>
      </c>
      <c r="E3514" t="s">
        <v>40</v>
      </c>
      <c r="F3514">
        <v>1</v>
      </c>
      <c r="G3514">
        <v>599</v>
      </c>
      <c r="H3514">
        <v>0</v>
      </c>
      <c r="I3514" t="s">
        <v>32</v>
      </c>
      <c r="J3514" t="s">
        <v>16</v>
      </c>
      <c r="K3514" t="s">
        <v>17</v>
      </c>
      <c r="L3514">
        <f>F3513*G3513*(1-H3513)</f>
        <v>2548.2999999999997</v>
      </c>
    </row>
    <row r="3515" spans="1:12">
      <c r="A3515" t="s">
        <v>4337</v>
      </c>
      <c r="B3515" s="1">
        <v>46287</v>
      </c>
      <c r="C3515" t="s">
        <v>333</v>
      </c>
      <c r="D3515" t="s">
        <v>43</v>
      </c>
      <c r="E3515" t="s">
        <v>14</v>
      </c>
      <c r="F3515">
        <v>2</v>
      </c>
      <c r="G3515">
        <v>599</v>
      </c>
      <c r="H3515">
        <v>0.05</v>
      </c>
      <c r="I3515" t="s">
        <v>15</v>
      </c>
      <c r="J3515" t="s">
        <v>36</v>
      </c>
      <c r="K3515" t="s">
        <v>37</v>
      </c>
      <c r="L3515">
        <f>F3514*G3514*(1-H3514)</f>
        <v>599</v>
      </c>
    </row>
    <row r="3516" spans="1:12">
      <c r="A3516" t="s">
        <v>4338</v>
      </c>
      <c r="B3516" s="1">
        <v>46153</v>
      </c>
      <c r="C3516" t="s">
        <v>1523</v>
      </c>
      <c r="D3516" t="s">
        <v>62</v>
      </c>
      <c r="E3516" t="s">
        <v>27</v>
      </c>
      <c r="F3516">
        <v>1</v>
      </c>
      <c r="G3516">
        <v>7999</v>
      </c>
      <c r="H3516">
        <v>0.15</v>
      </c>
      <c r="I3516" t="s">
        <v>47</v>
      </c>
      <c r="J3516" t="s">
        <v>16</v>
      </c>
      <c r="K3516" t="s">
        <v>17</v>
      </c>
      <c r="L3516">
        <f>F3515*G3515*(1-H3515)</f>
        <v>1138.0999999999999</v>
      </c>
    </row>
    <row r="3517" spans="1:12">
      <c r="A3517" t="s">
        <v>4339</v>
      </c>
      <c r="B3517" s="1">
        <v>46111</v>
      </c>
      <c r="C3517" t="s">
        <v>2689</v>
      </c>
      <c r="D3517" t="s">
        <v>20</v>
      </c>
      <c r="E3517" t="s">
        <v>27</v>
      </c>
      <c r="F3517">
        <v>2</v>
      </c>
      <c r="G3517">
        <v>2499</v>
      </c>
      <c r="H3517">
        <v>0.05</v>
      </c>
      <c r="I3517" t="s">
        <v>47</v>
      </c>
      <c r="J3517" t="s">
        <v>36</v>
      </c>
      <c r="K3517" t="s">
        <v>37</v>
      </c>
      <c r="L3517">
        <f>F3516*G3516*(1-H3516)</f>
        <v>6799.15</v>
      </c>
    </row>
    <row r="3518" spans="1:12">
      <c r="A3518" t="s">
        <v>4340</v>
      </c>
      <c r="B3518" s="1">
        <v>46277</v>
      </c>
      <c r="C3518" t="s">
        <v>2306</v>
      </c>
      <c r="D3518" t="s">
        <v>56</v>
      </c>
      <c r="E3518" t="s">
        <v>35</v>
      </c>
      <c r="F3518">
        <v>5</v>
      </c>
      <c r="G3518">
        <v>499</v>
      </c>
      <c r="H3518">
        <v>0.1</v>
      </c>
      <c r="I3518" t="s">
        <v>44</v>
      </c>
      <c r="J3518" t="s">
        <v>22</v>
      </c>
      <c r="K3518" t="s">
        <v>17</v>
      </c>
      <c r="L3518">
        <f>F3517*G3517*(1-H3517)</f>
        <v>4748.0999999999995</v>
      </c>
    </row>
    <row r="3519" spans="1:12">
      <c r="A3519" t="s">
        <v>4341</v>
      </c>
      <c r="B3519" s="1">
        <v>46230</v>
      </c>
      <c r="C3519" t="s">
        <v>2083</v>
      </c>
      <c r="D3519" t="s">
        <v>43</v>
      </c>
      <c r="E3519" t="s">
        <v>27</v>
      </c>
      <c r="F3519">
        <v>4</v>
      </c>
      <c r="G3519">
        <v>7999</v>
      </c>
      <c r="H3519">
        <v>0.15</v>
      </c>
      <c r="I3519" t="s">
        <v>32</v>
      </c>
      <c r="J3519" t="s">
        <v>36</v>
      </c>
      <c r="K3519" t="s">
        <v>17</v>
      </c>
      <c r="L3519">
        <f>F3518*G3518*(1-H3518)</f>
        <v>2245.5</v>
      </c>
    </row>
    <row r="3520" spans="1:12">
      <c r="A3520" t="s">
        <v>4342</v>
      </c>
      <c r="B3520" s="1">
        <v>46122</v>
      </c>
      <c r="C3520" t="s">
        <v>1196</v>
      </c>
      <c r="D3520" t="s">
        <v>78</v>
      </c>
      <c r="E3520" t="s">
        <v>40</v>
      </c>
      <c r="F3520">
        <v>1</v>
      </c>
      <c r="G3520">
        <v>1299</v>
      </c>
      <c r="H3520">
        <v>0.05</v>
      </c>
      <c r="I3520" t="s">
        <v>44</v>
      </c>
      <c r="J3520" t="s">
        <v>36</v>
      </c>
      <c r="K3520" t="s">
        <v>17</v>
      </c>
      <c r="L3520">
        <f>F3519*G3519*(1-H3519)</f>
        <v>27196.6</v>
      </c>
    </row>
    <row r="3521" spans="1:12">
      <c r="A3521" t="s">
        <v>4343</v>
      </c>
      <c r="B3521" s="1">
        <v>46270</v>
      </c>
      <c r="C3521" t="s">
        <v>128</v>
      </c>
      <c r="D3521" t="s">
        <v>71</v>
      </c>
      <c r="E3521" t="s">
        <v>27</v>
      </c>
      <c r="F3521">
        <v>4</v>
      </c>
      <c r="G3521">
        <v>1999</v>
      </c>
      <c r="H3521">
        <v>0.05</v>
      </c>
      <c r="I3521" t="s">
        <v>15</v>
      </c>
      <c r="J3521" t="s">
        <v>51</v>
      </c>
      <c r="K3521" t="s">
        <v>17</v>
      </c>
      <c r="L3521">
        <f>F3520*G3520*(1-H3520)</f>
        <v>1234.05</v>
      </c>
    </row>
    <row r="3522" spans="1:12">
      <c r="A3522" t="s">
        <v>4344</v>
      </c>
      <c r="B3522" s="1">
        <v>46141</v>
      </c>
      <c r="C3522" t="s">
        <v>891</v>
      </c>
      <c r="D3522" t="s">
        <v>43</v>
      </c>
      <c r="E3522" t="s">
        <v>14</v>
      </c>
      <c r="F3522">
        <v>4</v>
      </c>
      <c r="G3522">
        <v>799</v>
      </c>
      <c r="H3522">
        <v>0</v>
      </c>
      <c r="I3522" t="s">
        <v>50</v>
      </c>
      <c r="J3522" t="s">
        <v>22</v>
      </c>
      <c r="K3522" t="s">
        <v>17</v>
      </c>
      <c r="L3522">
        <f>F3521*G3521*(1-H3521)</f>
        <v>7596.2</v>
      </c>
    </row>
    <row r="3523" spans="1:12">
      <c r="A3523" t="s">
        <v>4345</v>
      </c>
      <c r="B3523" s="1">
        <v>46118</v>
      </c>
      <c r="C3523" t="s">
        <v>82</v>
      </c>
      <c r="D3523" t="s">
        <v>78</v>
      </c>
      <c r="E3523" t="s">
        <v>14</v>
      </c>
      <c r="F3523">
        <v>2</v>
      </c>
      <c r="G3523">
        <v>799</v>
      </c>
      <c r="H3523">
        <v>0.15</v>
      </c>
      <c r="I3523" t="s">
        <v>15</v>
      </c>
      <c r="J3523" t="s">
        <v>28</v>
      </c>
      <c r="K3523" t="s">
        <v>17</v>
      </c>
      <c r="L3523">
        <f>F3522*G3522*(1-H3522)</f>
        <v>3196</v>
      </c>
    </row>
    <row r="3524" spans="1:12">
      <c r="A3524" t="s">
        <v>4346</v>
      </c>
      <c r="B3524" s="1">
        <v>46259</v>
      </c>
      <c r="C3524" t="s">
        <v>417</v>
      </c>
      <c r="D3524" t="s">
        <v>43</v>
      </c>
      <c r="E3524" t="s">
        <v>27</v>
      </c>
      <c r="F3524">
        <v>2</v>
      </c>
      <c r="G3524">
        <v>1999</v>
      </c>
      <c r="H3524">
        <v>0.05</v>
      </c>
      <c r="I3524" t="s">
        <v>47</v>
      </c>
      <c r="J3524" t="s">
        <v>22</v>
      </c>
      <c r="K3524" t="s">
        <v>17</v>
      </c>
      <c r="L3524">
        <f>F3523*G3523*(1-H3523)</f>
        <v>1358.3</v>
      </c>
    </row>
    <row r="3525" spans="1:12">
      <c r="A3525" t="s">
        <v>4347</v>
      </c>
      <c r="B3525" s="1">
        <v>46032</v>
      </c>
      <c r="C3525" t="s">
        <v>106</v>
      </c>
      <c r="D3525" t="s">
        <v>71</v>
      </c>
      <c r="E3525" t="s">
        <v>35</v>
      </c>
      <c r="F3525">
        <v>2</v>
      </c>
      <c r="G3525">
        <v>999</v>
      </c>
      <c r="H3525">
        <v>0</v>
      </c>
      <c r="I3525" t="s">
        <v>47</v>
      </c>
      <c r="J3525" t="s">
        <v>22</v>
      </c>
      <c r="K3525" t="s">
        <v>17</v>
      </c>
      <c r="L3525">
        <f>F3524*G3524*(1-H3524)</f>
        <v>3798.1</v>
      </c>
    </row>
    <row r="3526" spans="1:12">
      <c r="A3526" t="s">
        <v>4348</v>
      </c>
      <c r="B3526" s="1">
        <v>46220</v>
      </c>
      <c r="C3526" t="s">
        <v>3279</v>
      </c>
      <c r="D3526" t="s">
        <v>71</v>
      </c>
      <c r="E3526" t="s">
        <v>40</v>
      </c>
      <c r="F3526">
        <v>1</v>
      </c>
      <c r="G3526">
        <v>2499</v>
      </c>
      <c r="H3526">
        <v>0.15</v>
      </c>
      <c r="I3526" t="s">
        <v>15</v>
      </c>
      <c r="J3526" t="s">
        <v>51</v>
      </c>
      <c r="K3526" t="s">
        <v>37</v>
      </c>
      <c r="L3526">
        <f>F3525*G3525*(1-H3525)</f>
        <v>1998</v>
      </c>
    </row>
    <row r="3527" spans="1:12">
      <c r="A3527" t="s">
        <v>4349</v>
      </c>
      <c r="B3527" s="1">
        <v>46199</v>
      </c>
      <c r="C3527" t="s">
        <v>2571</v>
      </c>
      <c r="D3527" t="s">
        <v>26</v>
      </c>
      <c r="E3527" t="s">
        <v>21</v>
      </c>
      <c r="F3527">
        <v>1</v>
      </c>
      <c r="G3527">
        <v>1499</v>
      </c>
      <c r="H3527">
        <v>0</v>
      </c>
      <c r="I3527" t="s">
        <v>50</v>
      </c>
      <c r="J3527" t="s">
        <v>51</v>
      </c>
      <c r="K3527" t="s">
        <v>17</v>
      </c>
      <c r="L3527">
        <f>F3526*G3526*(1-H3526)</f>
        <v>2124.15</v>
      </c>
    </row>
    <row r="3528" spans="1:12">
      <c r="A3528" t="s">
        <v>4350</v>
      </c>
      <c r="B3528" s="1">
        <v>46065</v>
      </c>
      <c r="C3528" t="s">
        <v>1357</v>
      </c>
      <c r="D3528" t="s">
        <v>71</v>
      </c>
      <c r="E3528" t="s">
        <v>35</v>
      </c>
      <c r="F3528">
        <v>3</v>
      </c>
      <c r="G3528">
        <v>999</v>
      </c>
      <c r="H3528">
        <v>0.15</v>
      </c>
      <c r="I3528" t="s">
        <v>32</v>
      </c>
      <c r="J3528" t="s">
        <v>16</v>
      </c>
      <c r="K3528" t="s">
        <v>17</v>
      </c>
      <c r="L3528">
        <f>F3527*G3527*(1-H3527)</f>
        <v>1499</v>
      </c>
    </row>
    <row r="3529" spans="1:12">
      <c r="A3529" t="s">
        <v>4351</v>
      </c>
      <c r="B3529" s="1">
        <v>46024</v>
      </c>
      <c r="C3529" t="s">
        <v>199</v>
      </c>
      <c r="D3529" t="s">
        <v>13</v>
      </c>
      <c r="E3529" t="s">
        <v>35</v>
      </c>
      <c r="F3529">
        <v>4</v>
      </c>
      <c r="G3529">
        <v>499</v>
      </c>
      <c r="H3529">
        <v>0</v>
      </c>
      <c r="I3529" t="s">
        <v>15</v>
      </c>
      <c r="J3529" t="s">
        <v>36</v>
      </c>
      <c r="K3529" t="s">
        <v>23</v>
      </c>
      <c r="L3529">
        <f>F3528*G3528*(1-H3528)</f>
        <v>2547.4499999999998</v>
      </c>
    </row>
    <row r="3530" spans="1:12">
      <c r="A3530" t="s">
        <v>4352</v>
      </c>
      <c r="B3530" s="1">
        <v>46077</v>
      </c>
      <c r="C3530" t="s">
        <v>801</v>
      </c>
      <c r="D3530" t="s">
        <v>62</v>
      </c>
      <c r="E3530" t="s">
        <v>40</v>
      </c>
      <c r="F3530">
        <v>3</v>
      </c>
      <c r="G3530">
        <v>1299</v>
      </c>
      <c r="H3530">
        <v>0</v>
      </c>
      <c r="I3530" t="s">
        <v>44</v>
      </c>
      <c r="J3530" t="s">
        <v>22</v>
      </c>
      <c r="K3530" t="s">
        <v>23</v>
      </c>
      <c r="L3530">
        <f>F3529*G3529*(1-H3529)</f>
        <v>1996</v>
      </c>
    </row>
    <row r="3531" spans="1:12">
      <c r="A3531" t="s">
        <v>4353</v>
      </c>
      <c r="B3531" s="1">
        <v>46226</v>
      </c>
      <c r="C3531" t="s">
        <v>39</v>
      </c>
      <c r="D3531" t="s">
        <v>59</v>
      </c>
      <c r="E3531" t="s">
        <v>14</v>
      </c>
      <c r="F3531">
        <v>3</v>
      </c>
      <c r="G3531">
        <v>4999</v>
      </c>
      <c r="H3531">
        <v>0</v>
      </c>
      <c r="I3531" t="s">
        <v>50</v>
      </c>
      <c r="J3531" t="s">
        <v>16</v>
      </c>
      <c r="K3531" t="s">
        <v>17</v>
      </c>
      <c r="L3531">
        <f>F3530*G3530*(1-H3530)</f>
        <v>3897</v>
      </c>
    </row>
    <row r="3532" spans="1:12">
      <c r="A3532" t="s">
        <v>4354</v>
      </c>
      <c r="B3532" s="1">
        <v>46261</v>
      </c>
      <c r="C3532" t="s">
        <v>1432</v>
      </c>
      <c r="D3532" t="s">
        <v>59</v>
      </c>
      <c r="E3532" t="s">
        <v>21</v>
      </c>
      <c r="F3532">
        <v>1</v>
      </c>
      <c r="G3532">
        <v>7999</v>
      </c>
      <c r="H3532">
        <v>0.15</v>
      </c>
      <c r="I3532" t="s">
        <v>32</v>
      </c>
      <c r="J3532" t="s">
        <v>16</v>
      </c>
      <c r="K3532" t="s">
        <v>17</v>
      </c>
      <c r="L3532">
        <f>F3531*G3531*(1-H3531)</f>
        <v>14997</v>
      </c>
    </row>
    <row r="3533" spans="1:12">
      <c r="A3533" t="s">
        <v>4355</v>
      </c>
      <c r="B3533" s="1">
        <v>46252</v>
      </c>
      <c r="C3533" t="s">
        <v>421</v>
      </c>
      <c r="D3533" t="s">
        <v>26</v>
      </c>
      <c r="E3533" t="s">
        <v>35</v>
      </c>
      <c r="F3533">
        <v>2</v>
      </c>
      <c r="G3533">
        <v>799</v>
      </c>
      <c r="H3533">
        <v>0.15</v>
      </c>
      <c r="I3533" t="s">
        <v>47</v>
      </c>
      <c r="J3533" t="s">
        <v>51</v>
      </c>
      <c r="K3533" t="s">
        <v>17</v>
      </c>
      <c r="L3533">
        <f>F3532*G3532*(1-H3532)</f>
        <v>6799.15</v>
      </c>
    </row>
    <row r="3534" spans="1:12">
      <c r="A3534" t="s">
        <v>4356</v>
      </c>
      <c r="B3534" s="1">
        <v>46045</v>
      </c>
      <c r="C3534" t="s">
        <v>2679</v>
      </c>
      <c r="D3534" t="s">
        <v>71</v>
      </c>
      <c r="E3534" t="s">
        <v>14</v>
      </c>
      <c r="F3534">
        <v>1</v>
      </c>
      <c r="G3534">
        <v>999</v>
      </c>
      <c r="H3534">
        <v>0</v>
      </c>
      <c r="I3534" t="s">
        <v>32</v>
      </c>
      <c r="J3534" t="s">
        <v>16</v>
      </c>
      <c r="K3534" t="s">
        <v>17</v>
      </c>
      <c r="L3534">
        <f>F3533*G3533*(1-H3533)</f>
        <v>1358.3</v>
      </c>
    </row>
    <row r="3535" spans="1:12">
      <c r="A3535" t="s">
        <v>4357</v>
      </c>
      <c r="B3535" s="1">
        <v>46249</v>
      </c>
      <c r="C3535" t="s">
        <v>1167</v>
      </c>
      <c r="D3535" t="s">
        <v>31</v>
      </c>
      <c r="E3535" t="s">
        <v>40</v>
      </c>
      <c r="F3535">
        <v>3</v>
      </c>
      <c r="G3535">
        <v>4999</v>
      </c>
      <c r="H3535">
        <v>0.05</v>
      </c>
      <c r="I3535" t="s">
        <v>32</v>
      </c>
      <c r="J3535" t="s">
        <v>22</v>
      </c>
      <c r="K3535" t="s">
        <v>17</v>
      </c>
      <c r="L3535">
        <f>F3534*G3534*(1-H3534)</f>
        <v>999</v>
      </c>
    </row>
    <row r="3536" spans="1:12">
      <c r="A3536" t="s">
        <v>4358</v>
      </c>
      <c r="B3536" s="1">
        <v>46121</v>
      </c>
      <c r="C3536" t="s">
        <v>3858</v>
      </c>
      <c r="D3536" t="s">
        <v>13</v>
      </c>
      <c r="E3536" t="s">
        <v>14</v>
      </c>
      <c r="F3536">
        <v>5</v>
      </c>
      <c r="G3536">
        <v>499</v>
      </c>
      <c r="H3536">
        <v>0.1</v>
      </c>
      <c r="I3536" t="s">
        <v>50</v>
      </c>
      <c r="J3536" t="s">
        <v>22</v>
      </c>
      <c r="K3536" t="s">
        <v>17</v>
      </c>
      <c r="L3536">
        <f>F3535*G3535*(1-H3535)</f>
        <v>14247.15</v>
      </c>
    </row>
    <row r="3537" spans="1:12">
      <c r="A3537" t="s">
        <v>4359</v>
      </c>
      <c r="B3537" s="1">
        <v>46116</v>
      </c>
      <c r="C3537" t="s">
        <v>2559</v>
      </c>
      <c r="D3537" t="s">
        <v>62</v>
      </c>
      <c r="E3537" t="s">
        <v>14</v>
      </c>
      <c r="F3537">
        <v>5</v>
      </c>
      <c r="G3537">
        <v>1499</v>
      </c>
      <c r="H3537">
        <v>0</v>
      </c>
      <c r="I3537" t="s">
        <v>15</v>
      </c>
      <c r="J3537" t="s">
        <v>36</v>
      </c>
      <c r="K3537" t="s">
        <v>17</v>
      </c>
      <c r="L3537">
        <f>F3536*G3536*(1-H3536)</f>
        <v>2245.5</v>
      </c>
    </row>
    <row r="3538" spans="1:12">
      <c r="A3538" t="s">
        <v>4360</v>
      </c>
      <c r="B3538" s="1">
        <v>46183</v>
      </c>
      <c r="C3538" t="s">
        <v>2584</v>
      </c>
      <c r="D3538" t="s">
        <v>43</v>
      </c>
      <c r="E3538" t="s">
        <v>14</v>
      </c>
      <c r="F3538">
        <v>2</v>
      </c>
      <c r="G3538">
        <v>599</v>
      </c>
      <c r="H3538">
        <v>0.15</v>
      </c>
      <c r="I3538" t="s">
        <v>44</v>
      </c>
      <c r="J3538" t="s">
        <v>22</v>
      </c>
      <c r="K3538" t="s">
        <v>37</v>
      </c>
      <c r="L3538">
        <f>F3537*G3537*(1-H3537)</f>
        <v>7495</v>
      </c>
    </row>
    <row r="3539" spans="1:12">
      <c r="A3539" t="s">
        <v>4361</v>
      </c>
      <c r="B3539" s="1">
        <v>46051</v>
      </c>
      <c r="C3539" t="s">
        <v>1227</v>
      </c>
      <c r="D3539" t="s">
        <v>26</v>
      </c>
      <c r="E3539" t="s">
        <v>21</v>
      </c>
      <c r="F3539">
        <v>1</v>
      </c>
      <c r="G3539">
        <v>499</v>
      </c>
      <c r="H3539">
        <v>0.1</v>
      </c>
      <c r="I3539" t="s">
        <v>44</v>
      </c>
      <c r="J3539" t="s">
        <v>36</v>
      </c>
      <c r="K3539" t="s">
        <v>17</v>
      </c>
      <c r="L3539">
        <f>F3538*G3538*(1-H3538)</f>
        <v>1018.3</v>
      </c>
    </row>
    <row r="3540" spans="1:12">
      <c r="A3540" t="s">
        <v>4362</v>
      </c>
      <c r="B3540" s="1">
        <v>46263</v>
      </c>
      <c r="C3540" t="s">
        <v>2408</v>
      </c>
      <c r="D3540" t="s">
        <v>43</v>
      </c>
      <c r="E3540" t="s">
        <v>35</v>
      </c>
      <c r="F3540">
        <v>4</v>
      </c>
      <c r="G3540">
        <v>599</v>
      </c>
      <c r="H3540">
        <v>0.15</v>
      </c>
      <c r="I3540" t="s">
        <v>44</v>
      </c>
      <c r="J3540" t="s">
        <v>22</v>
      </c>
      <c r="K3540" t="s">
        <v>37</v>
      </c>
      <c r="L3540">
        <f>F3539*G3539*(1-H3539)</f>
        <v>449.1</v>
      </c>
    </row>
    <row r="3541" spans="1:12">
      <c r="A3541" t="s">
        <v>4363</v>
      </c>
      <c r="B3541" s="1">
        <v>46209</v>
      </c>
      <c r="C3541" t="s">
        <v>320</v>
      </c>
      <c r="D3541" t="s">
        <v>56</v>
      </c>
      <c r="E3541" t="s">
        <v>21</v>
      </c>
      <c r="F3541">
        <v>4</v>
      </c>
      <c r="G3541">
        <v>599</v>
      </c>
      <c r="H3541">
        <v>0</v>
      </c>
      <c r="I3541" t="s">
        <v>15</v>
      </c>
      <c r="J3541" t="s">
        <v>28</v>
      </c>
      <c r="K3541" t="s">
        <v>17</v>
      </c>
      <c r="L3541">
        <f>F3540*G3540*(1-H3540)</f>
        <v>2036.6</v>
      </c>
    </row>
    <row r="3542" spans="1:12">
      <c r="A3542" t="s">
        <v>4364</v>
      </c>
      <c r="B3542" s="1">
        <v>46222</v>
      </c>
      <c r="C3542" t="s">
        <v>2689</v>
      </c>
      <c r="D3542" t="s">
        <v>56</v>
      </c>
      <c r="E3542" t="s">
        <v>21</v>
      </c>
      <c r="F3542">
        <v>4</v>
      </c>
      <c r="G3542">
        <v>1499</v>
      </c>
      <c r="H3542">
        <v>0</v>
      </c>
      <c r="I3542" t="s">
        <v>50</v>
      </c>
      <c r="J3542" t="s">
        <v>36</v>
      </c>
      <c r="K3542" t="s">
        <v>17</v>
      </c>
      <c r="L3542">
        <f>F3541*G3541*(1-H3541)</f>
        <v>2396</v>
      </c>
    </row>
    <row r="3543" spans="1:12">
      <c r="A3543" t="s">
        <v>4365</v>
      </c>
      <c r="B3543" s="1">
        <v>46226</v>
      </c>
      <c r="C3543" t="s">
        <v>2429</v>
      </c>
      <c r="D3543" t="s">
        <v>31</v>
      </c>
      <c r="E3543" t="s">
        <v>27</v>
      </c>
      <c r="F3543">
        <v>4</v>
      </c>
      <c r="G3543">
        <v>999</v>
      </c>
      <c r="H3543">
        <v>0.15</v>
      </c>
      <c r="I3543" t="s">
        <v>47</v>
      </c>
      <c r="J3543" t="s">
        <v>22</v>
      </c>
      <c r="K3543" t="s">
        <v>37</v>
      </c>
      <c r="L3543">
        <f>F3542*G3542*(1-H3542)</f>
        <v>5996</v>
      </c>
    </row>
    <row r="3544" spans="1:12">
      <c r="A3544" t="s">
        <v>4366</v>
      </c>
      <c r="B3544" s="1">
        <v>46164</v>
      </c>
      <c r="C3544" t="s">
        <v>608</v>
      </c>
      <c r="D3544" t="s">
        <v>59</v>
      </c>
      <c r="E3544" t="s">
        <v>35</v>
      </c>
      <c r="F3544">
        <v>1</v>
      </c>
      <c r="G3544">
        <v>499</v>
      </c>
      <c r="H3544">
        <v>0</v>
      </c>
      <c r="I3544" t="s">
        <v>44</v>
      </c>
      <c r="J3544" t="s">
        <v>36</v>
      </c>
      <c r="K3544" t="s">
        <v>23</v>
      </c>
      <c r="L3544">
        <f>F3543*G3543*(1-H3543)</f>
        <v>3396.6</v>
      </c>
    </row>
    <row r="3545" spans="1:12">
      <c r="A3545" t="s">
        <v>4367</v>
      </c>
      <c r="B3545" s="1">
        <v>46239</v>
      </c>
      <c r="C3545" t="s">
        <v>247</v>
      </c>
      <c r="D3545" t="s">
        <v>56</v>
      </c>
      <c r="E3545" t="s">
        <v>35</v>
      </c>
      <c r="F3545">
        <v>5</v>
      </c>
      <c r="G3545">
        <v>1499</v>
      </c>
      <c r="H3545">
        <v>0.05</v>
      </c>
      <c r="I3545" t="s">
        <v>50</v>
      </c>
      <c r="J3545" t="s">
        <v>51</v>
      </c>
      <c r="K3545" t="s">
        <v>17</v>
      </c>
      <c r="L3545">
        <f>F3544*G3544*(1-H3544)</f>
        <v>499</v>
      </c>
    </row>
    <row r="3546" spans="1:12">
      <c r="A3546" t="s">
        <v>4368</v>
      </c>
      <c r="B3546" s="1">
        <v>46104</v>
      </c>
      <c r="C3546" t="s">
        <v>736</v>
      </c>
      <c r="D3546" t="s">
        <v>62</v>
      </c>
      <c r="E3546" t="s">
        <v>21</v>
      </c>
      <c r="F3546">
        <v>1</v>
      </c>
      <c r="G3546">
        <v>999</v>
      </c>
      <c r="H3546">
        <v>0</v>
      </c>
      <c r="I3546" t="s">
        <v>50</v>
      </c>
      <c r="J3546" t="s">
        <v>51</v>
      </c>
      <c r="K3546" t="s">
        <v>17</v>
      </c>
      <c r="L3546">
        <f>F3545*G3545*(1-H3545)</f>
        <v>7120.25</v>
      </c>
    </row>
    <row r="3547" spans="1:12">
      <c r="A3547" t="s">
        <v>4369</v>
      </c>
      <c r="B3547" s="1">
        <v>46047</v>
      </c>
      <c r="C3547" t="s">
        <v>92</v>
      </c>
      <c r="D3547" t="s">
        <v>62</v>
      </c>
      <c r="E3547" t="s">
        <v>14</v>
      </c>
      <c r="F3547">
        <v>3</v>
      </c>
      <c r="G3547">
        <v>1299</v>
      </c>
      <c r="H3547">
        <v>0</v>
      </c>
      <c r="I3547" t="s">
        <v>15</v>
      </c>
      <c r="J3547" t="s">
        <v>51</v>
      </c>
      <c r="K3547" t="s">
        <v>17</v>
      </c>
      <c r="L3547">
        <f>F3546*G3546*(1-H3546)</f>
        <v>999</v>
      </c>
    </row>
    <row r="3548" spans="1:12">
      <c r="A3548" t="s">
        <v>4370</v>
      </c>
      <c r="B3548" s="1">
        <v>46282</v>
      </c>
      <c r="C3548" t="s">
        <v>4371</v>
      </c>
      <c r="D3548" t="s">
        <v>31</v>
      </c>
      <c r="E3548" t="s">
        <v>21</v>
      </c>
      <c r="F3548">
        <v>2</v>
      </c>
      <c r="G3548">
        <v>599</v>
      </c>
      <c r="H3548">
        <v>0</v>
      </c>
      <c r="I3548" t="s">
        <v>47</v>
      </c>
      <c r="J3548" t="s">
        <v>51</v>
      </c>
      <c r="K3548" t="s">
        <v>37</v>
      </c>
      <c r="L3548">
        <f>F3547*G3547*(1-H3547)</f>
        <v>3897</v>
      </c>
    </row>
    <row r="3549" spans="1:12">
      <c r="A3549" t="s">
        <v>4372</v>
      </c>
      <c r="B3549" s="1">
        <v>46267</v>
      </c>
      <c r="C3549" t="s">
        <v>2265</v>
      </c>
      <c r="D3549" t="s">
        <v>62</v>
      </c>
      <c r="E3549" t="s">
        <v>40</v>
      </c>
      <c r="F3549">
        <v>1</v>
      </c>
      <c r="G3549">
        <v>1299</v>
      </c>
      <c r="H3549">
        <v>0.1</v>
      </c>
      <c r="I3549" t="s">
        <v>44</v>
      </c>
      <c r="J3549" t="s">
        <v>36</v>
      </c>
      <c r="K3549" t="s">
        <v>17</v>
      </c>
      <c r="L3549">
        <f>F3548*G3548*(1-H3548)</f>
        <v>1198</v>
      </c>
    </row>
    <row r="3550" spans="1:12">
      <c r="A3550" t="s">
        <v>4373</v>
      </c>
      <c r="B3550" s="1">
        <v>46075</v>
      </c>
      <c r="C3550" t="s">
        <v>289</v>
      </c>
      <c r="D3550" t="s">
        <v>62</v>
      </c>
      <c r="E3550" t="s">
        <v>40</v>
      </c>
      <c r="F3550">
        <v>1</v>
      </c>
      <c r="G3550">
        <v>7999</v>
      </c>
      <c r="H3550">
        <v>0.1</v>
      </c>
      <c r="I3550" t="s">
        <v>32</v>
      </c>
      <c r="J3550" t="s">
        <v>22</v>
      </c>
      <c r="K3550" t="s">
        <v>17</v>
      </c>
      <c r="L3550">
        <f>F3549*G3549*(1-H3549)</f>
        <v>1169.1000000000001</v>
      </c>
    </row>
    <row r="3551" spans="1:12">
      <c r="A3551" t="s">
        <v>4374</v>
      </c>
      <c r="B3551" s="1">
        <v>46027</v>
      </c>
      <c r="C3551" t="s">
        <v>938</v>
      </c>
      <c r="D3551" t="s">
        <v>31</v>
      </c>
      <c r="E3551" t="s">
        <v>40</v>
      </c>
      <c r="F3551">
        <v>3</v>
      </c>
      <c r="G3551">
        <v>999</v>
      </c>
      <c r="H3551">
        <v>0.15</v>
      </c>
      <c r="I3551" t="s">
        <v>15</v>
      </c>
      <c r="J3551" t="s">
        <v>36</v>
      </c>
      <c r="K3551" t="s">
        <v>17</v>
      </c>
      <c r="L3551">
        <f>F3550*G3550*(1-H3550)</f>
        <v>7199.1</v>
      </c>
    </row>
    <row r="3552" spans="1:12">
      <c r="A3552" t="s">
        <v>4375</v>
      </c>
      <c r="B3552" s="1">
        <v>46034</v>
      </c>
      <c r="C3552" t="s">
        <v>3006</v>
      </c>
      <c r="D3552" t="s">
        <v>78</v>
      </c>
      <c r="E3552" t="s">
        <v>14</v>
      </c>
      <c r="F3552">
        <v>2</v>
      </c>
      <c r="G3552">
        <v>1499</v>
      </c>
      <c r="H3552">
        <v>0.05</v>
      </c>
      <c r="I3552" t="s">
        <v>44</v>
      </c>
      <c r="J3552" t="s">
        <v>22</v>
      </c>
      <c r="K3552" t="s">
        <v>17</v>
      </c>
      <c r="L3552">
        <f>F3551*G3551*(1-H3551)</f>
        <v>2547.4499999999998</v>
      </c>
    </row>
    <row r="3553" spans="1:12">
      <c r="A3553" t="s">
        <v>4376</v>
      </c>
      <c r="B3553" s="1">
        <v>46292</v>
      </c>
      <c r="C3553" t="s">
        <v>1804</v>
      </c>
      <c r="D3553" t="s">
        <v>13</v>
      </c>
      <c r="E3553" t="s">
        <v>21</v>
      </c>
      <c r="F3553">
        <v>5</v>
      </c>
      <c r="G3553">
        <v>499</v>
      </c>
      <c r="H3553">
        <v>0.15</v>
      </c>
      <c r="I3553" t="s">
        <v>32</v>
      </c>
      <c r="J3553" t="s">
        <v>16</v>
      </c>
      <c r="K3553" t="s">
        <v>17</v>
      </c>
      <c r="L3553">
        <f>F3552*G3552*(1-H3552)</f>
        <v>2848.1</v>
      </c>
    </row>
    <row r="3554" spans="1:12">
      <c r="A3554" t="s">
        <v>4377</v>
      </c>
      <c r="B3554" s="1">
        <v>46183</v>
      </c>
      <c r="C3554" t="s">
        <v>172</v>
      </c>
      <c r="D3554" t="s">
        <v>56</v>
      </c>
      <c r="E3554" t="s">
        <v>35</v>
      </c>
      <c r="F3554">
        <v>3</v>
      </c>
      <c r="G3554">
        <v>599</v>
      </c>
      <c r="H3554">
        <v>0</v>
      </c>
      <c r="I3554" t="s">
        <v>50</v>
      </c>
      <c r="J3554" t="s">
        <v>28</v>
      </c>
      <c r="K3554" t="s">
        <v>23</v>
      </c>
      <c r="L3554">
        <f>F3553*G3553*(1-H3553)</f>
        <v>2120.75</v>
      </c>
    </row>
    <row r="3555" spans="1:12">
      <c r="A3555" t="s">
        <v>4378</v>
      </c>
      <c r="B3555" s="1">
        <v>46105</v>
      </c>
      <c r="C3555" t="s">
        <v>1176</v>
      </c>
      <c r="D3555" t="s">
        <v>78</v>
      </c>
      <c r="E3555" t="s">
        <v>21</v>
      </c>
      <c r="F3555">
        <v>1</v>
      </c>
      <c r="G3555">
        <v>7999</v>
      </c>
      <c r="H3555">
        <v>0.05</v>
      </c>
      <c r="I3555" t="s">
        <v>32</v>
      </c>
      <c r="J3555" t="s">
        <v>16</v>
      </c>
      <c r="K3555" t="s">
        <v>23</v>
      </c>
      <c r="L3555">
        <f>F3554*G3554*(1-H3554)</f>
        <v>1797</v>
      </c>
    </row>
    <row r="3556" spans="1:12">
      <c r="A3556" t="s">
        <v>4379</v>
      </c>
      <c r="B3556" s="1">
        <v>46246</v>
      </c>
      <c r="C3556" t="s">
        <v>1349</v>
      </c>
      <c r="D3556" t="s">
        <v>78</v>
      </c>
      <c r="E3556" t="s">
        <v>21</v>
      </c>
      <c r="F3556">
        <v>2</v>
      </c>
      <c r="G3556">
        <v>499</v>
      </c>
      <c r="H3556">
        <v>0</v>
      </c>
      <c r="I3556" t="s">
        <v>47</v>
      </c>
      <c r="J3556" t="s">
        <v>28</v>
      </c>
      <c r="K3556" t="s">
        <v>37</v>
      </c>
      <c r="L3556">
        <f>F3555*G3555*(1-H3555)</f>
        <v>7599.0499999999993</v>
      </c>
    </row>
    <row r="3557" spans="1:12">
      <c r="A3557" t="s">
        <v>4380</v>
      </c>
      <c r="B3557" s="1">
        <v>46035</v>
      </c>
      <c r="C3557" t="s">
        <v>891</v>
      </c>
      <c r="D3557" t="s">
        <v>71</v>
      </c>
      <c r="E3557" t="s">
        <v>14</v>
      </c>
      <c r="F3557">
        <v>2</v>
      </c>
      <c r="G3557">
        <v>799</v>
      </c>
      <c r="H3557">
        <v>0</v>
      </c>
      <c r="I3557" t="s">
        <v>50</v>
      </c>
      <c r="J3557" t="s">
        <v>16</v>
      </c>
      <c r="K3557" t="s">
        <v>17</v>
      </c>
      <c r="L3557">
        <f>F3556*G3556*(1-H3556)</f>
        <v>998</v>
      </c>
    </row>
    <row r="3558" spans="1:12">
      <c r="A3558" t="s">
        <v>4381</v>
      </c>
      <c r="B3558" s="1">
        <v>46197</v>
      </c>
      <c r="C3558" t="s">
        <v>39</v>
      </c>
      <c r="D3558" t="s">
        <v>43</v>
      </c>
      <c r="E3558" t="s">
        <v>35</v>
      </c>
      <c r="F3558">
        <v>5</v>
      </c>
      <c r="G3558">
        <v>599</v>
      </c>
      <c r="H3558">
        <v>0</v>
      </c>
      <c r="I3558" t="s">
        <v>44</v>
      </c>
      <c r="J3558" t="s">
        <v>22</v>
      </c>
      <c r="K3558" t="s">
        <v>17</v>
      </c>
      <c r="L3558">
        <f>F3557*G3557*(1-H3557)</f>
        <v>1598</v>
      </c>
    </row>
    <row r="3559" spans="1:12">
      <c r="A3559" t="s">
        <v>4382</v>
      </c>
      <c r="B3559" s="1">
        <v>46294</v>
      </c>
      <c r="C3559" t="s">
        <v>653</v>
      </c>
      <c r="D3559" t="s">
        <v>71</v>
      </c>
      <c r="E3559" t="s">
        <v>14</v>
      </c>
      <c r="F3559">
        <v>1</v>
      </c>
      <c r="G3559">
        <v>599</v>
      </c>
      <c r="H3559">
        <v>0</v>
      </c>
      <c r="I3559" t="s">
        <v>47</v>
      </c>
      <c r="J3559" t="s">
        <v>36</v>
      </c>
      <c r="K3559" t="s">
        <v>37</v>
      </c>
      <c r="L3559">
        <f>F3558*G3558*(1-H3558)</f>
        <v>2995</v>
      </c>
    </row>
    <row r="3560" spans="1:12">
      <c r="A3560" t="s">
        <v>4383</v>
      </c>
      <c r="B3560" s="1">
        <v>46092</v>
      </c>
      <c r="C3560" t="s">
        <v>121</v>
      </c>
      <c r="D3560" t="s">
        <v>20</v>
      </c>
      <c r="E3560" t="s">
        <v>14</v>
      </c>
      <c r="F3560">
        <v>5</v>
      </c>
      <c r="G3560">
        <v>1499</v>
      </c>
      <c r="H3560">
        <v>0.1</v>
      </c>
      <c r="I3560" t="s">
        <v>47</v>
      </c>
      <c r="J3560" t="s">
        <v>22</v>
      </c>
      <c r="K3560" t="s">
        <v>17</v>
      </c>
      <c r="L3560">
        <f>F3559*G3559*(1-H3559)</f>
        <v>599</v>
      </c>
    </row>
    <row r="3561" spans="1:12">
      <c r="A3561" t="s">
        <v>4384</v>
      </c>
      <c r="B3561" s="1">
        <v>46149</v>
      </c>
      <c r="C3561" t="s">
        <v>3431</v>
      </c>
      <c r="D3561" t="s">
        <v>62</v>
      </c>
      <c r="E3561" t="s">
        <v>27</v>
      </c>
      <c r="F3561">
        <v>4</v>
      </c>
      <c r="G3561">
        <v>1999</v>
      </c>
      <c r="H3561">
        <v>0.05</v>
      </c>
      <c r="I3561" t="s">
        <v>32</v>
      </c>
      <c r="J3561" t="s">
        <v>22</v>
      </c>
      <c r="K3561" t="s">
        <v>17</v>
      </c>
      <c r="L3561">
        <f>F3560*G3560*(1-H3560)</f>
        <v>6745.5</v>
      </c>
    </row>
    <row r="3562" spans="1:12">
      <c r="A3562" t="s">
        <v>4385</v>
      </c>
      <c r="B3562" s="1">
        <v>46180</v>
      </c>
      <c r="C3562" t="s">
        <v>341</v>
      </c>
      <c r="D3562" t="s">
        <v>20</v>
      </c>
      <c r="E3562" t="s">
        <v>14</v>
      </c>
      <c r="F3562">
        <v>1</v>
      </c>
      <c r="G3562">
        <v>499</v>
      </c>
      <c r="H3562">
        <v>0</v>
      </c>
      <c r="I3562" t="s">
        <v>32</v>
      </c>
      <c r="J3562" t="s">
        <v>22</v>
      </c>
      <c r="K3562" t="s">
        <v>37</v>
      </c>
      <c r="L3562">
        <f>F3561*G3561*(1-H3561)</f>
        <v>7596.2</v>
      </c>
    </row>
    <row r="3563" spans="1:12">
      <c r="A3563" t="s">
        <v>4386</v>
      </c>
      <c r="B3563" s="1">
        <v>46178</v>
      </c>
      <c r="C3563" t="s">
        <v>1812</v>
      </c>
      <c r="D3563" t="s">
        <v>71</v>
      </c>
      <c r="E3563" t="s">
        <v>21</v>
      </c>
      <c r="F3563">
        <v>3</v>
      </c>
      <c r="G3563">
        <v>799</v>
      </c>
      <c r="H3563">
        <v>0</v>
      </c>
      <c r="I3563" t="s">
        <v>32</v>
      </c>
      <c r="J3563" t="s">
        <v>36</v>
      </c>
      <c r="K3563" t="s">
        <v>17</v>
      </c>
      <c r="L3563">
        <f>F3562*G3562*(1-H3562)</f>
        <v>499</v>
      </c>
    </row>
    <row r="3564" spans="1:12">
      <c r="A3564" t="s">
        <v>4387</v>
      </c>
      <c r="B3564" s="1">
        <v>46247</v>
      </c>
      <c r="C3564" t="s">
        <v>2520</v>
      </c>
      <c r="D3564" t="s">
        <v>43</v>
      </c>
      <c r="E3564" t="s">
        <v>35</v>
      </c>
      <c r="F3564">
        <v>4</v>
      </c>
      <c r="G3564">
        <v>7999</v>
      </c>
      <c r="H3564">
        <v>0</v>
      </c>
      <c r="I3564" t="s">
        <v>50</v>
      </c>
      <c r="J3564" t="s">
        <v>28</v>
      </c>
      <c r="K3564" t="s">
        <v>23</v>
      </c>
      <c r="L3564">
        <f>F3563*G3563*(1-H3563)</f>
        <v>2397</v>
      </c>
    </row>
    <row r="3565" spans="1:12">
      <c r="A3565" t="s">
        <v>4388</v>
      </c>
      <c r="B3565" s="1">
        <v>46237</v>
      </c>
      <c r="C3565" t="s">
        <v>1777</v>
      </c>
      <c r="D3565" t="s">
        <v>26</v>
      </c>
      <c r="E3565" t="s">
        <v>40</v>
      </c>
      <c r="F3565">
        <v>5</v>
      </c>
      <c r="G3565">
        <v>4999</v>
      </c>
      <c r="H3565">
        <v>0.05</v>
      </c>
      <c r="I3565" t="s">
        <v>15</v>
      </c>
      <c r="J3565" t="s">
        <v>16</v>
      </c>
      <c r="K3565" t="s">
        <v>17</v>
      </c>
      <c r="L3565">
        <f>F3564*G3564*(1-H3564)</f>
        <v>31996</v>
      </c>
    </row>
    <row r="3566" spans="1:12">
      <c r="A3566" t="s">
        <v>4389</v>
      </c>
      <c r="B3566" s="1">
        <v>46134</v>
      </c>
      <c r="C3566" t="s">
        <v>771</v>
      </c>
      <c r="D3566" t="s">
        <v>62</v>
      </c>
      <c r="E3566" t="s">
        <v>21</v>
      </c>
      <c r="F3566">
        <v>3</v>
      </c>
      <c r="G3566">
        <v>1299</v>
      </c>
      <c r="H3566">
        <v>0</v>
      </c>
      <c r="I3566" t="s">
        <v>47</v>
      </c>
      <c r="J3566" t="s">
        <v>36</v>
      </c>
      <c r="K3566" t="s">
        <v>17</v>
      </c>
      <c r="L3566">
        <f>F3565*G3565*(1-H3565)</f>
        <v>23745.25</v>
      </c>
    </row>
    <row r="3567" spans="1:12">
      <c r="A3567" t="s">
        <v>4390</v>
      </c>
      <c r="B3567" s="1">
        <v>46110</v>
      </c>
      <c r="C3567" t="s">
        <v>822</v>
      </c>
      <c r="D3567" t="s">
        <v>62</v>
      </c>
      <c r="E3567" t="s">
        <v>27</v>
      </c>
      <c r="F3567">
        <v>5</v>
      </c>
      <c r="G3567">
        <v>499</v>
      </c>
      <c r="H3567">
        <v>0.1</v>
      </c>
      <c r="I3567" t="s">
        <v>44</v>
      </c>
      <c r="J3567" t="s">
        <v>28</v>
      </c>
      <c r="K3567" t="s">
        <v>17</v>
      </c>
      <c r="L3567">
        <f>F3566*G3566*(1-H3566)</f>
        <v>3897</v>
      </c>
    </row>
    <row r="3568" spans="1:12">
      <c r="A3568" t="s">
        <v>4391</v>
      </c>
      <c r="B3568" s="1">
        <v>46138</v>
      </c>
      <c r="C3568" t="s">
        <v>1993</v>
      </c>
      <c r="D3568" t="s">
        <v>13</v>
      </c>
      <c r="E3568" t="s">
        <v>40</v>
      </c>
      <c r="F3568">
        <v>5</v>
      </c>
      <c r="G3568">
        <v>1999</v>
      </c>
      <c r="H3568">
        <v>0</v>
      </c>
      <c r="I3568" t="s">
        <v>44</v>
      </c>
      <c r="J3568" t="s">
        <v>51</v>
      </c>
      <c r="K3568" t="s">
        <v>17</v>
      </c>
      <c r="L3568">
        <f>F3567*G3567*(1-H3567)</f>
        <v>2245.5</v>
      </c>
    </row>
    <row r="3569" spans="1:12">
      <c r="A3569" t="s">
        <v>4392</v>
      </c>
      <c r="B3569" s="1">
        <v>46265</v>
      </c>
      <c r="C3569" t="s">
        <v>839</v>
      </c>
      <c r="D3569" t="s">
        <v>78</v>
      </c>
      <c r="E3569" t="s">
        <v>21</v>
      </c>
      <c r="F3569">
        <v>3</v>
      </c>
      <c r="G3569">
        <v>1499</v>
      </c>
      <c r="H3569">
        <v>0</v>
      </c>
      <c r="I3569" t="s">
        <v>44</v>
      </c>
      <c r="J3569" t="s">
        <v>51</v>
      </c>
      <c r="K3569" t="s">
        <v>17</v>
      </c>
      <c r="L3569">
        <f>F3568*G3568*(1-H3568)</f>
        <v>9995</v>
      </c>
    </row>
    <row r="3570" spans="1:12">
      <c r="A3570" t="s">
        <v>4393</v>
      </c>
      <c r="B3570" s="1">
        <v>46191</v>
      </c>
      <c r="C3570" t="s">
        <v>1278</v>
      </c>
      <c r="D3570" t="s">
        <v>43</v>
      </c>
      <c r="E3570" t="s">
        <v>21</v>
      </c>
      <c r="F3570">
        <v>3</v>
      </c>
      <c r="G3570">
        <v>1299</v>
      </c>
      <c r="H3570">
        <v>0</v>
      </c>
      <c r="I3570" t="s">
        <v>47</v>
      </c>
      <c r="J3570" t="s">
        <v>22</v>
      </c>
      <c r="K3570" t="s">
        <v>37</v>
      </c>
      <c r="L3570">
        <f>F3569*G3569*(1-H3569)</f>
        <v>4497</v>
      </c>
    </row>
    <row r="3571" spans="1:12">
      <c r="A3571" t="s">
        <v>4394</v>
      </c>
      <c r="B3571" s="1">
        <v>46164</v>
      </c>
      <c r="C3571" t="s">
        <v>437</v>
      </c>
      <c r="D3571" t="s">
        <v>43</v>
      </c>
      <c r="E3571" t="s">
        <v>40</v>
      </c>
      <c r="F3571">
        <v>5</v>
      </c>
      <c r="G3571">
        <v>799</v>
      </c>
      <c r="H3571">
        <v>0.15</v>
      </c>
      <c r="I3571" t="s">
        <v>15</v>
      </c>
      <c r="J3571" t="s">
        <v>51</v>
      </c>
      <c r="K3571" t="s">
        <v>17</v>
      </c>
      <c r="L3571">
        <f>F3570*G3570*(1-H3570)</f>
        <v>3897</v>
      </c>
    </row>
    <row r="3572" spans="1:12">
      <c r="A3572" t="s">
        <v>4395</v>
      </c>
      <c r="B3572" s="1">
        <v>46273</v>
      </c>
      <c r="C3572" t="s">
        <v>304</v>
      </c>
      <c r="D3572" t="s">
        <v>59</v>
      </c>
      <c r="E3572" t="s">
        <v>27</v>
      </c>
      <c r="F3572">
        <v>2</v>
      </c>
      <c r="G3572">
        <v>4999</v>
      </c>
      <c r="H3572">
        <v>0</v>
      </c>
      <c r="I3572" t="s">
        <v>32</v>
      </c>
      <c r="J3572" t="s">
        <v>28</v>
      </c>
      <c r="K3572" t="s">
        <v>17</v>
      </c>
      <c r="L3572">
        <f>F3571*G3571*(1-H3571)</f>
        <v>3395.75</v>
      </c>
    </row>
    <row r="3573" spans="1:12">
      <c r="A3573" t="s">
        <v>4396</v>
      </c>
      <c r="B3573" s="1">
        <v>46104</v>
      </c>
      <c r="C3573" t="s">
        <v>94</v>
      </c>
      <c r="D3573" t="s">
        <v>43</v>
      </c>
      <c r="E3573" t="s">
        <v>27</v>
      </c>
      <c r="F3573">
        <v>4</v>
      </c>
      <c r="G3573">
        <v>2499</v>
      </c>
      <c r="H3573">
        <v>0</v>
      </c>
      <c r="I3573" t="s">
        <v>15</v>
      </c>
      <c r="J3573" t="s">
        <v>51</v>
      </c>
      <c r="K3573" t="s">
        <v>37</v>
      </c>
      <c r="L3573">
        <f>F3572*G3572*(1-H3572)</f>
        <v>9998</v>
      </c>
    </row>
    <row r="3574" spans="1:12">
      <c r="A3574" t="s">
        <v>4397</v>
      </c>
      <c r="B3574" s="1">
        <v>46168</v>
      </c>
      <c r="C3574" t="s">
        <v>618</v>
      </c>
      <c r="D3574" t="s">
        <v>62</v>
      </c>
      <c r="E3574" t="s">
        <v>27</v>
      </c>
      <c r="F3574">
        <v>1</v>
      </c>
      <c r="G3574">
        <v>2499</v>
      </c>
      <c r="H3574">
        <v>0</v>
      </c>
      <c r="I3574" t="s">
        <v>44</v>
      </c>
      <c r="J3574" t="s">
        <v>28</v>
      </c>
      <c r="K3574" t="s">
        <v>17</v>
      </c>
      <c r="L3574">
        <f>F3573*G3573*(1-H3573)</f>
        <v>9996</v>
      </c>
    </row>
    <row r="3575" spans="1:12">
      <c r="A3575" t="s">
        <v>4398</v>
      </c>
      <c r="B3575" s="1">
        <v>46253</v>
      </c>
      <c r="C3575" t="s">
        <v>517</v>
      </c>
      <c r="D3575" t="s">
        <v>26</v>
      </c>
      <c r="E3575" t="s">
        <v>35</v>
      </c>
      <c r="F3575">
        <v>5</v>
      </c>
      <c r="G3575">
        <v>4999</v>
      </c>
      <c r="H3575">
        <v>0.05</v>
      </c>
      <c r="I3575" t="s">
        <v>47</v>
      </c>
      <c r="J3575" t="s">
        <v>28</v>
      </c>
      <c r="K3575" t="s">
        <v>17</v>
      </c>
      <c r="L3575">
        <f>F3574*G3574*(1-H3574)</f>
        <v>2499</v>
      </c>
    </row>
    <row r="3576" spans="1:12">
      <c r="A3576" t="s">
        <v>4399</v>
      </c>
      <c r="B3576" s="1">
        <v>46183</v>
      </c>
      <c r="C3576" t="s">
        <v>39</v>
      </c>
      <c r="D3576" t="s">
        <v>62</v>
      </c>
      <c r="E3576" t="s">
        <v>27</v>
      </c>
      <c r="F3576">
        <v>4</v>
      </c>
      <c r="G3576">
        <v>499</v>
      </c>
      <c r="H3576">
        <v>0</v>
      </c>
      <c r="I3576" t="s">
        <v>15</v>
      </c>
      <c r="J3576" t="s">
        <v>22</v>
      </c>
      <c r="K3576" t="s">
        <v>17</v>
      </c>
      <c r="L3576">
        <f>F3575*G3575*(1-H3575)</f>
        <v>23745.25</v>
      </c>
    </row>
    <row r="3577" spans="1:12">
      <c r="A3577" t="s">
        <v>4400</v>
      </c>
      <c r="B3577" s="1">
        <v>46251</v>
      </c>
      <c r="C3577" t="s">
        <v>152</v>
      </c>
      <c r="D3577" t="s">
        <v>31</v>
      </c>
      <c r="E3577" t="s">
        <v>40</v>
      </c>
      <c r="F3577">
        <v>3</v>
      </c>
      <c r="G3577">
        <v>1999</v>
      </c>
      <c r="H3577">
        <v>0.15</v>
      </c>
      <c r="I3577" t="s">
        <v>15</v>
      </c>
      <c r="J3577" t="s">
        <v>16</v>
      </c>
      <c r="K3577" t="s">
        <v>23</v>
      </c>
      <c r="L3577">
        <f>F3576*G3576*(1-H3576)</f>
        <v>1996</v>
      </c>
    </row>
    <row r="3578" spans="1:12">
      <c r="A3578" t="s">
        <v>4401</v>
      </c>
      <c r="B3578" s="1">
        <v>46035</v>
      </c>
      <c r="C3578" t="s">
        <v>1804</v>
      </c>
      <c r="D3578" t="s">
        <v>59</v>
      </c>
      <c r="E3578" t="s">
        <v>14</v>
      </c>
      <c r="F3578">
        <v>4</v>
      </c>
      <c r="G3578">
        <v>2499</v>
      </c>
      <c r="H3578">
        <v>0.1</v>
      </c>
      <c r="I3578" t="s">
        <v>15</v>
      </c>
      <c r="J3578" t="s">
        <v>51</v>
      </c>
      <c r="K3578" t="s">
        <v>23</v>
      </c>
      <c r="L3578">
        <f>F3577*G3577*(1-H3577)</f>
        <v>5097.45</v>
      </c>
    </row>
    <row r="3579" spans="1:12">
      <c r="A3579" t="s">
        <v>4402</v>
      </c>
      <c r="B3579" s="1">
        <v>46128</v>
      </c>
      <c r="C3579" t="s">
        <v>874</v>
      </c>
      <c r="D3579" t="s">
        <v>78</v>
      </c>
      <c r="E3579" t="s">
        <v>35</v>
      </c>
      <c r="F3579">
        <v>5</v>
      </c>
      <c r="G3579">
        <v>799</v>
      </c>
      <c r="H3579">
        <v>0.15</v>
      </c>
      <c r="I3579" t="s">
        <v>50</v>
      </c>
      <c r="J3579" t="s">
        <v>51</v>
      </c>
      <c r="K3579" t="s">
        <v>17</v>
      </c>
      <c r="L3579">
        <f>F3578*G3578*(1-H3578)</f>
        <v>8996.4</v>
      </c>
    </row>
    <row r="3580" spans="1:12">
      <c r="A3580" t="s">
        <v>4403</v>
      </c>
      <c r="B3580" s="1">
        <v>46131</v>
      </c>
      <c r="C3580" t="s">
        <v>1066</v>
      </c>
      <c r="D3580" t="s">
        <v>31</v>
      </c>
      <c r="E3580" t="s">
        <v>14</v>
      </c>
      <c r="F3580">
        <v>2</v>
      </c>
      <c r="G3580">
        <v>4999</v>
      </c>
      <c r="H3580">
        <v>0</v>
      </c>
      <c r="I3580" t="s">
        <v>15</v>
      </c>
      <c r="J3580" t="s">
        <v>28</v>
      </c>
      <c r="K3580" t="s">
        <v>17</v>
      </c>
      <c r="L3580">
        <f>F3579*G3579*(1-H3579)</f>
        <v>3395.75</v>
      </c>
    </row>
    <row r="3581" spans="1:12">
      <c r="A3581" t="s">
        <v>4404</v>
      </c>
      <c r="B3581" s="1">
        <v>46187</v>
      </c>
      <c r="C3581" t="s">
        <v>4405</v>
      </c>
      <c r="D3581" t="s">
        <v>56</v>
      </c>
      <c r="E3581" t="s">
        <v>27</v>
      </c>
      <c r="F3581">
        <v>2</v>
      </c>
      <c r="G3581">
        <v>4999</v>
      </c>
      <c r="H3581">
        <v>0.1</v>
      </c>
      <c r="I3581" t="s">
        <v>32</v>
      </c>
      <c r="J3581" t="s">
        <v>22</v>
      </c>
      <c r="K3581" t="s">
        <v>17</v>
      </c>
      <c r="L3581">
        <f>F3580*G3580*(1-H3580)</f>
        <v>9998</v>
      </c>
    </row>
    <row r="3582" spans="1:12">
      <c r="A3582" t="s">
        <v>4406</v>
      </c>
      <c r="B3582" s="1">
        <v>46159</v>
      </c>
      <c r="C3582" t="s">
        <v>2277</v>
      </c>
      <c r="D3582" t="s">
        <v>62</v>
      </c>
      <c r="E3582" t="s">
        <v>14</v>
      </c>
      <c r="F3582">
        <v>1</v>
      </c>
      <c r="G3582">
        <v>1999</v>
      </c>
      <c r="H3582">
        <v>0.15</v>
      </c>
      <c r="I3582" t="s">
        <v>44</v>
      </c>
      <c r="J3582" t="s">
        <v>28</v>
      </c>
      <c r="K3582" t="s">
        <v>17</v>
      </c>
      <c r="L3582">
        <f>F3581*G3581*(1-H3581)</f>
        <v>8998.2000000000007</v>
      </c>
    </row>
    <row r="3583" spans="1:12">
      <c r="A3583" t="s">
        <v>4407</v>
      </c>
      <c r="B3583" s="1">
        <v>46101</v>
      </c>
      <c r="C3583" t="s">
        <v>1291</v>
      </c>
      <c r="D3583" t="s">
        <v>71</v>
      </c>
      <c r="E3583" t="s">
        <v>21</v>
      </c>
      <c r="F3583">
        <v>5</v>
      </c>
      <c r="G3583">
        <v>499</v>
      </c>
      <c r="H3583">
        <v>0.1</v>
      </c>
      <c r="I3583" t="s">
        <v>32</v>
      </c>
      <c r="J3583" t="s">
        <v>51</v>
      </c>
      <c r="K3583" t="s">
        <v>23</v>
      </c>
      <c r="L3583">
        <f>F3582*G3582*(1-H3582)</f>
        <v>1699.1499999999999</v>
      </c>
    </row>
    <row r="3584" spans="1:12">
      <c r="A3584" t="s">
        <v>4408</v>
      </c>
      <c r="B3584" s="1">
        <v>46146</v>
      </c>
      <c r="C3584" t="s">
        <v>1213</v>
      </c>
      <c r="D3584" t="s">
        <v>56</v>
      </c>
      <c r="E3584" t="s">
        <v>27</v>
      </c>
      <c r="F3584">
        <v>1</v>
      </c>
      <c r="G3584">
        <v>599</v>
      </c>
      <c r="H3584">
        <v>0.1</v>
      </c>
      <c r="I3584" t="s">
        <v>15</v>
      </c>
      <c r="J3584" t="s">
        <v>36</v>
      </c>
      <c r="K3584" t="s">
        <v>17</v>
      </c>
      <c r="L3584">
        <f>F3583*G3583*(1-H3583)</f>
        <v>2245.5</v>
      </c>
    </row>
    <row r="3585" spans="1:12">
      <c r="A3585" t="s">
        <v>4409</v>
      </c>
      <c r="B3585" s="1">
        <v>46036</v>
      </c>
      <c r="C3585" t="s">
        <v>1344</v>
      </c>
      <c r="D3585" t="s">
        <v>71</v>
      </c>
      <c r="E3585" t="s">
        <v>40</v>
      </c>
      <c r="F3585">
        <v>2</v>
      </c>
      <c r="G3585">
        <v>1299</v>
      </c>
      <c r="H3585">
        <v>0.05</v>
      </c>
      <c r="I3585" t="s">
        <v>15</v>
      </c>
      <c r="J3585" t="s">
        <v>28</v>
      </c>
      <c r="K3585" t="s">
        <v>17</v>
      </c>
      <c r="L3585">
        <f>F3584*G3584*(1-H3584)</f>
        <v>539.1</v>
      </c>
    </row>
    <row r="3586" spans="1:12">
      <c r="A3586" t="s">
        <v>4410</v>
      </c>
      <c r="B3586" s="1">
        <v>46129</v>
      </c>
      <c r="C3586" t="s">
        <v>462</v>
      </c>
      <c r="D3586" t="s">
        <v>62</v>
      </c>
      <c r="E3586" t="s">
        <v>35</v>
      </c>
      <c r="F3586">
        <v>3</v>
      </c>
      <c r="G3586">
        <v>999</v>
      </c>
      <c r="H3586">
        <v>0.15</v>
      </c>
      <c r="I3586" t="s">
        <v>50</v>
      </c>
      <c r="J3586" t="s">
        <v>28</v>
      </c>
      <c r="K3586" t="s">
        <v>17</v>
      </c>
      <c r="L3586">
        <f>F3585*G3585*(1-H3585)</f>
        <v>2468.1</v>
      </c>
    </row>
    <row r="3587" spans="1:12">
      <c r="A3587" t="s">
        <v>4411</v>
      </c>
      <c r="B3587" s="1">
        <v>46059</v>
      </c>
      <c r="C3587" t="s">
        <v>2005</v>
      </c>
      <c r="D3587" t="s">
        <v>59</v>
      </c>
      <c r="E3587" t="s">
        <v>14</v>
      </c>
      <c r="F3587">
        <v>2</v>
      </c>
      <c r="G3587">
        <v>499</v>
      </c>
      <c r="H3587">
        <v>0</v>
      </c>
      <c r="I3587" t="s">
        <v>15</v>
      </c>
      <c r="J3587" t="s">
        <v>36</v>
      </c>
      <c r="K3587" t="s">
        <v>37</v>
      </c>
      <c r="L3587">
        <f>F3586*G3586*(1-H3586)</f>
        <v>2547.4499999999998</v>
      </c>
    </row>
    <row r="3588" spans="1:12">
      <c r="A3588" t="s">
        <v>4412</v>
      </c>
      <c r="B3588" s="1">
        <v>46257</v>
      </c>
      <c r="C3588" t="s">
        <v>837</v>
      </c>
      <c r="D3588" t="s">
        <v>59</v>
      </c>
      <c r="E3588" t="s">
        <v>14</v>
      </c>
      <c r="F3588">
        <v>1</v>
      </c>
      <c r="G3588">
        <v>7999</v>
      </c>
      <c r="H3588">
        <v>0.05</v>
      </c>
      <c r="I3588" t="s">
        <v>50</v>
      </c>
      <c r="J3588" t="s">
        <v>16</v>
      </c>
      <c r="K3588" t="s">
        <v>17</v>
      </c>
      <c r="L3588">
        <f>F3587*G3587*(1-H3587)</f>
        <v>998</v>
      </c>
    </row>
    <row r="3589" spans="1:12">
      <c r="A3589" t="s">
        <v>4413</v>
      </c>
      <c r="B3589" s="1">
        <v>46254</v>
      </c>
      <c r="C3589" t="s">
        <v>1812</v>
      </c>
      <c r="D3589" t="s">
        <v>31</v>
      </c>
      <c r="E3589" t="s">
        <v>14</v>
      </c>
      <c r="F3589">
        <v>1</v>
      </c>
      <c r="G3589">
        <v>599</v>
      </c>
      <c r="H3589">
        <v>0.05</v>
      </c>
      <c r="I3589" t="s">
        <v>15</v>
      </c>
      <c r="J3589" t="s">
        <v>22</v>
      </c>
      <c r="K3589" t="s">
        <v>37</v>
      </c>
      <c r="L3589">
        <f>F3588*G3588*(1-H3588)</f>
        <v>7599.0499999999993</v>
      </c>
    </row>
    <row r="3590" spans="1:12">
      <c r="A3590" t="s">
        <v>4414</v>
      </c>
      <c r="B3590" s="1">
        <v>46168</v>
      </c>
      <c r="C3590" t="s">
        <v>477</v>
      </c>
      <c r="D3590" t="s">
        <v>71</v>
      </c>
      <c r="E3590" t="s">
        <v>27</v>
      </c>
      <c r="F3590">
        <v>2</v>
      </c>
      <c r="G3590">
        <v>1299</v>
      </c>
      <c r="H3590">
        <v>0.05</v>
      </c>
      <c r="I3590" t="s">
        <v>15</v>
      </c>
      <c r="J3590" t="s">
        <v>36</v>
      </c>
      <c r="K3590" t="s">
        <v>37</v>
      </c>
      <c r="L3590">
        <f>F3589*G3589*(1-H3589)</f>
        <v>569.04999999999995</v>
      </c>
    </row>
    <row r="3591" spans="1:12">
      <c r="A3591" t="s">
        <v>4415</v>
      </c>
      <c r="B3591" s="1">
        <v>46153</v>
      </c>
      <c r="C3591" t="s">
        <v>1031</v>
      </c>
      <c r="D3591" t="s">
        <v>31</v>
      </c>
      <c r="E3591" t="s">
        <v>40</v>
      </c>
      <c r="F3591">
        <v>1</v>
      </c>
      <c r="G3591">
        <v>499</v>
      </c>
      <c r="H3591">
        <v>0</v>
      </c>
      <c r="I3591" t="s">
        <v>15</v>
      </c>
      <c r="J3591" t="s">
        <v>28</v>
      </c>
      <c r="K3591" t="s">
        <v>17</v>
      </c>
      <c r="L3591">
        <f>F3590*G3590*(1-H3590)</f>
        <v>2468.1</v>
      </c>
    </row>
    <row r="3592" spans="1:12">
      <c r="A3592" t="s">
        <v>4416</v>
      </c>
      <c r="B3592" s="1">
        <v>46258</v>
      </c>
      <c r="C3592" t="s">
        <v>1795</v>
      </c>
      <c r="D3592" t="s">
        <v>62</v>
      </c>
      <c r="E3592" t="s">
        <v>27</v>
      </c>
      <c r="F3592">
        <v>5</v>
      </c>
      <c r="G3592">
        <v>599</v>
      </c>
      <c r="H3592">
        <v>0.1</v>
      </c>
      <c r="I3592" t="s">
        <v>15</v>
      </c>
      <c r="J3592" t="s">
        <v>16</v>
      </c>
      <c r="K3592" t="s">
        <v>17</v>
      </c>
      <c r="L3592">
        <f>F3591*G3591*(1-H3591)</f>
        <v>499</v>
      </c>
    </row>
    <row r="3593" spans="1:12">
      <c r="A3593" t="s">
        <v>4417</v>
      </c>
      <c r="B3593" s="1">
        <v>46061</v>
      </c>
      <c r="C3593" t="s">
        <v>82</v>
      </c>
      <c r="D3593" t="s">
        <v>26</v>
      </c>
      <c r="E3593" t="s">
        <v>27</v>
      </c>
      <c r="F3593">
        <v>4</v>
      </c>
      <c r="G3593">
        <v>1499</v>
      </c>
      <c r="H3593">
        <v>0.1</v>
      </c>
      <c r="I3593" t="s">
        <v>44</v>
      </c>
      <c r="J3593" t="s">
        <v>51</v>
      </c>
      <c r="K3593" t="s">
        <v>17</v>
      </c>
      <c r="L3593">
        <f>F3592*G3592*(1-H3592)</f>
        <v>2695.5</v>
      </c>
    </row>
    <row r="3594" spans="1:12">
      <c r="A3594" t="s">
        <v>4418</v>
      </c>
      <c r="B3594" s="1">
        <v>46205</v>
      </c>
      <c r="C3594" t="s">
        <v>331</v>
      </c>
      <c r="D3594" t="s">
        <v>59</v>
      </c>
      <c r="E3594" t="s">
        <v>21</v>
      </c>
      <c r="F3594">
        <v>4</v>
      </c>
      <c r="G3594">
        <v>1299</v>
      </c>
      <c r="H3594">
        <v>0</v>
      </c>
      <c r="I3594" t="s">
        <v>47</v>
      </c>
      <c r="J3594" t="s">
        <v>36</v>
      </c>
      <c r="K3594" t="s">
        <v>17</v>
      </c>
      <c r="L3594">
        <f>F3593*G3593*(1-H3593)</f>
        <v>5396.4000000000005</v>
      </c>
    </row>
    <row r="3595" spans="1:12">
      <c r="A3595" t="s">
        <v>4419</v>
      </c>
      <c r="B3595" s="1">
        <v>46053</v>
      </c>
      <c r="C3595" t="s">
        <v>594</v>
      </c>
      <c r="D3595" t="s">
        <v>43</v>
      </c>
      <c r="E3595" t="s">
        <v>27</v>
      </c>
      <c r="F3595">
        <v>1</v>
      </c>
      <c r="G3595">
        <v>499</v>
      </c>
      <c r="H3595">
        <v>0.1</v>
      </c>
      <c r="I3595" t="s">
        <v>47</v>
      </c>
      <c r="J3595" t="s">
        <v>36</v>
      </c>
      <c r="K3595" t="s">
        <v>17</v>
      </c>
      <c r="L3595">
        <f>F3594*G3594*(1-H3594)</f>
        <v>5196</v>
      </c>
    </row>
    <row r="3596" spans="1:12">
      <c r="A3596" t="s">
        <v>4420</v>
      </c>
      <c r="B3596" s="1">
        <v>46249</v>
      </c>
      <c r="C3596" t="s">
        <v>1103</v>
      </c>
      <c r="D3596" t="s">
        <v>78</v>
      </c>
      <c r="E3596" t="s">
        <v>21</v>
      </c>
      <c r="F3596">
        <v>3</v>
      </c>
      <c r="G3596">
        <v>999</v>
      </c>
      <c r="H3596">
        <v>0</v>
      </c>
      <c r="I3596" t="s">
        <v>50</v>
      </c>
      <c r="J3596" t="s">
        <v>51</v>
      </c>
      <c r="K3596" t="s">
        <v>37</v>
      </c>
      <c r="L3596">
        <f>F3595*G3595*(1-H3595)</f>
        <v>449.1</v>
      </c>
    </row>
    <row r="3597" spans="1:12">
      <c r="A3597" t="s">
        <v>4421</v>
      </c>
      <c r="B3597" s="1">
        <v>46066</v>
      </c>
      <c r="C3597" t="s">
        <v>361</v>
      </c>
      <c r="D3597" t="s">
        <v>62</v>
      </c>
      <c r="E3597" t="s">
        <v>27</v>
      </c>
      <c r="F3597">
        <v>3</v>
      </c>
      <c r="G3597">
        <v>4999</v>
      </c>
      <c r="H3597">
        <v>0.1</v>
      </c>
      <c r="I3597" t="s">
        <v>47</v>
      </c>
      <c r="J3597" t="s">
        <v>51</v>
      </c>
      <c r="K3597" t="s">
        <v>23</v>
      </c>
      <c r="L3597">
        <f>F3596*G3596*(1-H3596)</f>
        <v>2997</v>
      </c>
    </row>
    <row r="3598" spans="1:12">
      <c r="A3598" t="s">
        <v>4422</v>
      </c>
      <c r="B3598" s="1">
        <v>46268</v>
      </c>
      <c r="C3598" t="s">
        <v>989</v>
      </c>
      <c r="D3598" t="s">
        <v>71</v>
      </c>
      <c r="E3598" t="s">
        <v>21</v>
      </c>
      <c r="F3598">
        <v>2</v>
      </c>
      <c r="G3598">
        <v>999</v>
      </c>
      <c r="H3598">
        <v>0</v>
      </c>
      <c r="I3598" t="s">
        <v>50</v>
      </c>
      <c r="J3598" t="s">
        <v>36</v>
      </c>
      <c r="K3598" t="s">
        <v>23</v>
      </c>
      <c r="L3598">
        <f>F3597*G3597*(1-H3597)</f>
        <v>13497.300000000001</v>
      </c>
    </row>
    <row r="3599" spans="1:12">
      <c r="A3599" t="s">
        <v>4423</v>
      </c>
      <c r="B3599" s="1">
        <v>46084</v>
      </c>
      <c r="C3599" t="s">
        <v>1666</v>
      </c>
      <c r="D3599" t="s">
        <v>31</v>
      </c>
      <c r="E3599" t="s">
        <v>27</v>
      </c>
      <c r="F3599">
        <v>4</v>
      </c>
      <c r="G3599">
        <v>2499</v>
      </c>
      <c r="H3599">
        <v>0.1</v>
      </c>
      <c r="I3599" t="s">
        <v>47</v>
      </c>
      <c r="J3599" t="s">
        <v>22</v>
      </c>
      <c r="K3599" t="s">
        <v>17</v>
      </c>
      <c r="L3599">
        <f>F3598*G3598*(1-H3598)</f>
        <v>1998</v>
      </c>
    </row>
    <row r="3600" spans="1:12">
      <c r="A3600" t="s">
        <v>4424</v>
      </c>
      <c r="B3600" s="1">
        <v>46147</v>
      </c>
      <c r="C3600" t="s">
        <v>2005</v>
      </c>
      <c r="D3600" t="s">
        <v>56</v>
      </c>
      <c r="E3600" t="s">
        <v>27</v>
      </c>
      <c r="F3600">
        <v>5</v>
      </c>
      <c r="G3600">
        <v>1999</v>
      </c>
      <c r="H3600">
        <v>0</v>
      </c>
      <c r="I3600" t="s">
        <v>47</v>
      </c>
      <c r="J3600" t="s">
        <v>16</v>
      </c>
      <c r="K3600" t="s">
        <v>17</v>
      </c>
      <c r="L3600">
        <f>F3599*G3599*(1-H3599)</f>
        <v>8996.4</v>
      </c>
    </row>
    <row r="3601" spans="1:12">
      <c r="A3601" t="s">
        <v>4425</v>
      </c>
      <c r="B3601" s="1">
        <v>46088</v>
      </c>
      <c r="C3601" t="s">
        <v>2205</v>
      </c>
      <c r="D3601" t="s">
        <v>20</v>
      </c>
      <c r="E3601" t="s">
        <v>21</v>
      </c>
      <c r="F3601">
        <v>5</v>
      </c>
      <c r="G3601">
        <v>2499</v>
      </c>
      <c r="H3601">
        <v>0.05</v>
      </c>
      <c r="I3601" t="s">
        <v>32</v>
      </c>
      <c r="J3601" t="s">
        <v>22</v>
      </c>
      <c r="K3601" t="s">
        <v>17</v>
      </c>
      <c r="L3601">
        <f>F3600*G3600*(1-H3600)</f>
        <v>9995</v>
      </c>
    </row>
    <row r="3602" spans="1:12">
      <c r="A3602" t="s">
        <v>4426</v>
      </c>
      <c r="B3602" s="1">
        <v>46166</v>
      </c>
      <c r="C3602" t="s">
        <v>492</v>
      </c>
      <c r="D3602" t="s">
        <v>62</v>
      </c>
      <c r="E3602" t="s">
        <v>21</v>
      </c>
      <c r="F3602">
        <v>4</v>
      </c>
      <c r="G3602">
        <v>999</v>
      </c>
      <c r="H3602">
        <v>0.05</v>
      </c>
      <c r="I3602" t="s">
        <v>44</v>
      </c>
      <c r="J3602" t="s">
        <v>22</v>
      </c>
      <c r="K3602" t="s">
        <v>17</v>
      </c>
      <c r="L3602">
        <f>F3601*G3601*(1-H3601)</f>
        <v>11870.25</v>
      </c>
    </row>
    <row r="3603" spans="1:12">
      <c r="A3603" t="s">
        <v>4427</v>
      </c>
      <c r="B3603" s="1">
        <v>46228</v>
      </c>
      <c r="C3603" t="s">
        <v>832</v>
      </c>
      <c r="D3603" t="s">
        <v>62</v>
      </c>
      <c r="E3603" t="s">
        <v>35</v>
      </c>
      <c r="F3603">
        <v>4</v>
      </c>
      <c r="G3603">
        <v>499</v>
      </c>
      <c r="H3603">
        <v>0.05</v>
      </c>
      <c r="I3603" t="s">
        <v>44</v>
      </c>
      <c r="J3603" t="s">
        <v>51</v>
      </c>
      <c r="K3603" t="s">
        <v>17</v>
      </c>
      <c r="L3603">
        <f>F3602*G3602*(1-H3602)</f>
        <v>3796.2</v>
      </c>
    </row>
    <row r="3604" spans="1:12">
      <c r="A3604" t="s">
        <v>4428</v>
      </c>
      <c r="B3604" s="1">
        <v>46078</v>
      </c>
      <c r="C3604" t="s">
        <v>470</v>
      </c>
      <c r="D3604" t="s">
        <v>13</v>
      </c>
      <c r="E3604" t="s">
        <v>40</v>
      </c>
      <c r="F3604">
        <v>3</v>
      </c>
      <c r="G3604">
        <v>499</v>
      </c>
      <c r="H3604">
        <v>0</v>
      </c>
      <c r="I3604" t="s">
        <v>50</v>
      </c>
      <c r="J3604" t="s">
        <v>16</v>
      </c>
      <c r="K3604" t="s">
        <v>17</v>
      </c>
      <c r="L3604">
        <f>F3603*G3603*(1-H3603)</f>
        <v>1896.1999999999998</v>
      </c>
    </row>
    <row r="3605" spans="1:12">
      <c r="A3605" t="s">
        <v>4429</v>
      </c>
      <c r="B3605" s="1">
        <v>46269</v>
      </c>
      <c r="C3605" t="s">
        <v>2701</v>
      </c>
      <c r="D3605" t="s">
        <v>26</v>
      </c>
      <c r="E3605" t="s">
        <v>21</v>
      </c>
      <c r="F3605">
        <v>4</v>
      </c>
      <c r="G3605">
        <v>1999</v>
      </c>
      <c r="H3605">
        <v>0</v>
      </c>
      <c r="I3605" t="s">
        <v>15</v>
      </c>
      <c r="J3605" t="s">
        <v>16</v>
      </c>
      <c r="K3605" t="s">
        <v>23</v>
      </c>
      <c r="L3605">
        <f>F3604*G3604*(1-H3604)</f>
        <v>1497</v>
      </c>
    </row>
    <row r="3606" spans="1:12">
      <c r="A3606" t="s">
        <v>4430</v>
      </c>
      <c r="B3606" s="1">
        <v>46144</v>
      </c>
      <c r="C3606" t="s">
        <v>567</v>
      </c>
      <c r="D3606" t="s">
        <v>59</v>
      </c>
      <c r="E3606" t="s">
        <v>14</v>
      </c>
      <c r="F3606">
        <v>1</v>
      </c>
      <c r="G3606">
        <v>7999</v>
      </c>
      <c r="H3606">
        <v>0</v>
      </c>
      <c r="I3606" t="s">
        <v>47</v>
      </c>
      <c r="J3606" t="s">
        <v>16</v>
      </c>
      <c r="K3606" t="s">
        <v>17</v>
      </c>
      <c r="L3606">
        <f>F3605*G3605*(1-H3605)</f>
        <v>7996</v>
      </c>
    </row>
    <row r="3607" spans="1:12">
      <c r="A3607" t="s">
        <v>4431</v>
      </c>
      <c r="B3607" s="1">
        <v>46024</v>
      </c>
      <c r="C3607" t="s">
        <v>905</v>
      </c>
      <c r="D3607" t="s">
        <v>56</v>
      </c>
      <c r="E3607" t="s">
        <v>14</v>
      </c>
      <c r="F3607">
        <v>4</v>
      </c>
      <c r="G3607">
        <v>1999</v>
      </c>
      <c r="H3607">
        <v>0</v>
      </c>
      <c r="I3607" t="s">
        <v>47</v>
      </c>
      <c r="J3607" t="s">
        <v>28</v>
      </c>
      <c r="K3607" t="s">
        <v>37</v>
      </c>
      <c r="L3607">
        <f>F3606*G3606*(1-H3606)</f>
        <v>7999</v>
      </c>
    </row>
    <row r="3608" spans="1:12">
      <c r="A3608" t="s">
        <v>4432</v>
      </c>
      <c r="B3608" s="1">
        <v>46162</v>
      </c>
      <c r="C3608" t="s">
        <v>699</v>
      </c>
      <c r="D3608" t="s">
        <v>31</v>
      </c>
      <c r="E3608" t="s">
        <v>35</v>
      </c>
      <c r="F3608">
        <v>3</v>
      </c>
      <c r="G3608">
        <v>999</v>
      </c>
      <c r="H3608">
        <v>0</v>
      </c>
      <c r="I3608" t="s">
        <v>44</v>
      </c>
      <c r="J3608" t="s">
        <v>28</v>
      </c>
      <c r="K3608" t="s">
        <v>17</v>
      </c>
      <c r="L3608">
        <f>F3607*G3607*(1-H3607)</f>
        <v>7996</v>
      </c>
    </row>
    <row r="3609" spans="1:12">
      <c r="A3609" t="s">
        <v>4433</v>
      </c>
      <c r="B3609" s="1">
        <v>46046</v>
      </c>
      <c r="C3609" t="s">
        <v>55</v>
      </c>
      <c r="D3609" t="s">
        <v>26</v>
      </c>
      <c r="E3609" t="s">
        <v>21</v>
      </c>
      <c r="F3609">
        <v>3</v>
      </c>
      <c r="G3609">
        <v>799</v>
      </c>
      <c r="H3609">
        <v>0.05</v>
      </c>
      <c r="I3609" t="s">
        <v>44</v>
      </c>
      <c r="J3609" t="s">
        <v>22</v>
      </c>
      <c r="K3609" t="s">
        <v>23</v>
      </c>
      <c r="L3609">
        <f>F3608*G3608*(1-H3608)</f>
        <v>2997</v>
      </c>
    </row>
    <row r="3610" spans="1:12">
      <c r="A3610" t="s">
        <v>4434</v>
      </c>
      <c r="B3610" s="1">
        <v>46233</v>
      </c>
      <c r="C3610" t="s">
        <v>1050</v>
      </c>
      <c r="D3610" t="s">
        <v>56</v>
      </c>
      <c r="E3610" t="s">
        <v>21</v>
      </c>
      <c r="F3610">
        <v>2</v>
      </c>
      <c r="G3610">
        <v>4999</v>
      </c>
      <c r="H3610">
        <v>0</v>
      </c>
      <c r="I3610" t="s">
        <v>44</v>
      </c>
      <c r="J3610" t="s">
        <v>51</v>
      </c>
      <c r="K3610" t="s">
        <v>37</v>
      </c>
      <c r="L3610">
        <f>F3609*G3609*(1-H3609)</f>
        <v>2277.15</v>
      </c>
    </row>
    <row r="3611" spans="1:12">
      <c r="A3611" t="s">
        <v>4435</v>
      </c>
      <c r="B3611" s="1">
        <v>46115</v>
      </c>
      <c r="C3611" t="s">
        <v>2777</v>
      </c>
      <c r="D3611" t="s">
        <v>56</v>
      </c>
      <c r="E3611" t="s">
        <v>40</v>
      </c>
      <c r="F3611">
        <v>3</v>
      </c>
      <c r="G3611">
        <v>1499</v>
      </c>
      <c r="H3611">
        <v>0.05</v>
      </c>
      <c r="I3611" t="s">
        <v>32</v>
      </c>
      <c r="J3611" t="s">
        <v>22</v>
      </c>
      <c r="K3611" t="s">
        <v>23</v>
      </c>
      <c r="L3611">
        <f>F3610*G3610*(1-H3610)</f>
        <v>9998</v>
      </c>
    </row>
    <row r="3612" spans="1:12">
      <c r="A3612" t="s">
        <v>4436</v>
      </c>
      <c r="B3612" s="1">
        <v>46026</v>
      </c>
      <c r="C3612" t="s">
        <v>1165</v>
      </c>
      <c r="D3612" t="s">
        <v>43</v>
      </c>
      <c r="E3612" t="s">
        <v>14</v>
      </c>
      <c r="F3612">
        <v>2</v>
      </c>
      <c r="G3612">
        <v>1999</v>
      </c>
      <c r="H3612">
        <v>0.1</v>
      </c>
      <c r="I3612" t="s">
        <v>47</v>
      </c>
      <c r="J3612" t="s">
        <v>51</v>
      </c>
      <c r="K3612" t="s">
        <v>17</v>
      </c>
      <c r="L3612">
        <f>F3611*G3611*(1-H3611)</f>
        <v>4272.1499999999996</v>
      </c>
    </row>
    <row r="3613" spans="1:12">
      <c r="A3613" t="s">
        <v>4437</v>
      </c>
      <c r="B3613" s="1">
        <v>46140</v>
      </c>
      <c r="C3613" t="s">
        <v>228</v>
      </c>
      <c r="D3613" t="s">
        <v>43</v>
      </c>
      <c r="E3613" t="s">
        <v>21</v>
      </c>
      <c r="F3613">
        <v>5</v>
      </c>
      <c r="G3613">
        <v>2499</v>
      </c>
      <c r="H3613">
        <v>0</v>
      </c>
      <c r="I3613" t="s">
        <v>50</v>
      </c>
      <c r="J3613" t="s">
        <v>36</v>
      </c>
      <c r="K3613" t="s">
        <v>37</v>
      </c>
      <c r="L3613">
        <f>F3612*G3612*(1-H3612)</f>
        <v>3598.2000000000003</v>
      </c>
    </row>
    <row r="3614" spans="1:12">
      <c r="A3614" t="s">
        <v>4438</v>
      </c>
      <c r="B3614" s="1">
        <v>46035</v>
      </c>
      <c r="C3614" t="s">
        <v>1054</v>
      </c>
      <c r="D3614" t="s">
        <v>31</v>
      </c>
      <c r="E3614" t="s">
        <v>40</v>
      </c>
      <c r="F3614">
        <v>5</v>
      </c>
      <c r="G3614">
        <v>2499</v>
      </c>
      <c r="H3614">
        <v>0.05</v>
      </c>
      <c r="I3614" t="s">
        <v>15</v>
      </c>
      <c r="J3614" t="s">
        <v>28</v>
      </c>
      <c r="K3614" t="s">
        <v>17</v>
      </c>
      <c r="L3614">
        <f>F3613*G3613*(1-H3613)</f>
        <v>12495</v>
      </c>
    </row>
    <row r="3615" spans="1:12">
      <c r="A3615" t="s">
        <v>4439</v>
      </c>
      <c r="B3615" s="1">
        <v>46057</v>
      </c>
      <c r="C3615" t="s">
        <v>997</v>
      </c>
      <c r="D3615" t="s">
        <v>43</v>
      </c>
      <c r="E3615" t="s">
        <v>27</v>
      </c>
      <c r="F3615">
        <v>2</v>
      </c>
      <c r="G3615">
        <v>1299</v>
      </c>
      <c r="H3615">
        <v>0</v>
      </c>
      <c r="I3615" t="s">
        <v>32</v>
      </c>
      <c r="J3615" t="s">
        <v>16</v>
      </c>
      <c r="K3615" t="s">
        <v>37</v>
      </c>
      <c r="L3615">
        <f>F3614*G3614*(1-H3614)</f>
        <v>11870.25</v>
      </c>
    </row>
    <row r="3616" spans="1:12">
      <c r="A3616" t="s">
        <v>4440</v>
      </c>
      <c r="B3616" s="1">
        <v>46264</v>
      </c>
      <c r="C3616" t="s">
        <v>343</v>
      </c>
      <c r="D3616" t="s">
        <v>59</v>
      </c>
      <c r="E3616" t="s">
        <v>27</v>
      </c>
      <c r="F3616">
        <v>5</v>
      </c>
      <c r="G3616">
        <v>4999</v>
      </c>
      <c r="H3616">
        <v>0</v>
      </c>
      <c r="I3616" t="s">
        <v>50</v>
      </c>
      <c r="J3616" t="s">
        <v>22</v>
      </c>
      <c r="K3616" t="s">
        <v>17</v>
      </c>
      <c r="L3616">
        <f>F3615*G3615*(1-H3615)</f>
        <v>2598</v>
      </c>
    </row>
    <row r="3617" spans="1:12">
      <c r="A3617" t="s">
        <v>4441</v>
      </c>
      <c r="B3617" s="1">
        <v>46195</v>
      </c>
      <c r="C3617" t="s">
        <v>667</v>
      </c>
      <c r="D3617" t="s">
        <v>43</v>
      </c>
      <c r="E3617" t="s">
        <v>27</v>
      </c>
      <c r="F3617">
        <v>4</v>
      </c>
      <c r="G3617">
        <v>999</v>
      </c>
      <c r="H3617">
        <v>0</v>
      </c>
      <c r="I3617" t="s">
        <v>15</v>
      </c>
      <c r="J3617" t="s">
        <v>28</v>
      </c>
      <c r="K3617" t="s">
        <v>23</v>
      </c>
      <c r="L3617">
        <f>F3616*G3616*(1-H3616)</f>
        <v>24995</v>
      </c>
    </row>
    <row r="3618" spans="1:12">
      <c r="A3618" t="s">
        <v>4442</v>
      </c>
      <c r="B3618" s="1">
        <v>46148</v>
      </c>
      <c r="C3618" t="s">
        <v>697</v>
      </c>
      <c r="D3618" t="s">
        <v>26</v>
      </c>
      <c r="E3618" t="s">
        <v>14</v>
      </c>
      <c r="F3618">
        <v>3</v>
      </c>
      <c r="G3618">
        <v>599</v>
      </c>
      <c r="H3618">
        <v>0</v>
      </c>
      <c r="I3618" t="s">
        <v>32</v>
      </c>
      <c r="J3618" t="s">
        <v>22</v>
      </c>
      <c r="K3618" t="s">
        <v>17</v>
      </c>
      <c r="L3618">
        <f>F3617*G3617*(1-H3617)</f>
        <v>3996</v>
      </c>
    </row>
    <row r="3619" spans="1:12">
      <c r="A3619" t="s">
        <v>4443</v>
      </c>
      <c r="B3619" s="1">
        <v>46214</v>
      </c>
      <c r="C3619" t="s">
        <v>1259</v>
      </c>
      <c r="D3619" t="s">
        <v>13</v>
      </c>
      <c r="E3619" t="s">
        <v>21</v>
      </c>
      <c r="F3619">
        <v>2</v>
      </c>
      <c r="G3619">
        <v>599</v>
      </c>
      <c r="H3619">
        <v>0.15</v>
      </c>
      <c r="I3619" t="s">
        <v>44</v>
      </c>
      <c r="J3619" t="s">
        <v>28</v>
      </c>
      <c r="K3619" t="s">
        <v>17</v>
      </c>
      <c r="L3619">
        <f>F3618*G3618*(1-H3618)</f>
        <v>1797</v>
      </c>
    </row>
    <row r="3620" spans="1:12">
      <c r="A3620" t="s">
        <v>4444</v>
      </c>
      <c r="B3620" s="1">
        <v>46074</v>
      </c>
      <c r="C3620" t="s">
        <v>1675</v>
      </c>
      <c r="D3620" t="s">
        <v>31</v>
      </c>
      <c r="E3620" t="s">
        <v>35</v>
      </c>
      <c r="F3620">
        <v>5</v>
      </c>
      <c r="G3620">
        <v>499</v>
      </c>
      <c r="H3620">
        <v>0.05</v>
      </c>
      <c r="I3620" t="s">
        <v>32</v>
      </c>
      <c r="J3620" t="s">
        <v>51</v>
      </c>
      <c r="K3620" t="s">
        <v>37</v>
      </c>
      <c r="L3620">
        <f>F3619*G3619*(1-H3619)</f>
        <v>1018.3</v>
      </c>
    </row>
    <row r="3621" spans="1:12">
      <c r="A3621" t="s">
        <v>4445</v>
      </c>
      <c r="B3621" s="1">
        <v>46176</v>
      </c>
      <c r="C3621" t="s">
        <v>1074</v>
      </c>
      <c r="D3621" t="s">
        <v>78</v>
      </c>
      <c r="E3621" t="s">
        <v>14</v>
      </c>
      <c r="F3621">
        <v>3</v>
      </c>
      <c r="G3621">
        <v>599</v>
      </c>
      <c r="H3621">
        <v>0.05</v>
      </c>
      <c r="I3621" t="s">
        <v>15</v>
      </c>
      <c r="J3621" t="s">
        <v>51</v>
      </c>
      <c r="K3621" t="s">
        <v>17</v>
      </c>
      <c r="L3621">
        <f>F3620*G3620*(1-H3620)</f>
        <v>2370.25</v>
      </c>
    </row>
    <row r="3622" spans="1:12">
      <c r="A3622" t="s">
        <v>4446</v>
      </c>
      <c r="B3622" s="1">
        <v>46037</v>
      </c>
      <c r="C3622" t="s">
        <v>2898</v>
      </c>
      <c r="D3622" t="s">
        <v>71</v>
      </c>
      <c r="E3622" t="s">
        <v>27</v>
      </c>
      <c r="F3622">
        <v>5</v>
      </c>
      <c r="G3622">
        <v>4999</v>
      </c>
      <c r="H3622">
        <v>0</v>
      </c>
      <c r="I3622" t="s">
        <v>50</v>
      </c>
      <c r="J3622" t="s">
        <v>51</v>
      </c>
      <c r="K3622" t="s">
        <v>17</v>
      </c>
      <c r="L3622">
        <f>F3621*G3621*(1-H3621)</f>
        <v>1707.1499999999999</v>
      </c>
    </row>
    <row r="3623" spans="1:12">
      <c r="A3623" t="s">
        <v>4447</v>
      </c>
      <c r="B3623" s="1">
        <v>46119</v>
      </c>
      <c r="C3623" t="s">
        <v>2000</v>
      </c>
      <c r="D3623" t="s">
        <v>43</v>
      </c>
      <c r="E3623" t="s">
        <v>40</v>
      </c>
      <c r="F3623">
        <v>5</v>
      </c>
      <c r="G3623">
        <v>7999</v>
      </c>
      <c r="H3623">
        <v>0</v>
      </c>
      <c r="I3623" t="s">
        <v>47</v>
      </c>
      <c r="J3623" t="s">
        <v>28</v>
      </c>
      <c r="K3623" t="s">
        <v>37</v>
      </c>
      <c r="L3623">
        <f>F3622*G3622*(1-H3622)</f>
        <v>24995</v>
      </c>
    </row>
    <row r="3624" spans="1:12">
      <c r="A3624" t="s">
        <v>4448</v>
      </c>
      <c r="B3624" s="1">
        <v>46086</v>
      </c>
      <c r="C3624" t="s">
        <v>1244</v>
      </c>
      <c r="D3624" t="s">
        <v>71</v>
      </c>
      <c r="E3624" t="s">
        <v>21</v>
      </c>
      <c r="F3624">
        <v>2</v>
      </c>
      <c r="G3624">
        <v>2499</v>
      </c>
      <c r="H3624">
        <v>0.15</v>
      </c>
      <c r="I3624" t="s">
        <v>15</v>
      </c>
      <c r="J3624" t="s">
        <v>28</v>
      </c>
      <c r="K3624" t="s">
        <v>17</v>
      </c>
      <c r="L3624">
        <f>F3623*G3623*(1-H3623)</f>
        <v>39995</v>
      </c>
    </row>
    <row r="3625" spans="1:12">
      <c r="A3625" t="s">
        <v>4449</v>
      </c>
      <c r="B3625" s="1">
        <v>46147</v>
      </c>
      <c r="C3625" t="s">
        <v>1636</v>
      </c>
      <c r="D3625" t="s">
        <v>26</v>
      </c>
      <c r="E3625" t="s">
        <v>14</v>
      </c>
      <c r="F3625">
        <v>2</v>
      </c>
      <c r="G3625">
        <v>7999</v>
      </c>
      <c r="H3625">
        <v>0.1</v>
      </c>
      <c r="I3625" t="s">
        <v>50</v>
      </c>
      <c r="J3625" t="s">
        <v>36</v>
      </c>
      <c r="K3625" t="s">
        <v>37</v>
      </c>
      <c r="L3625">
        <f>F3624*G3624*(1-H3624)</f>
        <v>4248.3</v>
      </c>
    </row>
    <row r="3626" spans="1:12">
      <c r="A3626" t="s">
        <v>4450</v>
      </c>
      <c r="B3626" s="1">
        <v>46042</v>
      </c>
      <c r="C3626" t="s">
        <v>570</v>
      </c>
      <c r="D3626" t="s">
        <v>59</v>
      </c>
      <c r="E3626" t="s">
        <v>21</v>
      </c>
      <c r="F3626">
        <v>2</v>
      </c>
      <c r="G3626">
        <v>7999</v>
      </c>
      <c r="H3626">
        <v>0</v>
      </c>
      <c r="I3626" t="s">
        <v>15</v>
      </c>
      <c r="J3626" t="s">
        <v>51</v>
      </c>
      <c r="K3626" t="s">
        <v>17</v>
      </c>
      <c r="L3626">
        <f>F3625*G3625*(1-H3625)</f>
        <v>14398.2</v>
      </c>
    </row>
    <row r="3627" spans="1:12">
      <c r="A3627" t="s">
        <v>4451</v>
      </c>
      <c r="B3627" s="1">
        <v>46211</v>
      </c>
      <c r="C3627" t="s">
        <v>2130</v>
      </c>
      <c r="D3627" t="s">
        <v>71</v>
      </c>
      <c r="E3627" t="s">
        <v>35</v>
      </c>
      <c r="F3627">
        <v>2</v>
      </c>
      <c r="G3627">
        <v>499</v>
      </c>
      <c r="H3627">
        <v>0.1</v>
      </c>
      <c r="I3627" t="s">
        <v>47</v>
      </c>
      <c r="J3627" t="s">
        <v>16</v>
      </c>
      <c r="K3627" t="s">
        <v>23</v>
      </c>
      <c r="L3627">
        <f>F3626*G3626*(1-H3626)</f>
        <v>15998</v>
      </c>
    </row>
    <row r="3628" spans="1:12">
      <c r="A3628" t="s">
        <v>4452</v>
      </c>
      <c r="B3628" s="1">
        <v>46168</v>
      </c>
      <c r="C3628" t="s">
        <v>162</v>
      </c>
      <c r="D3628" t="s">
        <v>62</v>
      </c>
      <c r="E3628" t="s">
        <v>14</v>
      </c>
      <c r="F3628">
        <v>4</v>
      </c>
      <c r="G3628">
        <v>7999</v>
      </c>
      <c r="H3628">
        <v>0</v>
      </c>
      <c r="I3628" t="s">
        <v>32</v>
      </c>
      <c r="J3628" t="s">
        <v>28</v>
      </c>
      <c r="K3628" t="s">
        <v>23</v>
      </c>
      <c r="L3628">
        <f>F3627*G3627*(1-H3627)</f>
        <v>898.2</v>
      </c>
    </row>
    <row r="3629" spans="1:12">
      <c r="A3629" t="s">
        <v>4453</v>
      </c>
      <c r="B3629" s="1">
        <v>46156</v>
      </c>
      <c r="C3629" t="s">
        <v>241</v>
      </c>
      <c r="D3629" t="s">
        <v>20</v>
      </c>
      <c r="E3629" t="s">
        <v>27</v>
      </c>
      <c r="F3629">
        <v>3</v>
      </c>
      <c r="G3629">
        <v>1999</v>
      </c>
      <c r="H3629">
        <v>0.05</v>
      </c>
      <c r="I3629" t="s">
        <v>44</v>
      </c>
      <c r="J3629" t="s">
        <v>28</v>
      </c>
      <c r="K3629" t="s">
        <v>37</v>
      </c>
      <c r="L3629">
        <f>F3628*G3628*(1-H3628)</f>
        <v>31996</v>
      </c>
    </row>
    <row r="3630" spans="1:12">
      <c r="A3630" t="s">
        <v>4454</v>
      </c>
      <c r="B3630" s="1">
        <v>46216</v>
      </c>
      <c r="C3630" t="s">
        <v>883</v>
      </c>
      <c r="D3630" t="s">
        <v>43</v>
      </c>
      <c r="E3630" t="s">
        <v>40</v>
      </c>
      <c r="F3630">
        <v>5</v>
      </c>
      <c r="G3630">
        <v>1999</v>
      </c>
      <c r="H3630">
        <v>0</v>
      </c>
      <c r="I3630" t="s">
        <v>15</v>
      </c>
      <c r="J3630" t="s">
        <v>36</v>
      </c>
      <c r="K3630" t="s">
        <v>37</v>
      </c>
      <c r="L3630">
        <f>F3629*G3629*(1-H3629)</f>
        <v>5697.15</v>
      </c>
    </row>
    <row r="3631" spans="1:12">
      <c r="A3631" t="s">
        <v>4455</v>
      </c>
      <c r="B3631" s="1">
        <v>46198</v>
      </c>
      <c r="C3631" t="s">
        <v>42</v>
      </c>
      <c r="D3631" t="s">
        <v>71</v>
      </c>
      <c r="E3631" t="s">
        <v>27</v>
      </c>
      <c r="F3631">
        <v>1</v>
      </c>
      <c r="G3631">
        <v>1299</v>
      </c>
      <c r="H3631">
        <v>0.15</v>
      </c>
      <c r="I3631" t="s">
        <v>32</v>
      </c>
      <c r="J3631" t="s">
        <v>36</v>
      </c>
      <c r="K3631" t="s">
        <v>17</v>
      </c>
      <c r="L3631">
        <f>F3630*G3630*(1-H3630)</f>
        <v>9995</v>
      </c>
    </row>
    <row r="3632" spans="1:12">
      <c r="A3632" t="s">
        <v>4456</v>
      </c>
      <c r="B3632" s="1">
        <v>46213</v>
      </c>
      <c r="C3632" t="s">
        <v>168</v>
      </c>
      <c r="D3632" t="s">
        <v>62</v>
      </c>
      <c r="E3632" t="s">
        <v>14</v>
      </c>
      <c r="F3632">
        <v>5</v>
      </c>
      <c r="G3632">
        <v>1299</v>
      </c>
      <c r="H3632">
        <v>0</v>
      </c>
      <c r="I3632" t="s">
        <v>15</v>
      </c>
      <c r="J3632" t="s">
        <v>36</v>
      </c>
      <c r="K3632" t="s">
        <v>17</v>
      </c>
      <c r="L3632">
        <f>F3631*G3631*(1-H3631)</f>
        <v>1104.1499999999999</v>
      </c>
    </row>
    <row r="3633" spans="1:12">
      <c r="A3633" t="s">
        <v>4457</v>
      </c>
      <c r="B3633" s="1">
        <v>46232</v>
      </c>
      <c r="C3633" t="s">
        <v>115</v>
      </c>
      <c r="D3633" t="s">
        <v>20</v>
      </c>
      <c r="E3633" t="s">
        <v>40</v>
      </c>
      <c r="F3633">
        <v>1</v>
      </c>
      <c r="G3633">
        <v>1499</v>
      </c>
      <c r="H3633">
        <v>0.05</v>
      </c>
      <c r="I3633" t="s">
        <v>15</v>
      </c>
      <c r="J3633" t="s">
        <v>28</v>
      </c>
      <c r="K3633" t="s">
        <v>17</v>
      </c>
      <c r="L3633">
        <f>F3632*G3632*(1-H3632)</f>
        <v>6495</v>
      </c>
    </row>
    <row r="3634" spans="1:12">
      <c r="A3634" t="s">
        <v>4458</v>
      </c>
      <c r="B3634" s="1">
        <v>46037</v>
      </c>
      <c r="C3634" t="s">
        <v>1374</v>
      </c>
      <c r="D3634" t="s">
        <v>13</v>
      </c>
      <c r="E3634" t="s">
        <v>35</v>
      </c>
      <c r="F3634">
        <v>4</v>
      </c>
      <c r="G3634">
        <v>599</v>
      </c>
      <c r="H3634">
        <v>0.1</v>
      </c>
      <c r="I3634" t="s">
        <v>50</v>
      </c>
      <c r="J3634" t="s">
        <v>22</v>
      </c>
      <c r="K3634" t="s">
        <v>17</v>
      </c>
      <c r="L3634">
        <f>F3633*G3633*(1-H3633)</f>
        <v>1424.05</v>
      </c>
    </row>
    <row r="3635" spans="1:12">
      <c r="A3635" t="s">
        <v>4459</v>
      </c>
      <c r="B3635" s="1">
        <v>46175</v>
      </c>
      <c r="C3635" t="s">
        <v>263</v>
      </c>
      <c r="D3635" t="s">
        <v>56</v>
      </c>
      <c r="E3635" t="s">
        <v>27</v>
      </c>
      <c r="F3635">
        <v>2</v>
      </c>
      <c r="G3635">
        <v>7999</v>
      </c>
      <c r="H3635">
        <v>0</v>
      </c>
      <c r="I3635" t="s">
        <v>32</v>
      </c>
      <c r="J3635" t="s">
        <v>22</v>
      </c>
      <c r="K3635" t="s">
        <v>23</v>
      </c>
      <c r="L3635">
        <f>F3634*G3634*(1-H3634)</f>
        <v>2156.4</v>
      </c>
    </row>
    <row r="3636" spans="1:12">
      <c r="A3636" t="s">
        <v>4460</v>
      </c>
      <c r="B3636" s="1">
        <v>46183</v>
      </c>
      <c r="C3636" t="s">
        <v>1209</v>
      </c>
      <c r="D3636" t="s">
        <v>13</v>
      </c>
      <c r="E3636" t="s">
        <v>27</v>
      </c>
      <c r="F3636">
        <v>3</v>
      </c>
      <c r="G3636">
        <v>1299</v>
      </c>
      <c r="H3636">
        <v>0.15</v>
      </c>
      <c r="I3636" t="s">
        <v>44</v>
      </c>
      <c r="J3636" t="s">
        <v>28</v>
      </c>
      <c r="K3636" t="s">
        <v>37</v>
      </c>
      <c r="L3636">
        <f>F3635*G3635*(1-H3635)</f>
        <v>15998</v>
      </c>
    </row>
    <row r="3637" spans="1:12">
      <c r="A3637" t="s">
        <v>4461</v>
      </c>
      <c r="B3637" s="1">
        <v>46141</v>
      </c>
      <c r="C3637" t="s">
        <v>2167</v>
      </c>
      <c r="D3637" t="s">
        <v>56</v>
      </c>
      <c r="E3637" t="s">
        <v>14</v>
      </c>
      <c r="F3637">
        <v>5</v>
      </c>
      <c r="G3637">
        <v>4999</v>
      </c>
      <c r="H3637">
        <v>0.15</v>
      </c>
      <c r="I3637" t="s">
        <v>32</v>
      </c>
      <c r="J3637" t="s">
        <v>28</v>
      </c>
      <c r="K3637" t="s">
        <v>23</v>
      </c>
      <c r="L3637">
        <f>F3636*G3636*(1-H3636)</f>
        <v>3312.45</v>
      </c>
    </row>
    <row r="3638" spans="1:12">
      <c r="A3638" t="s">
        <v>4462</v>
      </c>
      <c r="B3638" s="1">
        <v>46110</v>
      </c>
      <c r="C3638" t="s">
        <v>2482</v>
      </c>
      <c r="D3638" t="s">
        <v>31</v>
      </c>
      <c r="E3638" t="s">
        <v>21</v>
      </c>
      <c r="F3638">
        <v>5</v>
      </c>
      <c r="G3638">
        <v>499</v>
      </c>
      <c r="H3638">
        <v>0</v>
      </c>
      <c r="I3638" t="s">
        <v>44</v>
      </c>
      <c r="J3638" t="s">
        <v>22</v>
      </c>
      <c r="K3638" t="s">
        <v>17</v>
      </c>
      <c r="L3638">
        <f>F3637*G3637*(1-H3637)</f>
        <v>21245.75</v>
      </c>
    </row>
    <row r="3639" spans="1:12">
      <c r="A3639" t="s">
        <v>4463</v>
      </c>
      <c r="B3639" s="1">
        <v>46087</v>
      </c>
      <c r="C3639" t="s">
        <v>3594</v>
      </c>
      <c r="D3639" t="s">
        <v>26</v>
      </c>
      <c r="E3639" t="s">
        <v>40</v>
      </c>
      <c r="F3639">
        <v>5</v>
      </c>
      <c r="G3639">
        <v>999</v>
      </c>
      <c r="H3639">
        <v>0</v>
      </c>
      <c r="I3639" t="s">
        <v>32</v>
      </c>
      <c r="J3639" t="s">
        <v>28</v>
      </c>
      <c r="K3639" t="s">
        <v>17</v>
      </c>
      <c r="L3639">
        <f>F3638*G3638*(1-H3638)</f>
        <v>2495</v>
      </c>
    </row>
    <row r="3640" spans="1:12">
      <c r="A3640" t="s">
        <v>4464</v>
      </c>
      <c r="B3640" s="1">
        <v>46120</v>
      </c>
      <c r="C3640" t="s">
        <v>1110</v>
      </c>
      <c r="D3640" t="s">
        <v>59</v>
      </c>
      <c r="E3640" t="s">
        <v>21</v>
      </c>
      <c r="F3640">
        <v>4</v>
      </c>
      <c r="G3640">
        <v>4999</v>
      </c>
      <c r="H3640">
        <v>0</v>
      </c>
      <c r="I3640" t="s">
        <v>15</v>
      </c>
      <c r="J3640" t="s">
        <v>36</v>
      </c>
      <c r="K3640" t="s">
        <v>23</v>
      </c>
      <c r="L3640">
        <f>F3639*G3639*(1-H3639)</f>
        <v>4995</v>
      </c>
    </row>
    <row r="3641" spans="1:12">
      <c r="A3641" t="s">
        <v>4465</v>
      </c>
      <c r="B3641" s="1">
        <v>46134</v>
      </c>
      <c r="C3641" t="s">
        <v>1151</v>
      </c>
      <c r="D3641" t="s">
        <v>78</v>
      </c>
      <c r="E3641" t="s">
        <v>27</v>
      </c>
      <c r="F3641">
        <v>5</v>
      </c>
      <c r="G3641">
        <v>4999</v>
      </c>
      <c r="H3641">
        <v>0.1</v>
      </c>
      <c r="I3641" t="s">
        <v>44</v>
      </c>
      <c r="J3641" t="s">
        <v>28</v>
      </c>
      <c r="K3641" t="s">
        <v>17</v>
      </c>
      <c r="L3641">
        <f>F3640*G3640*(1-H3640)</f>
        <v>19996</v>
      </c>
    </row>
    <row r="3642" spans="1:12">
      <c r="A3642" t="s">
        <v>4466</v>
      </c>
      <c r="B3642" s="1">
        <v>46246</v>
      </c>
      <c r="C3642" t="s">
        <v>298</v>
      </c>
      <c r="D3642" t="s">
        <v>26</v>
      </c>
      <c r="E3642" t="s">
        <v>27</v>
      </c>
      <c r="F3642">
        <v>5</v>
      </c>
      <c r="G3642">
        <v>999</v>
      </c>
      <c r="H3642">
        <v>0</v>
      </c>
      <c r="I3642" t="s">
        <v>44</v>
      </c>
      <c r="J3642" t="s">
        <v>51</v>
      </c>
      <c r="K3642" t="s">
        <v>17</v>
      </c>
      <c r="L3642">
        <f>F3641*G3641*(1-H3641)</f>
        <v>22495.5</v>
      </c>
    </row>
    <row r="3643" spans="1:12">
      <c r="A3643" t="s">
        <v>4467</v>
      </c>
      <c r="B3643" s="1">
        <v>46207</v>
      </c>
      <c r="C3643" t="s">
        <v>2277</v>
      </c>
      <c r="D3643" t="s">
        <v>78</v>
      </c>
      <c r="E3643" t="s">
        <v>35</v>
      </c>
      <c r="F3643">
        <v>3</v>
      </c>
      <c r="G3643">
        <v>1499</v>
      </c>
      <c r="H3643">
        <v>0.1</v>
      </c>
      <c r="I3643" t="s">
        <v>47</v>
      </c>
      <c r="J3643" t="s">
        <v>22</v>
      </c>
      <c r="K3643" t="s">
        <v>37</v>
      </c>
      <c r="L3643">
        <f>F3642*G3642*(1-H3642)</f>
        <v>4995</v>
      </c>
    </row>
    <row r="3644" spans="1:12">
      <c r="A3644" t="s">
        <v>4468</v>
      </c>
      <c r="B3644" s="1">
        <v>46061</v>
      </c>
      <c r="C3644" t="s">
        <v>1750</v>
      </c>
      <c r="D3644" t="s">
        <v>56</v>
      </c>
      <c r="E3644" t="s">
        <v>21</v>
      </c>
      <c r="F3644">
        <v>1</v>
      </c>
      <c r="G3644">
        <v>799</v>
      </c>
      <c r="H3644">
        <v>0.15</v>
      </c>
      <c r="I3644" t="s">
        <v>32</v>
      </c>
      <c r="J3644" t="s">
        <v>36</v>
      </c>
      <c r="K3644" t="s">
        <v>17</v>
      </c>
      <c r="L3644">
        <f>F3643*G3643*(1-H3643)</f>
        <v>4047.3</v>
      </c>
    </row>
    <row r="3645" spans="1:12">
      <c r="A3645" t="s">
        <v>4469</v>
      </c>
      <c r="B3645" s="1">
        <v>46110</v>
      </c>
      <c r="C3645" t="s">
        <v>1400</v>
      </c>
      <c r="D3645" t="s">
        <v>20</v>
      </c>
      <c r="E3645" t="s">
        <v>35</v>
      </c>
      <c r="F3645">
        <v>3</v>
      </c>
      <c r="G3645">
        <v>499</v>
      </c>
      <c r="H3645">
        <v>0.15</v>
      </c>
      <c r="I3645" t="s">
        <v>44</v>
      </c>
      <c r="J3645" t="s">
        <v>16</v>
      </c>
      <c r="K3645" t="s">
        <v>17</v>
      </c>
      <c r="L3645">
        <f>F3644*G3644*(1-H3644)</f>
        <v>679.15</v>
      </c>
    </row>
    <row r="3646" spans="1:12">
      <c r="A3646" t="s">
        <v>4470</v>
      </c>
      <c r="B3646" s="1">
        <v>46092</v>
      </c>
      <c r="C3646" t="s">
        <v>92</v>
      </c>
      <c r="D3646" t="s">
        <v>78</v>
      </c>
      <c r="E3646" t="s">
        <v>35</v>
      </c>
      <c r="F3646">
        <v>2</v>
      </c>
      <c r="G3646">
        <v>2499</v>
      </c>
      <c r="H3646">
        <v>0.1</v>
      </c>
      <c r="I3646" t="s">
        <v>50</v>
      </c>
      <c r="J3646" t="s">
        <v>16</v>
      </c>
      <c r="K3646" t="s">
        <v>23</v>
      </c>
      <c r="L3646">
        <f>F3645*G3645*(1-H3645)</f>
        <v>1272.45</v>
      </c>
    </row>
    <row r="3647" spans="1:12">
      <c r="A3647" t="s">
        <v>4471</v>
      </c>
      <c r="B3647" s="1">
        <v>46144</v>
      </c>
      <c r="C3647" t="s">
        <v>987</v>
      </c>
      <c r="D3647" t="s">
        <v>59</v>
      </c>
      <c r="E3647" t="s">
        <v>35</v>
      </c>
      <c r="F3647">
        <v>2</v>
      </c>
      <c r="G3647">
        <v>1299</v>
      </c>
      <c r="H3647">
        <v>0.15</v>
      </c>
      <c r="I3647" t="s">
        <v>44</v>
      </c>
      <c r="J3647" t="s">
        <v>51</v>
      </c>
      <c r="K3647" t="s">
        <v>23</v>
      </c>
      <c r="L3647">
        <f>F3646*G3646*(1-H3646)</f>
        <v>4498.2</v>
      </c>
    </row>
    <row r="3648" spans="1:12">
      <c r="A3648" t="s">
        <v>4472</v>
      </c>
      <c r="B3648" s="1">
        <v>46046</v>
      </c>
      <c r="C3648" t="s">
        <v>1634</v>
      </c>
      <c r="D3648" t="s">
        <v>78</v>
      </c>
      <c r="E3648" t="s">
        <v>14</v>
      </c>
      <c r="F3648">
        <v>1</v>
      </c>
      <c r="G3648">
        <v>7999</v>
      </c>
      <c r="H3648">
        <v>0.15</v>
      </c>
      <c r="I3648" t="s">
        <v>44</v>
      </c>
      <c r="J3648" t="s">
        <v>16</v>
      </c>
      <c r="K3648" t="s">
        <v>17</v>
      </c>
      <c r="L3648">
        <f>F3647*G3647*(1-H3647)</f>
        <v>2208.2999999999997</v>
      </c>
    </row>
    <row r="3649" spans="1:12">
      <c r="A3649" t="s">
        <v>4473</v>
      </c>
      <c r="B3649" s="1">
        <v>46068</v>
      </c>
      <c r="C3649" t="s">
        <v>794</v>
      </c>
      <c r="D3649" t="s">
        <v>43</v>
      </c>
      <c r="E3649" t="s">
        <v>40</v>
      </c>
      <c r="F3649">
        <v>4</v>
      </c>
      <c r="G3649">
        <v>7999</v>
      </c>
      <c r="H3649">
        <v>0</v>
      </c>
      <c r="I3649" t="s">
        <v>44</v>
      </c>
      <c r="J3649" t="s">
        <v>22</v>
      </c>
      <c r="K3649" t="s">
        <v>37</v>
      </c>
      <c r="L3649">
        <f>F3648*G3648*(1-H3648)</f>
        <v>6799.15</v>
      </c>
    </row>
    <row r="3650" spans="1:12">
      <c r="A3650" t="s">
        <v>4474</v>
      </c>
      <c r="B3650" s="1">
        <v>46088</v>
      </c>
      <c r="C3650" t="s">
        <v>1390</v>
      </c>
      <c r="D3650" t="s">
        <v>26</v>
      </c>
      <c r="E3650" t="s">
        <v>21</v>
      </c>
      <c r="F3650">
        <v>2</v>
      </c>
      <c r="G3650">
        <v>499</v>
      </c>
      <c r="H3650">
        <v>0.1</v>
      </c>
      <c r="I3650" t="s">
        <v>47</v>
      </c>
      <c r="J3650" t="s">
        <v>51</v>
      </c>
      <c r="K3650" t="s">
        <v>17</v>
      </c>
      <c r="L3650">
        <f>F3649*G3649*(1-H3649)</f>
        <v>31996</v>
      </c>
    </row>
    <row r="3651" spans="1:12">
      <c r="A3651" t="s">
        <v>4475</v>
      </c>
      <c r="B3651" s="1">
        <v>46023</v>
      </c>
      <c r="C3651" t="s">
        <v>470</v>
      </c>
      <c r="D3651" t="s">
        <v>59</v>
      </c>
      <c r="E3651" t="s">
        <v>21</v>
      </c>
      <c r="F3651">
        <v>3</v>
      </c>
      <c r="G3651">
        <v>1499</v>
      </c>
      <c r="H3651">
        <v>0.1</v>
      </c>
      <c r="I3651" t="s">
        <v>50</v>
      </c>
      <c r="J3651" t="s">
        <v>36</v>
      </c>
      <c r="K3651" t="s">
        <v>37</v>
      </c>
      <c r="L3651">
        <f>F3650*G3650*(1-H3650)</f>
        <v>898.2</v>
      </c>
    </row>
    <row r="3652" spans="1:12">
      <c r="A3652" t="s">
        <v>4476</v>
      </c>
      <c r="B3652" s="1">
        <v>46252</v>
      </c>
      <c r="C3652" t="s">
        <v>2322</v>
      </c>
      <c r="D3652" t="s">
        <v>71</v>
      </c>
      <c r="E3652" t="s">
        <v>14</v>
      </c>
      <c r="F3652">
        <v>4</v>
      </c>
      <c r="G3652">
        <v>1299</v>
      </c>
      <c r="H3652">
        <v>0</v>
      </c>
      <c r="I3652" t="s">
        <v>32</v>
      </c>
      <c r="J3652" t="s">
        <v>16</v>
      </c>
      <c r="K3652" t="s">
        <v>23</v>
      </c>
      <c r="L3652">
        <f>F3651*G3651*(1-H3651)</f>
        <v>4047.3</v>
      </c>
    </row>
    <row r="3653" spans="1:12">
      <c r="A3653" t="s">
        <v>4477</v>
      </c>
      <c r="B3653" s="1">
        <v>46049</v>
      </c>
      <c r="C3653" t="s">
        <v>3490</v>
      </c>
      <c r="D3653" t="s">
        <v>56</v>
      </c>
      <c r="E3653" t="s">
        <v>27</v>
      </c>
      <c r="F3653">
        <v>1</v>
      </c>
      <c r="G3653">
        <v>2499</v>
      </c>
      <c r="H3653">
        <v>0</v>
      </c>
      <c r="I3653" t="s">
        <v>44</v>
      </c>
      <c r="J3653" t="s">
        <v>51</v>
      </c>
      <c r="K3653" t="s">
        <v>17</v>
      </c>
      <c r="L3653">
        <f>F3652*G3652*(1-H3652)</f>
        <v>5196</v>
      </c>
    </row>
    <row r="3654" spans="1:12">
      <c r="A3654" t="s">
        <v>4478</v>
      </c>
      <c r="B3654" s="1">
        <v>46295</v>
      </c>
      <c r="C3654" t="s">
        <v>1572</v>
      </c>
      <c r="D3654" t="s">
        <v>62</v>
      </c>
      <c r="E3654" t="s">
        <v>21</v>
      </c>
      <c r="F3654">
        <v>1</v>
      </c>
      <c r="G3654">
        <v>1999</v>
      </c>
      <c r="H3654">
        <v>0</v>
      </c>
      <c r="I3654" t="s">
        <v>44</v>
      </c>
      <c r="J3654" t="s">
        <v>51</v>
      </c>
      <c r="K3654" t="s">
        <v>17</v>
      </c>
      <c r="L3654">
        <f>F3653*G3653*(1-H3653)</f>
        <v>2499</v>
      </c>
    </row>
    <row r="3655" spans="1:12">
      <c r="A3655" t="s">
        <v>4479</v>
      </c>
      <c r="B3655" s="1">
        <v>46071</v>
      </c>
      <c r="C3655" t="s">
        <v>154</v>
      </c>
      <c r="D3655" t="s">
        <v>62</v>
      </c>
      <c r="E3655" t="s">
        <v>40</v>
      </c>
      <c r="F3655">
        <v>1</v>
      </c>
      <c r="G3655">
        <v>1999</v>
      </c>
      <c r="H3655">
        <v>0</v>
      </c>
      <c r="I3655" t="s">
        <v>44</v>
      </c>
      <c r="J3655" t="s">
        <v>28</v>
      </c>
      <c r="K3655" t="s">
        <v>17</v>
      </c>
      <c r="L3655">
        <f>F3654*G3654*(1-H3654)</f>
        <v>1999</v>
      </c>
    </row>
    <row r="3656" spans="1:12">
      <c r="A3656" t="s">
        <v>4480</v>
      </c>
      <c r="B3656" s="1">
        <v>46077</v>
      </c>
      <c r="C3656" t="s">
        <v>123</v>
      </c>
      <c r="D3656" t="s">
        <v>20</v>
      </c>
      <c r="E3656" t="s">
        <v>14</v>
      </c>
      <c r="F3656">
        <v>2</v>
      </c>
      <c r="G3656">
        <v>1299</v>
      </c>
      <c r="H3656">
        <v>0</v>
      </c>
      <c r="I3656" t="s">
        <v>32</v>
      </c>
      <c r="J3656" t="s">
        <v>22</v>
      </c>
      <c r="K3656" t="s">
        <v>23</v>
      </c>
      <c r="L3656">
        <f>F3655*G3655*(1-H3655)</f>
        <v>1999</v>
      </c>
    </row>
    <row r="3657" spans="1:12">
      <c r="A3657" t="s">
        <v>4481</v>
      </c>
      <c r="B3657" s="1">
        <v>46221</v>
      </c>
      <c r="C3657" t="s">
        <v>2353</v>
      </c>
      <c r="D3657" t="s">
        <v>43</v>
      </c>
      <c r="E3657" t="s">
        <v>40</v>
      </c>
      <c r="F3657">
        <v>4</v>
      </c>
      <c r="G3657">
        <v>2499</v>
      </c>
      <c r="H3657">
        <v>0</v>
      </c>
      <c r="I3657" t="s">
        <v>47</v>
      </c>
      <c r="J3657" t="s">
        <v>51</v>
      </c>
      <c r="K3657" t="s">
        <v>17</v>
      </c>
      <c r="L3657">
        <f>F3656*G3656*(1-H3656)</f>
        <v>2598</v>
      </c>
    </row>
    <row r="3658" spans="1:12">
      <c r="A3658" t="s">
        <v>4482</v>
      </c>
      <c r="B3658" s="1">
        <v>46246</v>
      </c>
      <c r="C3658" t="s">
        <v>1951</v>
      </c>
      <c r="D3658" t="s">
        <v>71</v>
      </c>
      <c r="E3658" t="s">
        <v>21</v>
      </c>
      <c r="F3658">
        <v>4</v>
      </c>
      <c r="G3658">
        <v>4999</v>
      </c>
      <c r="H3658">
        <v>0</v>
      </c>
      <c r="I3658" t="s">
        <v>47</v>
      </c>
      <c r="J3658" t="s">
        <v>16</v>
      </c>
      <c r="K3658" t="s">
        <v>17</v>
      </c>
      <c r="L3658">
        <f>F3657*G3657*(1-H3657)</f>
        <v>9996</v>
      </c>
    </row>
    <row r="3659" spans="1:12">
      <c r="A3659" t="s">
        <v>4483</v>
      </c>
      <c r="B3659" s="1">
        <v>46202</v>
      </c>
      <c r="C3659" t="s">
        <v>106</v>
      </c>
      <c r="D3659" t="s">
        <v>43</v>
      </c>
      <c r="E3659" t="s">
        <v>14</v>
      </c>
      <c r="F3659">
        <v>3</v>
      </c>
      <c r="G3659">
        <v>1499</v>
      </c>
      <c r="H3659">
        <v>0</v>
      </c>
      <c r="I3659" t="s">
        <v>50</v>
      </c>
      <c r="J3659" t="s">
        <v>51</v>
      </c>
      <c r="K3659" t="s">
        <v>17</v>
      </c>
      <c r="L3659">
        <f>F3658*G3658*(1-H3658)</f>
        <v>19996</v>
      </c>
    </row>
    <row r="3660" spans="1:12">
      <c r="A3660" t="s">
        <v>4484</v>
      </c>
      <c r="B3660" s="1">
        <v>46025</v>
      </c>
      <c r="C3660" t="s">
        <v>1561</v>
      </c>
      <c r="D3660" t="s">
        <v>13</v>
      </c>
      <c r="E3660" t="s">
        <v>35</v>
      </c>
      <c r="F3660">
        <v>5</v>
      </c>
      <c r="G3660">
        <v>1999</v>
      </c>
      <c r="H3660">
        <v>0.1</v>
      </c>
      <c r="I3660" t="s">
        <v>47</v>
      </c>
      <c r="J3660" t="s">
        <v>28</v>
      </c>
      <c r="K3660" t="s">
        <v>17</v>
      </c>
      <c r="L3660">
        <f>F3659*G3659*(1-H3659)</f>
        <v>4497</v>
      </c>
    </row>
    <row r="3661" spans="1:12">
      <c r="A3661" t="s">
        <v>4485</v>
      </c>
      <c r="B3661" s="1">
        <v>46142</v>
      </c>
      <c r="C3661" t="s">
        <v>399</v>
      </c>
      <c r="D3661" t="s">
        <v>13</v>
      </c>
      <c r="E3661" t="s">
        <v>14</v>
      </c>
      <c r="F3661">
        <v>5</v>
      </c>
      <c r="G3661">
        <v>1299</v>
      </c>
      <c r="H3661">
        <v>0</v>
      </c>
      <c r="I3661" t="s">
        <v>47</v>
      </c>
      <c r="J3661" t="s">
        <v>22</v>
      </c>
      <c r="K3661" t="s">
        <v>37</v>
      </c>
      <c r="L3661">
        <f>F3660*G3660*(1-H3660)</f>
        <v>8995.5</v>
      </c>
    </row>
    <row r="3662" spans="1:12">
      <c r="A3662" t="s">
        <v>4486</v>
      </c>
      <c r="B3662" s="1">
        <v>46215</v>
      </c>
      <c r="C3662" t="s">
        <v>2040</v>
      </c>
      <c r="D3662" t="s">
        <v>59</v>
      </c>
      <c r="E3662" t="s">
        <v>21</v>
      </c>
      <c r="F3662">
        <v>2</v>
      </c>
      <c r="G3662">
        <v>999</v>
      </c>
      <c r="H3662">
        <v>0</v>
      </c>
      <c r="I3662" t="s">
        <v>47</v>
      </c>
      <c r="J3662" t="s">
        <v>36</v>
      </c>
      <c r="K3662" t="s">
        <v>17</v>
      </c>
      <c r="L3662">
        <f>F3661*G3661*(1-H3661)</f>
        <v>6495</v>
      </c>
    </row>
    <row r="3663" spans="1:12">
      <c r="A3663" t="s">
        <v>4487</v>
      </c>
      <c r="B3663" s="1">
        <v>46156</v>
      </c>
      <c r="C3663" t="s">
        <v>1097</v>
      </c>
      <c r="D3663" t="s">
        <v>71</v>
      </c>
      <c r="E3663" t="s">
        <v>21</v>
      </c>
      <c r="F3663">
        <v>1</v>
      </c>
      <c r="G3663">
        <v>499</v>
      </c>
      <c r="H3663">
        <v>0</v>
      </c>
      <c r="I3663" t="s">
        <v>32</v>
      </c>
      <c r="J3663" t="s">
        <v>51</v>
      </c>
      <c r="K3663" t="s">
        <v>37</v>
      </c>
      <c r="L3663">
        <f>F3662*G3662*(1-H3662)</f>
        <v>1998</v>
      </c>
    </row>
    <row r="3664" spans="1:12">
      <c r="A3664" t="s">
        <v>4488</v>
      </c>
      <c r="B3664" s="1">
        <v>46056</v>
      </c>
      <c r="C3664" t="s">
        <v>963</v>
      </c>
      <c r="D3664" t="s">
        <v>59</v>
      </c>
      <c r="E3664" t="s">
        <v>14</v>
      </c>
      <c r="F3664">
        <v>4</v>
      </c>
      <c r="G3664">
        <v>999</v>
      </c>
      <c r="H3664">
        <v>0.05</v>
      </c>
      <c r="I3664" t="s">
        <v>32</v>
      </c>
      <c r="J3664" t="s">
        <v>22</v>
      </c>
      <c r="K3664" t="s">
        <v>17</v>
      </c>
      <c r="L3664">
        <f>F3663*G3663*(1-H3663)</f>
        <v>499</v>
      </c>
    </row>
    <row r="3665" spans="1:12">
      <c r="A3665" t="s">
        <v>4489</v>
      </c>
      <c r="B3665" s="1">
        <v>46273</v>
      </c>
      <c r="C3665" t="s">
        <v>3336</v>
      </c>
      <c r="D3665" t="s">
        <v>59</v>
      </c>
      <c r="E3665" t="s">
        <v>27</v>
      </c>
      <c r="F3665">
        <v>5</v>
      </c>
      <c r="G3665">
        <v>7999</v>
      </c>
      <c r="H3665">
        <v>0</v>
      </c>
      <c r="I3665" t="s">
        <v>50</v>
      </c>
      <c r="J3665" t="s">
        <v>22</v>
      </c>
      <c r="K3665" t="s">
        <v>17</v>
      </c>
      <c r="L3665">
        <f>F3664*G3664*(1-H3664)</f>
        <v>3796.2</v>
      </c>
    </row>
    <row r="3666" spans="1:12">
      <c r="A3666" t="s">
        <v>4490</v>
      </c>
      <c r="B3666" s="1">
        <v>46094</v>
      </c>
      <c r="C3666" t="s">
        <v>1235</v>
      </c>
      <c r="D3666" t="s">
        <v>71</v>
      </c>
      <c r="E3666" t="s">
        <v>35</v>
      </c>
      <c r="F3666">
        <v>2</v>
      </c>
      <c r="G3666">
        <v>599</v>
      </c>
      <c r="H3666">
        <v>0</v>
      </c>
      <c r="I3666" t="s">
        <v>15</v>
      </c>
      <c r="J3666" t="s">
        <v>16</v>
      </c>
      <c r="K3666" t="s">
        <v>17</v>
      </c>
      <c r="L3666">
        <f>F3665*G3665*(1-H3665)</f>
        <v>39995</v>
      </c>
    </row>
    <row r="3667" spans="1:12">
      <c r="A3667" t="s">
        <v>4491</v>
      </c>
      <c r="B3667" s="1">
        <v>46073</v>
      </c>
      <c r="C3667" t="s">
        <v>292</v>
      </c>
      <c r="D3667" t="s">
        <v>78</v>
      </c>
      <c r="E3667" t="s">
        <v>27</v>
      </c>
      <c r="F3667">
        <v>5</v>
      </c>
      <c r="G3667">
        <v>1499</v>
      </c>
      <c r="H3667">
        <v>0.15</v>
      </c>
      <c r="I3667" t="s">
        <v>50</v>
      </c>
      <c r="J3667" t="s">
        <v>51</v>
      </c>
      <c r="K3667" t="s">
        <v>17</v>
      </c>
      <c r="L3667">
        <f>F3666*G3666*(1-H3666)</f>
        <v>1198</v>
      </c>
    </row>
    <row r="3668" spans="1:12">
      <c r="A3668" t="s">
        <v>4492</v>
      </c>
      <c r="B3668" s="1">
        <v>46153</v>
      </c>
      <c r="C3668" t="s">
        <v>450</v>
      </c>
      <c r="D3668" t="s">
        <v>20</v>
      </c>
      <c r="E3668" t="s">
        <v>14</v>
      </c>
      <c r="F3668">
        <v>5</v>
      </c>
      <c r="G3668">
        <v>4999</v>
      </c>
      <c r="H3668">
        <v>0.15</v>
      </c>
      <c r="I3668" t="s">
        <v>32</v>
      </c>
      <c r="J3668" t="s">
        <v>28</v>
      </c>
      <c r="K3668" t="s">
        <v>37</v>
      </c>
      <c r="L3668">
        <f>F3667*G3667*(1-H3667)</f>
        <v>6370.75</v>
      </c>
    </row>
    <row r="3669" spans="1:12">
      <c r="A3669" t="s">
        <v>4493</v>
      </c>
      <c r="B3669" s="1">
        <v>46161</v>
      </c>
      <c r="C3669" t="s">
        <v>1993</v>
      </c>
      <c r="D3669" t="s">
        <v>13</v>
      </c>
      <c r="E3669" t="s">
        <v>27</v>
      </c>
      <c r="F3669">
        <v>1</v>
      </c>
      <c r="G3669">
        <v>1499</v>
      </c>
      <c r="H3669">
        <v>0.15</v>
      </c>
      <c r="I3669" t="s">
        <v>44</v>
      </c>
      <c r="J3669" t="s">
        <v>28</v>
      </c>
      <c r="K3669" t="s">
        <v>17</v>
      </c>
      <c r="L3669">
        <f>F3668*G3668*(1-H3668)</f>
        <v>21245.75</v>
      </c>
    </row>
    <row r="3670" spans="1:12">
      <c r="A3670" t="s">
        <v>4494</v>
      </c>
      <c r="B3670" s="1">
        <v>46095</v>
      </c>
      <c r="C3670" t="s">
        <v>963</v>
      </c>
      <c r="D3670" t="s">
        <v>71</v>
      </c>
      <c r="E3670" t="s">
        <v>40</v>
      </c>
      <c r="F3670">
        <v>1</v>
      </c>
      <c r="G3670">
        <v>999</v>
      </c>
      <c r="H3670">
        <v>0.15</v>
      </c>
      <c r="I3670" t="s">
        <v>44</v>
      </c>
      <c r="J3670" t="s">
        <v>22</v>
      </c>
      <c r="K3670" t="s">
        <v>23</v>
      </c>
      <c r="L3670">
        <f>F3669*G3669*(1-H3669)</f>
        <v>1274.1499999999999</v>
      </c>
    </row>
    <row r="3671" spans="1:12">
      <c r="A3671" t="s">
        <v>4495</v>
      </c>
      <c r="B3671" s="1">
        <v>46127</v>
      </c>
      <c r="C3671" t="s">
        <v>193</v>
      </c>
      <c r="D3671" t="s">
        <v>20</v>
      </c>
      <c r="E3671" t="s">
        <v>14</v>
      </c>
      <c r="F3671">
        <v>2</v>
      </c>
      <c r="G3671">
        <v>499</v>
      </c>
      <c r="H3671">
        <v>0</v>
      </c>
      <c r="I3671" t="s">
        <v>47</v>
      </c>
      <c r="J3671" t="s">
        <v>28</v>
      </c>
      <c r="K3671" t="s">
        <v>37</v>
      </c>
      <c r="L3671">
        <f>F3670*G3670*(1-H3670)</f>
        <v>849.15</v>
      </c>
    </row>
    <row r="3672" spans="1:12">
      <c r="A3672" t="s">
        <v>4496</v>
      </c>
      <c r="B3672" s="1">
        <v>46047</v>
      </c>
      <c r="C3672" t="s">
        <v>121</v>
      </c>
      <c r="D3672" t="s">
        <v>43</v>
      </c>
      <c r="E3672" t="s">
        <v>14</v>
      </c>
      <c r="F3672">
        <v>3</v>
      </c>
      <c r="G3672">
        <v>999</v>
      </c>
      <c r="H3672">
        <v>0</v>
      </c>
      <c r="I3672" t="s">
        <v>47</v>
      </c>
      <c r="J3672" t="s">
        <v>36</v>
      </c>
      <c r="K3672" t="s">
        <v>23</v>
      </c>
      <c r="L3672">
        <f>F3671*G3671*(1-H3671)</f>
        <v>998</v>
      </c>
    </row>
    <row r="3673" spans="1:12">
      <c r="A3673" t="s">
        <v>4497</v>
      </c>
      <c r="B3673" s="1">
        <v>46252</v>
      </c>
      <c r="C3673" t="s">
        <v>349</v>
      </c>
      <c r="D3673" t="s">
        <v>31</v>
      </c>
      <c r="E3673" t="s">
        <v>21</v>
      </c>
      <c r="F3673">
        <v>1</v>
      </c>
      <c r="G3673">
        <v>1499</v>
      </c>
      <c r="H3673">
        <v>0.1</v>
      </c>
      <c r="I3673" t="s">
        <v>50</v>
      </c>
      <c r="J3673" t="s">
        <v>16</v>
      </c>
      <c r="K3673" t="s">
        <v>23</v>
      </c>
      <c r="L3673">
        <f>F3672*G3672*(1-H3672)</f>
        <v>2997</v>
      </c>
    </row>
    <row r="3674" spans="1:12">
      <c r="A3674" t="s">
        <v>4498</v>
      </c>
      <c r="B3674" s="1">
        <v>46227</v>
      </c>
      <c r="C3674" t="s">
        <v>1349</v>
      </c>
      <c r="D3674" t="s">
        <v>43</v>
      </c>
      <c r="E3674" t="s">
        <v>14</v>
      </c>
      <c r="F3674">
        <v>4</v>
      </c>
      <c r="G3674">
        <v>999</v>
      </c>
      <c r="H3674">
        <v>0</v>
      </c>
      <c r="I3674" t="s">
        <v>47</v>
      </c>
      <c r="J3674" t="s">
        <v>28</v>
      </c>
      <c r="K3674" t="s">
        <v>17</v>
      </c>
      <c r="L3674">
        <f>F3673*G3673*(1-H3673)</f>
        <v>1349.1000000000001</v>
      </c>
    </row>
    <row r="3675" spans="1:12">
      <c r="A3675" t="s">
        <v>4499</v>
      </c>
      <c r="B3675" s="1">
        <v>46254</v>
      </c>
      <c r="C3675" t="s">
        <v>1211</v>
      </c>
      <c r="D3675" t="s">
        <v>71</v>
      </c>
      <c r="E3675" t="s">
        <v>35</v>
      </c>
      <c r="F3675">
        <v>2</v>
      </c>
      <c r="G3675">
        <v>1999</v>
      </c>
      <c r="H3675">
        <v>0.15</v>
      </c>
      <c r="I3675" t="s">
        <v>44</v>
      </c>
      <c r="J3675" t="s">
        <v>36</v>
      </c>
      <c r="K3675" t="s">
        <v>17</v>
      </c>
      <c r="L3675">
        <f>F3674*G3674*(1-H3674)</f>
        <v>3996</v>
      </c>
    </row>
    <row r="3676" spans="1:12">
      <c r="A3676" t="s">
        <v>4500</v>
      </c>
      <c r="B3676" s="1">
        <v>46185</v>
      </c>
      <c r="C3676" t="s">
        <v>1395</v>
      </c>
      <c r="D3676" t="s">
        <v>78</v>
      </c>
      <c r="E3676" t="s">
        <v>40</v>
      </c>
      <c r="F3676">
        <v>2</v>
      </c>
      <c r="G3676">
        <v>499</v>
      </c>
      <c r="H3676">
        <v>0</v>
      </c>
      <c r="I3676" t="s">
        <v>50</v>
      </c>
      <c r="J3676" t="s">
        <v>51</v>
      </c>
      <c r="K3676" t="s">
        <v>17</v>
      </c>
      <c r="L3676">
        <f>F3675*G3675*(1-H3675)</f>
        <v>3398.2999999999997</v>
      </c>
    </row>
    <row r="3677" spans="1:12">
      <c r="A3677" t="s">
        <v>4501</v>
      </c>
      <c r="B3677" s="1">
        <v>46174</v>
      </c>
      <c r="C3677" t="s">
        <v>2807</v>
      </c>
      <c r="D3677" t="s">
        <v>62</v>
      </c>
      <c r="E3677" t="s">
        <v>14</v>
      </c>
      <c r="F3677">
        <v>4</v>
      </c>
      <c r="G3677">
        <v>799</v>
      </c>
      <c r="H3677">
        <v>0.1</v>
      </c>
      <c r="I3677" t="s">
        <v>44</v>
      </c>
      <c r="J3677" t="s">
        <v>51</v>
      </c>
      <c r="K3677" t="s">
        <v>17</v>
      </c>
      <c r="L3677">
        <f>F3676*G3676*(1-H3676)</f>
        <v>998</v>
      </c>
    </row>
    <row r="3678" spans="1:12">
      <c r="A3678" t="s">
        <v>4502</v>
      </c>
      <c r="B3678" s="1">
        <v>46072</v>
      </c>
      <c r="C3678" t="s">
        <v>685</v>
      </c>
      <c r="D3678" t="s">
        <v>26</v>
      </c>
      <c r="E3678" t="s">
        <v>35</v>
      </c>
      <c r="F3678">
        <v>2</v>
      </c>
      <c r="G3678">
        <v>4999</v>
      </c>
      <c r="H3678">
        <v>0.15</v>
      </c>
      <c r="I3678" t="s">
        <v>15</v>
      </c>
      <c r="J3678" t="s">
        <v>28</v>
      </c>
      <c r="K3678" t="s">
        <v>17</v>
      </c>
      <c r="L3678">
        <f>F3677*G3677*(1-H3677)</f>
        <v>2876.4</v>
      </c>
    </row>
    <row r="3679" spans="1:12">
      <c r="A3679" t="s">
        <v>4503</v>
      </c>
      <c r="B3679" s="1">
        <v>46116</v>
      </c>
      <c r="C3679" t="s">
        <v>1454</v>
      </c>
      <c r="D3679" t="s">
        <v>59</v>
      </c>
      <c r="E3679" t="s">
        <v>14</v>
      </c>
      <c r="F3679">
        <v>1</v>
      </c>
      <c r="G3679">
        <v>1999</v>
      </c>
      <c r="H3679">
        <v>0</v>
      </c>
      <c r="I3679" t="s">
        <v>32</v>
      </c>
      <c r="J3679" t="s">
        <v>51</v>
      </c>
      <c r="K3679" t="s">
        <v>23</v>
      </c>
      <c r="L3679">
        <f>F3678*G3678*(1-H3678)</f>
        <v>8498.2999999999993</v>
      </c>
    </row>
    <row r="3680" spans="1:12">
      <c r="A3680" t="s">
        <v>4504</v>
      </c>
      <c r="B3680" s="1">
        <v>46131</v>
      </c>
      <c r="C3680" t="s">
        <v>1777</v>
      </c>
      <c r="D3680" t="s">
        <v>56</v>
      </c>
      <c r="E3680" t="s">
        <v>40</v>
      </c>
      <c r="F3680">
        <v>1</v>
      </c>
      <c r="G3680">
        <v>999</v>
      </c>
      <c r="H3680">
        <v>0</v>
      </c>
      <c r="I3680" t="s">
        <v>47</v>
      </c>
      <c r="J3680" t="s">
        <v>28</v>
      </c>
      <c r="K3680" t="s">
        <v>37</v>
      </c>
      <c r="L3680">
        <f>F3679*G3679*(1-H3679)</f>
        <v>1999</v>
      </c>
    </row>
    <row r="3681" spans="1:12">
      <c r="A3681" t="s">
        <v>4505</v>
      </c>
      <c r="B3681" s="1">
        <v>46138</v>
      </c>
      <c r="C3681" t="s">
        <v>312</v>
      </c>
      <c r="D3681" t="s">
        <v>78</v>
      </c>
      <c r="E3681" t="s">
        <v>35</v>
      </c>
      <c r="F3681">
        <v>2</v>
      </c>
      <c r="G3681">
        <v>2499</v>
      </c>
      <c r="H3681">
        <v>0.05</v>
      </c>
      <c r="I3681" t="s">
        <v>15</v>
      </c>
      <c r="J3681" t="s">
        <v>51</v>
      </c>
      <c r="K3681" t="s">
        <v>37</v>
      </c>
      <c r="L3681">
        <f>F3680*G3680*(1-H3680)</f>
        <v>999</v>
      </c>
    </row>
    <row r="3682" spans="1:12">
      <c r="A3682" t="s">
        <v>4506</v>
      </c>
      <c r="B3682" s="1">
        <v>46109</v>
      </c>
      <c r="C3682" t="s">
        <v>521</v>
      </c>
      <c r="D3682" t="s">
        <v>13</v>
      </c>
      <c r="E3682" t="s">
        <v>35</v>
      </c>
      <c r="F3682">
        <v>5</v>
      </c>
      <c r="G3682">
        <v>999</v>
      </c>
      <c r="H3682">
        <v>0</v>
      </c>
      <c r="I3682" t="s">
        <v>15</v>
      </c>
      <c r="J3682" t="s">
        <v>51</v>
      </c>
      <c r="K3682" t="s">
        <v>17</v>
      </c>
      <c r="L3682">
        <f>F3681*G3681*(1-H3681)</f>
        <v>4748.0999999999995</v>
      </c>
    </row>
    <row r="3683" spans="1:12">
      <c r="A3683" t="s">
        <v>4507</v>
      </c>
      <c r="B3683" s="1">
        <v>46170</v>
      </c>
      <c r="C3683" t="s">
        <v>545</v>
      </c>
      <c r="D3683" t="s">
        <v>71</v>
      </c>
      <c r="E3683" t="s">
        <v>21</v>
      </c>
      <c r="F3683">
        <v>4</v>
      </c>
      <c r="G3683">
        <v>1499</v>
      </c>
      <c r="H3683">
        <v>0.1</v>
      </c>
      <c r="I3683" t="s">
        <v>50</v>
      </c>
      <c r="J3683" t="s">
        <v>51</v>
      </c>
      <c r="K3683" t="s">
        <v>37</v>
      </c>
      <c r="L3683">
        <f>F3682*G3682*(1-H3682)</f>
        <v>4995</v>
      </c>
    </row>
    <row r="3684" spans="1:12">
      <c r="A3684" t="s">
        <v>4508</v>
      </c>
      <c r="B3684" s="1">
        <v>46169</v>
      </c>
      <c r="C3684" t="s">
        <v>4509</v>
      </c>
      <c r="D3684" t="s">
        <v>78</v>
      </c>
      <c r="E3684" t="s">
        <v>21</v>
      </c>
      <c r="F3684">
        <v>5</v>
      </c>
      <c r="G3684">
        <v>599</v>
      </c>
      <c r="H3684">
        <v>0.05</v>
      </c>
      <c r="I3684" t="s">
        <v>44</v>
      </c>
      <c r="J3684" t="s">
        <v>22</v>
      </c>
      <c r="K3684" t="s">
        <v>17</v>
      </c>
      <c r="L3684">
        <f>F3683*G3683*(1-H3683)</f>
        <v>5396.4000000000005</v>
      </c>
    </row>
    <row r="3685" spans="1:12">
      <c r="A3685" t="s">
        <v>4510</v>
      </c>
      <c r="B3685" s="1">
        <v>46127</v>
      </c>
      <c r="C3685" t="s">
        <v>2571</v>
      </c>
      <c r="D3685" t="s">
        <v>26</v>
      </c>
      <c r="E3685" t="s">
        <v>40</v>
      </c>
      <c r="F3685">
        <v>4</v>
      </c>
      <c r="G3685">
        <v>799</v>
      </c>
      <c r="H3685">
        <v>0.1</v>
      </c>
      <c r="I3685" t="s">
        <v>32</v>
      </c>
      <c r="J3685" t="s">
        <v>36</v>
      </c>
      <c r="K3685" t="s">
        <v>17</v>
      </c>
      <c r="L3685">
        <f>F3684*G3684*(1-H3684)</f>
        <v>2845.25</v>
      </c>
    </row>
    <row r="3686" spans="1:12">
      <c r="A3686" t="s">
        <v>4511</v>
      </c>
      <c r="B3686" s="1">
        <v>46139</v>
      </c>
      <c r="C3686" t="s">
        <v>685</v>
      </c>
      <c r="D3686" t="s">
        <v>26</v>
      </c>
      <c r="E3686" t="s">
        <v>14</v>
      </c>
      <c r="F3686">
        <v>4</v>
      </c>
      <c r="G3686">
        <v>4999</v>
      </c>
      <c r="H3686">
        <v>0.1</v>
      </c>
      <c r="I3686" t="s">
        <v>50</v>
      </c>
      <c r="J3686" t="s">
        <v>22</v>
      </c>
      <c r="K3686" t="s">
        <v>17</v>
      </c>
      <c r="L3686">
        <f>F3685*G3685*(1-H3685)</f>
        <v>2876.4</v>
      </c>
    </row>
    <row r="3687" spans="1:12">
      <c r="A3687" t="s">
        <v>4512</v>
      </c>
      <c r="B3687" s="1">
        <v>46068</v>
      </c>
      <c r="C3687" t="s">
        <v>543</v>
      </c>
      <c r="D3687" t="s">
        <v>43</v>
      </c>
      <c r="E3687" t="s">
        <v>14</v>
      </c>
      <c r="F3687">
        <v>4</v>
      </c>
      <c r="G3687">
        <v>1299</v>
      </c>
      <c r="H3687">
        <v>0.05</v>
      </c>
      <c r="I3687" t="s">
        <v>44</v>
      </c>
      <c r="J3687" t="s">
        <v>22</v>
      </c>
      <c r="K3687" t="s">
        <v>37</v>
      </c>
      <c r="L3687">
        <f>F3686*G3686*(1-H3686)</f>
        <v>17996.400000000001</v>
      </c>
    </row>
    <row r="3688" spans="1:12">
      <c r="A3688" t="s">
        <v>4513</v>
      </c>
      <c r="B3688" s="1">
        <v>46121</v>
      </c>
      <c r="C3688" t="s">
        <v>2601</v>
      </c>
      <c r="D3688" t="s">
        <v>71</v>
      </c>
      <c r="E3688" t="s">
        <v>27</v>
      </c>
      <c r="F3688">
        <v>1</v>
      </c>
      <c r="G3688">
        <v>599</v>
      </c>
      <c r="H3688">
        <v>0.1</v>
      </c>
      <c r="I3688" t="s">
        <v>15</v>
      </c>
      <c r="J3688" t="s">
        <v>28</v>
      </c>
      <c r="K3688" t="s">
        <v>23</v>
      </c>
      <c r="L3688">
        <f>F3687*G3687*(1-H3687)</f>
        <v>4936.2</v>
      </c>
    </row>
    <row r="3689" spans="1:12">
      <c r="A3689" t="s">
        <v>4514</v>
      </c>
      <c r="B3689" s="1">
        <v>46172</v>
      </c>
      <c r="C3689" t="s">
        <v>663</v>
      </c>
      <c r="D3689" t="s">
        <v>59</v>
      </c>
      <c r="E3689" t="s">
        <v>21</v>
      </c>
      <c r="F3689">
        <v>1</v>
      </c>
      <c r="G3689">
        <v>799</v>
      </c>
      <c r="H3689">
        <v>0</v>
      </c>
      <c r="I3689" t="s">
        <v>50</v>
      </c>
      <c r="J3689" t="s">
        <v>36</v>
      </c>
      <c r="K3689" t="s">
        <v>17</v>
      </c>
      <c r="L3689">
        <f>F3688*G3688*(1-H3688)</f>
        <v>539.1</v>
      </c>
    </row>
    <row r="3690" spans="1:12">
      <c r="A3690" t="s">
        <v>4515</v>
      </c>
      <c r="B3690" s="1">
        <v>46198</v>
      </c>
      <c r="C3690" t="s">
        <v>1196</v>
      </c>
      <c r="D3690" t="s">
        <v>13</v>
      </c>
      <c r="E3690" t="s">
        <v>14</v>
      </c>
      <c r="F3690">
        <v>4</v>
      </c>
      <c r="G3690">
        <v>499</v>
      </c>
      <c r="H3690">
        <v>0.15</v>
      </c>
      <c r="I3690" t="s">
        <v>47</v>
      </c>
      <c r="J3690" t="s">
        <v>51</v>
      </c>
      <c r="K3690" t="s">
        <v>17</v>
      </c>
      <c r="L3690">
        <f>F3689*G3689*(1-H3689)</f>
        <v>799</v>
      </c>
    </row>
    <row r="3691" spans="1:12">
      <c r="A3691" t="s">
        <v>4516</v>
      </c>
      <c r="B3691" s="1">
        <v>46214</v>
      </c>
      <c r="C3691" t="s">
        <v>199</v>
      </c>
      <c r="D3691" t="s">
        <v>59</v>
      </c>
      <c r="E3691" t="s">
        <v>35</v>
      </c>
      <c r="F3691">
        <v>4</v>
      </c>
      <c r="G3691">
        <v>599</v>
      </c>
      <c r="H3691">
        <v>0</v>
      </c>
      <c r="I3691" t="s">
        <v>44</v>
      </c>
      <c r="J3691" t="s">
        <v>51</v>
      </c>
      <c r="K3691" t="s">
        <v>23</v>
      </c>
      <c r="L3691">
        <f>F3690*G3690*(1-H3690)</f>
        <v>1696.6</v>
      </c>
    </row>
    <row r="3692" spans="1:12">
      <c r="A3692" t="s">
        <v>4517</v>
      </c>
      <c r="B3692" s="1">
        <v>46203</v>
      </c>
      <c r="C3692" t="s">
        <v>2320</v>
      </c>
      <c r="D3692" t="s">
        <v>26</v>
      </c>
      <c r="E3692" t="s">
        <v>21</v>
      </c>
      <c r="F3692">
        <v>3</v>
      </c>
      <c r="G3692">
        <v>1499</v>
      </c>
      <c r="H3692">
        <v>0</v>
      </c>
      <c r="I3692" t="s">
        <v>32</v>
      </c>
      <c r="J3692" t="s">
        <v>22</v>
      </c>
      <c r="K3692" t="s">
        <v>37</v>
      </c>
      <c r="L3692">
        <f>F3691*G3691*(1-H3691)</f>
        <v>2396</v>
      </c>
    </row>
    <row r="3693" spans="1:12">
      <c r="A3693" t="s">
        <v>4518</v>
      </c>
      <c r="B3693" s="1">
        <v>46048</v>
      </c>
      <c r="C3693" t="s">
        <v>4405</v>
      </c>
      <c r="D3693" t="s">
        <v>26</v>
      </c>
      <c r="E3693" t="s">
        <v>14</v>
      </c>
      <c r="F3693">
        <v>1</v>
      </c>
      <c r="G3693">
        <v>2499</v>
      </c>
      <c r="H3693">
        <v>0.05</v>
      </c>
      <c r="I3693" t="s">
        <v>47</v>
      </c>
      <c r="J3693" t="s">
        <v>22</v>
      </c>
      <c r="K3693" t="s">
        <v>17</v>
      </c>
      <c r="L3693">
        <f>F3692*G3692*(1-H3692)</f>
        <v>4497</v>
      </c>
    </row>
    <row r="3694" spans="1:12">
      <c r="A3694" t="s">
        <v>4519</v>
      </c>
      <c r="B3694" s="1">
        <v>46180</v>
      </c>
      <c r="C3694" t="s">
        <v>426</v>
      </c>
      <c r="D3694" t="s">
        <v>59</v>
      </c>
      <c r="E3694" t="s">
        <v>21</v>
      </c>
      <c r="F3694">
        <v>1</v>
      </c>
      <c r="G3694">
        <v>599</v>
      </c>
      <c r="H3694">
        <v>0.1</v>
      </c>
      <c r="I3694" t="s">
        <v>15</v>
      </c>
      <c r="J3694" t="s">
        <v>51</v>
      </c>
      <c r="K3694" t="s">
        <v>17</v>
      </c>
      <c r="L3694">
        <f>F3693*G3693*(1-H3693)</f>
        <v>2374.0499999999997</v>
      </c>
    </row>
    <row r="3695" spans="1:12">
      <c r="A3695" t="s">
        <v>4520</v>
      </c>
      <c r="B3695" s="1">
        <v>46073</v>
      </c>
      <c r="C3695" t="s">
        <v>3696</v>
      </c>
      <c r="D3695" t="s">
        <v>26</v>
      </c>
      <c r="E3695" t="s">
        <v>27</v>
      </c>
      <c r="F3695">
        <v>1</v>
      </c>
      <c r="G3695">
        <v>4999</v>
      </c>
      <c r="H3695">
        <v>0.15</v>
      </c>
      <c r="I3695" t="s">
        <v>15</v>
      </c>
      <c r="J3695" t="s">
        <v>16</v>
      </c>
      <c r="K3695" t="s">
        <v>17</v>
      </c>
      <c r="L3695">
        <f>F3694*G3694*(1-H3694)</f>
        <v>539.1</v>
      </c>
    </row>
    <row r="3696" spans="1:12">
      <c r="A3696" t="s">
        <v>4521</v>
      </c>
      <c r="B3696" s="1">
        <v>46206</v>
      </c>
      <c r="C3696" t="s">
        <v>2641</v>
      </c>
      <c r="D3696" t="s">
        <v>59</v>
      </c>
      <c r="E3696" t="s">
        <v>40</v>
      </c>
      <c r="F3696">
        <v>1</v>
      </c>
      <c r="G3696">
        <v>2499</v>
      </c>
      <c r="H3696">
        <v>0</v>
      </c>
      <c r="I3696" t="s">
        <v>15</v>
      </c>
      <c r="J3696" t="s">
        <v>28</v>
      </c>
      <c r="K3696" t="s">
        <v>17</v>
      </c>
      <c r="L3696">
        <f>F3695*G3695*(1-H3695)</f>
        <v>4249.1499999999996</v>
      </c>
    </row>
    <row r="3697" spans="1:12">
      <c r="A3697" t="s">
        <v>4522</v>
      </c>
      <c r="B3697" s="1">
        <v>46270</v>
      </c>
      <c r="C3697" t="s">
        <v>263</v>
      </c>
      <c r="D3697" t="s">
        <v>71</v>
      </c>
      <c r="E3697" t="s">
        <v>35</v>
      </c>
      <c r="F3697">
        <v>3</v>
      </c>
      <c r="G3697">
        <v>1299</v>
      </c>
      <c r="H3697">
        <v>0.05</v>
      </c>
      <c r="I3697" t="s">
        <v>15</v>
      </c>
      <c r="J3697" t="s">
        <v>22</v>
      </c>
      <c r="K3697" t="s">
        <v>23</v>
      </c>
      <c r="L3697">
        <f>F3696*G3696*(1-H3696)</f>
        <v>2499</v>
      </c>
    </row>
    <row r="3698" spans="1:12">
      <c r="A3698" t="s">
        <v>4523</v>
      </c>
      <c r="B3698" s="1">
        <v>46081</v>
      </c>
      <c r="C3698" t="s">
        <v>1165</v>
      </c>
      <c r="D3698" t="s">
        <v>43</v>
      </c>
      <c r="E3698" t="s">
        <v>14</v>
      </c>
      <c r="F3698">
        <v>3</v>
      </c>
      <c r="G3698">
        <v>4999</v>
      </c>
      <c r="H3698">
        <v>0</v>
      </c>
      <c r="I3698" t="s">
        <v>44</v>
      </c>
      <c r="J3698" t="s">
        <v>28</v>
      </c>
      <c r="K3698" t="s">
        <v>37</v>
      </c>
      <c r="L3698">
        <f>F3697*G3697*(1-H3697)</f>
        <v>3702.1499999999996</v>
      </c>
    </row>
    <row r="3699" spans="1:12">
      <c r="A3699" t="s">
        <v>4524</v>
      </c>
      <c r="B3699" s="1">
        <v>46093</v>
      </c>
      <c r="C3699" t="s">
        <v>743</v>
      </c>
      <c r="D3699" t="s">
        <v>13</v>
      </c>
      <c r="E3699" t="s">
        <v>27</v>
      </c>
      <c r="F3699">
        <v>1</v>
      </c>
      <c r="G3699">
        <v>1499</v>
      </c>
      <c r="H3699">
        <v>0.05</v>
      </c>
      <c r="I3699" t="s">
        <v>47</v>
      </c>
      <c r="J3699" t="s">
        <v>51</v>
      </c>
      <c r="K3699" t="s">
        <v>37</v>
      </c>
      <c r="L3699">
        <f>F3698*G3698*(1-H3698)</f>
        <v>14997</v>
      </c>
    </row>
    <row r="3700" spans="1:12">
      <c r="A3700" t="s">
        <v>4525</v>
      </c>
      <c r="B3700" s="1">
        <v>46039</v>
      </c>
      <c r="C3700" t="s">
        <v>3858</v>
      </c>
      <c r="D3700" t="s">
        <v>71</v>
      </c>
      <c r="E3700" t="s">
        <v>27</v>
      </c>
      <c r="F3700">
        <v>2</v>
      </c>
      <c r="G3700">
        <v>1999</v>
      </c>
      <c r="H3700">
        <v>0</v>
      </c>
      <c r="I3700" t="s">
        <v>15</v>
      </c>
      <c r="J3700" t="s">
        <v>28</v>
      </c>
      <c r="K3700" t="s">
        <v>23</v>
      </c>
      <c r="L3700">
        <f>F3699*G3699*(1-H3699)</f>
        <v>1424.05</v>
      </c>
    </row>
    <row r="3701" spans="1:12">
      <c r="A3701" t="s">
        <v>4526</v>
      </c>
      <c r="B3701" s="1">
        <v>46149</v>
      </c>
      <c r="C3701" t="s">
        <v>4277</v>
      </c>
      <c r="D3701" t="s">
        <v>62</v>
      </c>
      <c r="E3701" t="s">
        <v>40</v>
      </c>
      <c r="F3701">
        <v>4</v>
      </c>
      <c r="G3701">
        <v>1299</v>
      </c>
      <c r="H3701">
        <v>0</v>
      </c>
      <c r="I3701" t="s">
        <v>32</v>
      </c>
      <c r="J3701" t="s">
        <v>16</v>
      </c>
      <c r="K3701" t="s">
        <v>17</v>
      </c>
      <c r="L3701">
        <f>F3700*G3700*(1-H3700)</f>
        <v>3998</v>
      </c>
    </row>
    <row r="3702" spans="1:12">
      <c r="A3702" t="s">
        <v>4527</v>
      </c>
      <c r="B3702" s="1">
        <v>46111</v>
      </c>
      <c r="C3702" t="s">
        <v>1489</v>
      </c>
      <c r="D3702" t="s">
        <v>56</v>
      </c>
      <c r="E3702" t="s">
        <v>35</v>
      </c>
      <c r="F3702">
        <v>5</v>
      </c>
      <c r="G3702">
        <v>499</v>
      </c>
      <c r="H3702">
        <v>0.05</v>
      </c>
      <c r="I3702" t="s">
        <v>44</v>
      </c>
      <c r="J3702" t="s">
        <v>28</v>
      </c>
      <c r="K3702" t="s">
        <v>17</v>
      </c>
      <c r="L3702">
        <f>F3701*G3701*(1-H3701)</f>
        <v>5196</v>
      </c>
    </row>
    <row r="3703" spans="1:12">
      <c r="A3703" t="s">
        <v>4528</v>
      </c>
      <c r="B3703" s="1">
        <v>46261</v>
      </c>
      <c r="C3703" t="s">
        <v>2887</v>
      </c>
      <c r="D3703" t="s">
        <v>13</v>
      </c>
      <c r="E3703" t="s">
        <v>14</v>
      </c>
      <c r="F3703">
        <v>4</v>
      </c>
      <c r="G3703">
        <v>499</v>
      </c>
      <c r="H3703">
        <v>0</v>
      </c>
      <c r="I3703" t="s">
        <v>44</v>
      </c>
      <c r="J3703" t="s">
        <v>28</v>
      </c>
      <c r="K3703" t="s">
        <v>17</v>
      </c>
      <c r="L3703">
        <f>F3702*G3702*(1-H3702)</f>
        <v>2370.25</v>
      </c>
    </row>
    <row r="3704" spans="1:12">
      <c r="A3704" t="s">
        <v>4529</v>
      </c>
      <c r="B3704" s="1">
        <v>46287</v>
      </c>
      <c r="C3704" t="s">
        <v>1006</v>
      </c>
      <c r="D3704" t="s">
        <v>71</v>
      </c>
      <c r="E3704" t="s">
        <v>35</v>
      </c>
      <c r="F3704">
        <v>1</v>
      </c>
      <c r="G3704">
        <v>1499</v>
      </c>
      <c r="H3704">
        <v>0.1</v>
      </c>
      <c r="I3704" t="s">
        <v>15</v>
      </c>
      <c r="J3704" t="s">
        <v>51</v>
      </c>
      <c r="K3704" t="s">
        <v>23</v>
      </c>
      <c r="L3704">
        <f>F3703*G3703*(1-H3703)</f>
        <v>1996</v>
      </c>
    </row>
    <row r="3705" spans="1:12">
      <c r="A3705" t="s">
        <v>4530</v>
      </c>
      <c r="B3705" s="1">
        <v>46222</v>
      </c>
      <c r="C3705" t="s">
        <v>2689</v>
      </c>
      <c r="D3705" t="s">
        <v>71</v>
      </c>
      <c r="E3705" t="s">
        <v>27</v>
      </c>
      <c r="F3705">
        <v>2</v>
      </c>
      <c r="G3705">
        <v>499</v>
      </c>
      <c r="H3705">
        <v>0</v>
      </c>
      <c r="I3705" t="s">
        <v>50</v>
      </c>
      <c r="J3705" t="s">
        <v>16</v>
      </c>
      <c r="K3705" t="s">
        <v>17</v>
      </c>
      <c r="L3705">
        <f>F3704*G3704*(1-H3704)</f>
        <v>1349.1000000000001</v>
      </c>
    </row>
    <row r="3706" spans="1:12">
      <c r="A3706" t="s">
        <v>4531</v>
      </c>
      <c r="B3706" s="1">
        <v>46286</v>
      </c>
      <c r="C3706" t="s">
        <v>468</v>
      </c>
      <c r="D3706" t="s">
        <v>78</v>
      </c>
      <c r="E3706" t="s">
        <v>35</v>
      </c>
      <c r="F3706">
        <v>2</v>
      </c>
      <c r="G3706">
        <v>2499</v>
      </c>
      <c r="H3706">
        <v>0</v>
      </c>
      <c r="I3706" t="s">
        <v>15</v>
      </c>
      <c r="J3706" t="s">
        <v>16</v>
      </c>
      <c r="K3706" t="s">
        <v>17</v>
      </c>
      <c r="L3706">
        <f>F3705*G3705*(1-H3705)</f>
        <v>998</v>
      </c>
    </row>
    <row r="3707" spans="1:12">
      <c r="A3707" t="s">
        <v>4532</v>
      </c>
      <c r="B3707" s="1">
        <v>46216</v>
      </c>
      <c r="C3707" t="s">
        <v>4533</v>
      </c>
      <c r="D3707" t="s">
        <v>56</v>
      </c>
      <c r="E3707" t="s">
        <v>40</v>
      </c>
      <c r="F3707">
        <v>2</v>
      </c>
      <c r="G3707">
        <v>1499</v>
      </c>
      <c r="H3707">
        <v>0</v>
      </c>
      <c r="I3707" t="s">
        <v>47</v>
      </c>
      <c r="J3707" t="s">
        <v>16</v>
      </c>
      <c r="K3707" t="s">
        <v>37</v>
      </c>
      <c r="L3707">
        <f>F3706*G3706*(1-H3706)</f>
        <v>4998</v>
      </c>
    </row>
    <row r="3708" spans="1:12">
      <c r="A3708" t="s">
        <v>4534</v>
      </c>
      <c r="B3708" s="1">
        <v>46233</v>
      </c>
      <c r="C3708" t="s">
        <v>2856</v>
      </c>
      <c r="D3708" t="s">
        <v>43</v>
      </c>
      <c r="E3708" t="s">
        <v>40</v>
      </c>
      <c r="F3708">
        <v>4</v>
      </c>
      <c r="G3708">
        <v>1499</v>
      </c>
      <c r="H3708">
        <v>0.05</v>
      </c>
      <c r="I3708" t="s">
        <v>44</v>
      </c>
      <c r="J3708" t="s">
        <v>22</v>
      </c>
      <c r="K3708" t="s">
        <v>23</v>
      </c>
      <c r="L3708">
        <f>F3707*G3707*(1-H3707)</f>
        <v>2998</v>
      </c>
    </row>
    <row r="3709" spans="1:12">
      <c r="A3709" t="s">
        <v>4535</v>
      </c>
      <c r="B3709" s="1">
        <v>46248</v>
      </c>
      <c r="C3709" t="s">
        <v>470</v>
      </c>
      <c r="D3709" t="s">
        <v>59</v>
      </c>
      <c r="E3709" t="s">
        <v>14</v>
      </c>
      <c r="F3709">
        <v>4</v>
      </c>
      <c r="G3709">
        <v>1299</v>
      </c>
      <c r="H3709">
        <v>0.1</v>
      </c>
      <c r="I3709" t="s">
        <v>44</v>
      </c>
      <c r="J3709" t="s">
        <v>28</v>
      </c>
      <c r="K3709" t="s">
        <v>37</v>
      </c>
      <c r="L3709">
        <f>F3708*G3708*(1-H3708)</f>
        <v>5696.2</v>
      </c>
    </row>
    <row r="3710" spans="1:12">
      <c r="A3710" t="s">
        <v>4536</v>
      </c>
      <c r="B3710" s="1">
        <v>46092</v>
      </c>
      <c r="C3710" t="s">
        <v>1856</v>
      </c>
      <c r="D3710" t="s">
        <v>78</v>
      </c>
      <c r="E3710" t="s">
        <v>27</v>
      </c>
      <c r="F3710">
        <v>1</v>
      </c>
      <c r="G3710">
        <v>1999</v>
      </c>
      <c r="H3710">
        <v>0</v>
      </c>
      <c r="I3710" t="s">
        <v>44</v>
      </c>
      <c r="J3710" t="s">
        <v>28</v>
      </c>
      <c r="K3710" t="s">
        <v>23</v>
      </c>
      <c r="L3710">
        <f>F3709*G3709*(1-H3709)</f>
        <v>4676.4000000000005</v>
      </c>
    </row>
    <row r="3711" spans="1:12">
      <c r="A3711" t="s">
        <v>4537</v>
      </c>
      <c r="B3711" s="1">
        <v>46278</v>
      </c>
      <c r="C3711" t="s">
        <v>1353</v>
      </c>
      <c r="D3711" t="s">
        <v>20</v>
      </c>
      <c r="E3711" t="s">
        <v>27</v>
      </c>
      <c r="F3711">
        <v>4</v>
      </c>
      <c r="G3711">
        <v>799</v>
      </c>
      <c r="H3711">
        <v>0.15</v>
      </c>
      <c r="I3711" t="s">
        <v>44</v>
      </c>
      <c r="J3711" t="s">
        <v>51</v>
      </c>
      <c r="K3711" t="s">
        <v>17</v>
      </c>
      <c r="L3711">
        <f>F3710*G3710*(1-H3710)</f>
        <v>1999</v>
      </c>
    </row>
    <row r="3712" spans="1:12">
      <c r="A3712" t="s">
        <v>4538</v>
      </c>
      <c r="B3712" s="1">
        <v>46140</v>
      </c>
      <c r="C3712" t="s">
        <v>602</v>
      </c>
      <c r="D3712" t="s">
        <v>43</v>
      </c>
      <c r="E3712" t="s">
        <v>27</v>
      </c>
      <c r="F3712">
        <v>1</v>
      </c>
      <c r="G3712">
        <v>799</v>
      </c>
      <c r="H3712">
        <v>0.1</v>
      </c>
      <c r="I3712" t="s">
        <v>50</v>
      </c>
      <c r="J3712" t="s">
        <v>22</v>
      </c>
      <c r="K3712" t="s">
        <v>23</v>
      </c>
      <c r="L3712">
        <f>F3711*G3711*(1-H3711)</f>
        <v>2716.6</v>
      </c>
    </row>
    <row r="3713" spans="1:12">
      <c r="A3713" t="s">
        <v>4539</v>
      </c>
      <c r="B3713" s="1">
        <v>46225</v>
      </c>
      <c r="C3713" t="s">
        <v>49</v>
      </c>
      <c r="D3713" t="s">
        <v>13</v>
      </c>
      <c r="E3713" t="s">
        <v>14</v>
      </c>
      <c r="F3713">
        <v>1</v>
      </c>
      <c r="G3713">
        <v>999</v>
      </c>
      <c r="H3713">
        <v>0.15</v>
      </c>
      <c r="I3713" t="s">
        <v>15</v>
      </c>
      <c r="J3713" t="s">
        <v>51</v>
      </c>
      <c r="K3713" t="s">
        <v>23</v>
      </c>
      <c r="L3713">
        <f>F3712*G3712*(1-H3712)</f>
        <v>719.1</v>
      </c>
    </row>
    <row r="3714" spans="1:12">
      <c r="A3714" t="s">
        <v>4540</v>
      </c>
      <c r="B3714" s="1">
        <v>46069</v>
      </c>
      <c r="C3714" t="s">
        <v>1489</v>
      </c>
      <c r="D3714" t="s">
        <v>31</v>
      </c>
      <c r="E3714" t="s">
        <v>14</v>
      </c>
      <c r="F3714">
        <v>5</v>
      </c>
      <c r="G3714">
        <v>4999</v>
      </c>
      <c r="H3714">
        <v>0.05</v>
      </c>
      <c r="I3714" t="s">
        <v>47</v>
      </c>
      <c r="J3714" t="s">
        <v>36</v>
      </c>
      <c r="K3714" t="s">
        <v>17</v>
      </c>
      <c r="L3714">
        <f>F3713*G3713*(1-H3713)</f>
        <v>849.15</v>
      </c>
    </row>
    <row r="3715" spans="1:12">
      <c r="A3715" t="s">
        <v>4541</v>
      </c>
      <c r="B3715" s="1">
        <v>46126</v>
      </c>
      <c r="C3715" t="s">
        <v>496</v>
      </c>
      <c r="D3715" t="s">
        <v>78</v>
      </c>
      <c r="E3715" t="s">
        <v>21</v>
      </c>
      <c r="F3715">
        <v>1</v>
      </c>
      <c r="G3715">
        <v>4999</v>
      </c>
      <c r="H3715">
        <v>0</v>
      </c>
      <c r="I3715" t="s">
        <v>47</v>
      </c>
      <c r="J3715" t="s">
        <v>16</v>
      </c>
      <c r="K3715" t="s">
        <v>17</v>
      </c>
      <c r="L3715">
        <f>F3714*G3714*(1-H3714)</f>
        <v>23745.25</v>
      </c>
    </row>
    <row r="3716" spans="1:12">
      <c r="A3716" t="s">
        <v>4542</v>
      </c>
      <c r="B3716" s="1">
        <v>46148</v>
      </c>
      <c r="C3716" t="s">
        <v>1103</v>
      </c>
      <c r="D3716" t="s">
        <v>62</v>
      </c>
      <c r="E3716" t="s">
        <v>21</v>
      </c>
      <c r="F3716">
        <v>2</v>
      </c>
      <c r="G3716">
        <v>1499</v>
      </c>
      <c r="H3716">
        <v>0.15</v>
      </c>
      <c r="I3716" t="s">
        <v>44</v>
      </c>
      <c r="J3716" t="s">
        <v>28</v>
      </c>
      <c r="K3716" t="s">
        <v>17</v>
      </c>
      <c r="L3716">
        <f>F3715*G3715*(1-H3715)</f>
        <v>4999</v>
      </c>
    </row>
    <row r="3717" spans="1:12">
      <c r="A3717" t="s">
        <v>4543</v>
      </c>
      <c r="B3717" s="1">
        <v>46109</v>
      </c>
      <c r="C3717" t="s">
        <v>3279</v>
      </c>
      <c r="D3717" t="s">
        <v>20</v>
      </c>
      <c r="E3717" t="s">
        <v>35</v>
      </c>
      <c r="F3717">
        <v>4</v>
      </c>
      <c r="G3717">
        <v>1299</v>
      </c>
      <c r="H3717">
        <v>0</v>
      </c>
      <c r="I3717" t="s">
        <v>50</v>
      </c>
      <c r="J3717" t="s">
        <v>36</v>
      </c>
      <c r="K3717" t="s">
        <v>17</v>
      </c>
      <c r="L3717">
        <f>F3716*G3716*(1-H3716)</f>
        <v>2548.2999999999997</v>
      </c>
    </row>
    <row r="3718" spans="1:12">
      <c r="A3718" t="s">
        <v>4544</v>
      </c>
      <c r="B3718" s="1">
        <v>46097</v>
      </c>
      <c r="C3718" t="s">
        <v>1754</v>
      </c>
      <c r="D3718" t="s">
        <v>13</v>
      </c>
      <c r="E3718" t="s">
        <v>21</v>
      </c>
      <c r="F3718">
        <v>5</v>
      </c>
      <c r="G3718">
        <v>4999</v>
      </c>
      <c r="H3718">
        <v>0.05</v>
      </c>
      <c r="I3718" t="s">
        <v>47</v>
      </c>
      <c r="J3718" t="s">
        <v>16</v>
      </c>
      <c r="K3718" t="s">
        <v>17</v>
      </c>
      <c r="L3718">
        <f>F3717*G3717*(1-H3717)</f>
        <v>5196</v>
      </c>
    </row>
    <row r="3719" spans="1:12">
      <c r="A3719" t="s">
        <v>4545</v>
      </c>
      <c r="B3719" s="1">
        <v>46112</v>
      </c>
      <c r="C3719" t="s">
        <v>428</v>
      </c>
      <c r="D3719" t="s">
        <v>31</v>
      </c>
      <c r="E3719" t="s">
        <v>35</v>
      </c>
      <c r="F3719">
        <v>3</v>
      </c>
      <c r="G3719">
        <v>1299</v>
      </c>
      <c r="H3719">
        <v>0.15</v>
      </c>
      <c r="I3719" t="s">
        <v>15</v>
      </c>
      <c r="J3719" t="s">
        <v>16</v>
      </c>
      <c r="K3719" t="s">
        <v>17</v>
      </c>
      <c r="L3719">
        <f>F3718*G3718*(1-H3718)</f>
        <v>23745.25</v>
      </c>
    </row>
    <row r="3720" spans="1:12">
      <c r="A3720" t="s">
        <v>4546</v>
      </c>
      <c r="B3720" s="1">
        <v>46261</v>
      </c>
      <c r="C3720" t="s">
        <v>1225</v>
      </c>
      <c r="D3720" t="s">
        <v>78</v>
      </c>
      <c r="E3720" t="s">
        <v>21</v>
      </c>
      <c r="F3720">
        <v>5</v>
      </c>
      <c r="G3720">
        <v>4999</v>
      </c>
      <c r="H3720">
        <v>0.05</v>
      </c>
      <c r="I3720" t="s">
        <v>32</v>
      </c>
      <c r="J3720" t="s">
        <v>51</v>
      </c>
      <c r="K3720" t="s">
        <v>37</v>
      </c>
      <c r="L3720">
        <f>F3719*G3719*(1-H3719)</f>
        <v>3312.45</v>
      </c>
    </row>
    <row r="3721" spans="1:12">
      <c r="A3721" t="s">
        <v>4547</v>
      </c>
      <c r="B3721" s="1">
        <v>46231</v>
      </c>
      <c r="C3721" t="s">
        <v>2755</v>
      </c>
      <c r="D3721" t="s">
        <v>78</v>
      </c>
      <c r="E3721" t="s">
        <v>35</v>
      </c>
      <c r="F3721">
        <v>2</v>
      </c>
      <c r="G3721">
        <v>1299</v>
      </c>
      <c r="H3721">
        <v>0</v>
      </c>
      <c r="I3721" t="s">
        <v>32</v>
      </c>
      <c r="J3721" t="s">
        <v>51</v>
      </c>
      <c r="K3721" t="s">
        <v>17</v>
      </c>
      <c r="L3721">
        <f>F3720*G3720*(1-H3720)</f>
        <v>23745.25</v>
      </c>
    </row>
    <row r="3722" spans="1:12">
      <c r="A3722" t="s">
        <v>4548</v>
      </c>
      <c r="B3722" s="1">
        <v>46112</v>
      </c>
      <c r="C3722" t="s">
        <v>513</v>
      </c>
      <c r="D3722" t="s">
        <v>59</v>
      </c>
      <c r="E3722" t="s">
        <v>35</v>
      </c>
      <c r="F3722">
        <v>4</v>
      </c>
      <c r="G3722">
        <v>599</v>
      </c>
      <c r="H3722">
        <v>0.05</v>
      </c>
      <c r="I3722" t="s">
        <v>44</v>
      </c>
      <c r="J3722" t="s">
        <v>51</v>
      </c>
      <c r="K3722" t="s">
        <v>17</v>
      </c>
      <c r="L3722">
        <f>F3721*G3721*(1-H3721)</f>
        <v>2598</v>
      </c>
    </row>
    <row r="3723" spans="1:12">
      <c r="A3723" t="s">
        <v>4549</v>
      </c>
      <c r="B3723" s="1">
        <v>46212</v>
      </c>
      <c r="C3723" t="s">
        <v>993</v>
      </c>
      <c r="D3723" t="s">
        <v>59</v>
      </c>
      <c r="E3723" t="s">
        <v>27</v>
      </c>
      <c r="F3723">
        <v>5</v>
      </c>
      <c r="G3723">
        <v>4999</v>
      </c>
      <c r="H3723">
        <v>0.1</v>
      </c>
      <c r="I3723" t="s">
        <v>47</v>
      </c>
      <c r="J3723" t="s">
        <v>51</v>
      </c>
      <c r="K3723" t="s">
        <v>17</v>
      </c>
      <c r="L3723">
        <f>F3722*G3722*(1-H3722)</f>
        <v>2276.1999999999998</v>
      </c>
    </row>
    <row r="3724" spans="1:12">
      <c r="A3724" t="s">
        <v>4550</v>
      </c>
      <c r="B3724" s="1">
        <v>46133</v>
      </c>
      <c r="C3724" t="s">
        <v>193</v>
      </c>
      <c r="D3724" t="s">
        <v>56</v>
      </c>
      <c r="E3724" t="s">
        <v>14</v>
      </c>
      <c r="F3724">
        <v>5</v>
      </c>
      <c r="G3724">
        <v>7999</v>
      </c>
      <c r="H3724">
        <v>0.15</v>
      </c>
      <c r="I3724" t="s">
        <v>47</v>
      </c>
      <c r="J3724" t="s">
        <v>51</v>
      </c>
      <c r="K3724" t="s">
        <v>37</v>
      </c>
      <c r="L3724">
        <f>F3723*G3723*(1-H3723)</f>
        <v>22495.5</v>
      </c>
    </row>
    <row r="3725" spans="1:12">
      <c r="A3725" t="s">
        <v>4551</v>
      </c>
      <c r="B3725" s="1">
        <v>46232</v>
      </c>
      <c r="C3725" t="s">
        <v>2083</v>
      </c>
      <c r="D3725" t="s">
        <v>59</v>
      </c>
      <c r="E3725" t="s">
        <v>21</v>
      </c>
      <c r="F3725">
        <v>1</v>
      </c>
      <c r="G3725">
        <v>4999</v>
      </c>
      <c r="H3725">
        <v>0</v>
      </c>
      <c r="I3725" t="s">
        <v>32</v>
      </c>
      <c r="J3725" t="s">
        <v>28</v>
      </c>
      <c r="K3725" t="s">
        <v>17</v>
      </c>
      <c r="L3725">
        <f>F3724*G3724*(1-H3724)</f>
        <v>33995.75</v>
      </c>
    </row>
    <row r="3726" spans="1:12">
      <c r="A3726" t="s">
        <v>4552</v>
      </c>
      <c r="B3726" s="1">
        <v>46278</v>
      </c>
      <c r="C3726" t="s">
        <v>3279</v>
      </c>
      <c r="D3726" t="s">
        <v>78</v>
      </c>
      <c r="E3726" t="s">
        <v>27</v>
      </c>
      <c r="F3726">
        <v>1</v>
      </c>
      <c r="G3726">
        <v>499</v>
      </c>
      <c r="H3726">
        <v>0.1</v>
      </c>
      <c r="I3726" t="s">
        <v>44</v>
      </c>
      <c r="J3726" t="s">
        <v>22</v>
      </c>
      <c r="K3726" t="s">
        <v>17</v>
      </c>
      <c r="L3726">
        <f>F3725*G3725*(1-H3725)</f>
        <v>4999</v>
      </c>
    </row>
    <row r="3727" spans="1:12">
      <c r="A3727" t="s">
        <v>4553</v>
      </c>
      <c r="B3727" s="1">
        <v>46179</v>
      </c>
      <c r="C3727" t="s">
        <v>80</v>
      </c>
      <c r="D3727" t="s">
        <v>59</v>
      </c>
      <c r="E3727" t="s">
        <v>35</v>
      </c>
      <c r="F3727">
        <v>3</v>
      </c>
      <c r="G3727">
        <v>799</v>
      </c>
      <c r="H3727">
        <v>0</v>
      </c>
      <c r="I3727" t="s">
        <v>50</v>
      </c>
      <c r="J3727" t="s">
        <v>16</v>
      </c>
      <c r="K3727" t="s">
        <v>17</v>
      </c>
      <c r="L3727">
        <f>F3726*G3726*(1-H3726)</f>
        <v>449.1</v>
      </c>
    </row>
    <row r="3728" spans="1:12">
      <c r="A3728" t="s">
        <v>4554</v>
      </c>
      <c r="B3728" s="1">
        <v>46227</v>
      </c>
      <c r="C3728" t="s">
        <v>2559</v>
      </c>
      <c r="D3728" t="s">
        <v>71</v>
      </c>
      <c r="E3728" t="s">
        <v>21</v>
      </c>
      <c r="F3728">
        <v>3</v>
      </c>
      <c r="G3728">
        <v>1299</v>
      </c>
      <c r="H3728">
        <v>0</v>
      </c>
      <c r="I3728" t="s">
        <v>47</v>
      </c>
      <c r="J3728" t="s">
        <v>36</v>
      </c>
      <c r="K3728" t="s">
        <v>37</v>
      </c>
      <c r="L3728">
        <f>F3727*G3727*(1-H3727)</f>
        <v>2397</v>
      </c>
    </row>
    <row r="3729" spans="1:12">
      <c r="A3729" t="s">
        <v>4555</v>
      </c>
      <c r="B3729" s="1">
        <v>46056</v>
      </c>
      <c r="C3729" t="s">
        <v>919</v>
      </c>
      <c r="D3729" t="s">
        <v>71</v>
      </c>
      <c r="E3729" t="s">
        <v>27</v>
      </c>
      <c r="F3729">
        <v>4</v>
      </c>
      <c r="G3729">
        <v>1299</v>
      </c>
      <c r="H3729">
        <v>0</v>
      </c>
      <c r="I3729" t="s">
        <v>47</v>
      </c>
      <c r="J3729" t="s">
        <v>16</v>
      </c>
      <c r="K3729" t="s">
        <v>37</v>
      </c>
      <c r="L3729">
        <f>F3728*G3728*(1-H3728)</f>
        <v>3897</v>
      </c>
    </row>
    <row r="3730" spans="1:12">
      <c r="A3730" t="s">
        <v>4556</v>
      </c>
      <c r="B3730" s="1">
        <v>46129</v>
      </c>
      <c r="C3730" t="s">
        <v>1026</v>
      </c>
      <c r="D3730" t="s">
        <v>20</v>
      </c>
      <c r="E3730" t="s">
        <v>27</v>
      </c>
      <c r="F3730">
        <v>3</v>
      </c>
      <c r="G3730">
        <v>1999</v>
      </c>
      <c r="H3730">
        <v>0.15</v>
      </c>
      <c r="I3730" t="s">
        <v>32</v>
      </c>
      <c r="J3730" t="s">
        <v>16</v>
      </c>
      <c r="K3730" t="s">
        <v>17</v>
      </c>
      <c r="L3730">
        <f>F3729*G3729*(1-H3729)</f>
        <v>5196</v>
      </c>
    </row>
    <row r="3731" spans="1:12">
      <c r="A3731" t="s">
        <v>4557</v>
      </c>
      <c r="B3731" s="1">
        <v>46291</v>
      </c>
      <c r="C3731" t="s">
        <v>528</v>
      </c>
      <c r="D3731" t="s">
        <v>71</v>
      </c>
      <c r="E3731" t="s">
        <v>21</v>
      </c>
      <c r="F3731">
        <v>5</v>
      </c>
      <c r="G3731">
        <v>1999</v>
      </c>
      <c r="H3731">
        <v>0</v>
      </c>
      <c r="I3731" t="s">
        <v>44</v>
      </c>
      <c r="J3731" t="s">
        <v>28</v>
      </c>
      <c r="K3731" t="s">
        <v>37</v>
      </c>
      <c r="L3731">
        <f>F3730*G3730*(1-H3730)</f>
        <v>5097.45</v>
      </c>
    </row>
    <row r="3732" spans="1:12">
      <c r="A3732" t="s">
        <v>4558</v>
      </c>
      <c r="B3732" s="1">
        <v>46253</v>
      </c>
      <c r="C3732" t="s">
        <v>1898</v>
      </c>
      <c r="D3732" t="s">
        <v>59</v>
      </c>
      <c r="E3732" t="s">
        <v>40</v>
      </c>
      <c r="F3732">
        <v>1</v>
      </c>
      <c r="G3732">
        <v>1999</v>
      </c>
      <c r="H3732">
        <v>0.05</v>
      </c>
      <c r="I3732" t="s">
        <v>50</v>
      </c>
      <c r="J3732" t="s">
        <v>22</v>
      </c>
      <c r="K3732" t="s">
        <v>17</v>
      </c>
      <c r="L3732">
        <f>F3731*G3731*(1-H3731)</f>
        <v>9995</v>
      </c>
    </row>
    <row r="3733" spans="1:12">
      <c r="A3733" t="s">
        <v>4559</v>
      </c>
      <c r="B3733" s="1">
        <v>46144</v>
      </c>
      <c r="C3733" t="s">
        <v>837</v>
      </c>
      <c r="D3733" t="s">
        <v>43</v>
      </c>
      <c r="E3733" t="s">
        <v>40</v>
      </c>
      <c r="F3733">
        <v>2</v>
      </c>
      <c r="G3733">
        <v>1999</v>
      </c>
      <c r="H3733">
        <v>0</v>
      </c>
      <c r="I3733" t="s">
        <v>47</v>
      </c>
      <c r="J3733" t="s">
        <v>28</v>
      </c>
      <c r="K3733" t="s">
        <v>17</v>
      </c>
      <c r="L3733">
        <f>F3732*G3732*(1-H3732)</f>
        <v>1899.05</v>
      </c>
    </row>
    <row r="3734" spans="1:12">
      <c r="A3734" t="s">
        <v>4560</v>
      </c>
      <c r="B3734" s="1">
        <v>46211</v>
      </c>
      <c r="C3734" t="s">
        <v>656</v>
      </c>
      <c r="D3734" t="s">
        <v>56</v>
      </c>
      <c r="E3734" t="s">
        <v>35</v>
      </c>
      <c r="F3734">
        <v>2</v>
      </c>
      <c r="G3734">
        <v>1499</v>
      </c>
      <c r="H3734">
        <v>0.1</v>
      </c>
      <c r="I3734" t="s">
        <v>50</v>
      </c>
      <c r="J3734" t="s">
        <v>36</v>
      </c>
      <c r="K3734" t="s">
        <v>17</v>
      </c>
      <c r="L3734">
        <f>F3733*G3733*(1-H3733)</f>
        <v>3998</v>
      </c>
    </row>
    <row r="3735" spans="1:12">
      <c r="A3735" t="s">
        <v>4561</v>
      </c>
      <c r="B3735" s="1">
        <v>46136</v>
      </c>
      <c r="C3735" t="s">
        <v>715</v>
      </c>
      <c r="D3735" t="s">
        <v>43</v>
      </c>
      <c r="E3735" t="s">
        <v>35</v>
      </c>
      <c r="F3735">
        <v>1</v>
      </c>
      <c r="G3735">
        <v>1299</v>
      </c>
      <c r="H3735">
        <v>0.1</v>
      </c>
      <c r="I3735" t="s">
        <v>15</v>
      </c>
      <c r="J3735" t="s">
        <v>16</v>
      </c>
      <c r="K3735" t="s">
        <v>17</v>
      </c>
      <c r="L3735">
        <f>F3734*G3734*(1-H3734)</f>
        <v>2698.2000000000003</v>
      </c>
    </row>
    <row r="3736" spans="1:12">
      <c r="A3736" t="s">
        <v>4562</v>
      </c>
      <c r="B3736" s="1">
        <v>46217</v>
      </c>
      <c r="C3736" t="s">
        <v>2755</v>
      </c>
      <c r="D3736" t="s">
        <v>56</v>
      </c>
      <c r="E3736" t="s">
        <v>40</v>
      </c>
      <c r="F3736">
        <v>1</v>
      </c>
      <c r="G3736">
        <v>1499</v>
      </c>
      <c r="H3736">
        <v>0.15</v>
      </c>
      <c r="I3736" t="s">
        <v>32</v>
      </c>
      <c r="J3736" t="s">
        <v>22</v>
      </c>
      <c r="K3736" t="s">
        <v>23</v>
      </c>
      <c r="L3736">
        <f>F3735*G3735*(1-H3735)</f>
        <v>1169.1000000000001</v>
      </c>
    </row>
    <row r="3737" spans="1:12">
      <c r="A3737" t="s">
        <v>4563</v>
      </c>
      <c r="B3737" s="1">
        <v>46156</v>
      </c>
      <c r="C3737" t="s">
        <v>1766</v>
      </c>
      <c r="D3737" t="s">
        <v>71</v>
      </c>
      <c r="E3737" t="s">
        <v>27</v>
      </c>
      <c r="F3737">
        <v>3</v>
      </c>
      <c r="G3737">
        <v>1299</v>
      </c>
      <c r="H3737">
        <v>0</v>
      </c>
      <c r="I3737" t="s">
        <v>44</v>
      </c>
      <c r="J3737" t="s">
        <v>51</v>
      </c>
      <c r="K3737" t="s">
        <v>17</v>
      </c>
      <c r="L3737">
        <f>F3736*G3736*(1-H3736)</f>
        <v>1274.1499999999999</v>
      </c>
    </row>
    <row r="3738" spans="1:12">
      <c r="A3738" t="s">
        <v>4564</v>
      </c>
      <c r="B3738" s="1">
        <v>46060</v>
      </c>
      <c r="C3738" t="s">
        <v>203</v>
      </c>
      <c r="D3738" t="s">
        <v>20</v>
      </c>
      <c r="E3738" t="s">
        <v>27</v>
      </c>
      <c r="F3738">
        <v>3</v>
      </c>
      <c r="G3738">
        <v>599</v>
      </c>
      <c r="H3738">
        <v>0.1</v>
      </c>
      <c r="I3738" t="s">
        <v>47</v>
      </c>
      <c r="J3738" t="s">
        <v>51</v>
      </c>
      <c r="K3738" t="s">
        <v>37</v>
      </c>
      <c r="L3738">
        <f>F3737*G3737*(1-H3737)</f>
        <v>3897</v>
      </c>
    </row>
    <row r="3739" spans="1:12">
      <c r="A3739" t="s">
        <v>4565</v>
      </c>
      <c r="B3739" s="1">
        <v>46089</v>
      </c>
      <c r="C3739" t="s">
        <v>243</v>
      </c>
      <c r="D3739" t="s">
        <v>71</v>
      </c>
      <c r="E3739" t="s">
        <v>14</v>
      </c>
      <c r="F3739">
        <v>5</v>
      </c>
      <c r="G3739">
        <v>1299</v>
      </c>
      <c r="H3739">
        <v>0.05</v>
      </c>
      <c r="I3739" t="s">
        <v>15</v>
      </c>
      <c r="J3739" t="s">
        <v>16</v>
      </c>
      <c r="K3739" t="s">
        <v>37</v>
      </c>
      <c r="L3739">
        <f>F3738*G3738*(1-H3738)</f>
        <v>1617.3</v>
      </c>
    </row>
    <row r="3740" spans="1:12">
      <c r="A3740" t="s">
        <v>4566</v>
      </c>
      <c r="B3740" s="1">
        <v>46160</v>
      </c>
      <c r="C3740" t="s">
        <v>2634</v>
      </c>
      <c r="D3740" t="s">
        <v>43</v>
      </c>
      <c r="E3740" t="s">
        <v>14</v>
      </c>
      <c r="F3740">
        <v>5</v>
      </c>
      <c r="G3740">
        <v>1499</v>
      </c>
      <c r="H3740">
        <v>0</v>
      </c>
      <c r="I3740" t="s">
        <v>44</v>
      </c>
      <c r="J3740" t="s">
        <v>36</v>
      </c>
      <c r="K3740" t="s">
        <v>37</v>
      </c>
      <c r="L3740">
        <f>F3739*G3739*(1-H3739)</f>
        <v>6170.25</v>
      </c>
    </row>
    <row r="3741" spans="1:12">
      <c r="A3741" t="s">
        <v>4567</v>
      </c>
      <c r="B3741" s="1">
        <v>46144</v>
      </c>
      <c r="C3741" t="s">
        <v>552</v>
      </c>
      <c r="D3741" t="s">
        <v>26</v>
      </c>
      <c r="E3741" t="s">
        <v>27</v>
      </c>
      <c r="F3741">
        <v>5</v>
      </c>
      <c r="G3741">
        <v>599</v>
      </c>
      <c r="H3741">
        <v>0</v>
      </c>
      <c r="I3741" t="s">
        <v>32</v>
      </c>
      <c r="J3741" t="s">
        <v>28</v>
      </c>
      <c r="K3741" t="s">
        <v>17</v>
      </c>
      <c r="L3741">
        <f>F3740*G3740*(1-H3740)</f>
        <v>7495</v>
      </c>
    </row>
    <row r="3742" spans="1:12">
      <c r="A3742" t="s">
        <v>4568</v>
      </c>
      <c r="B3742" s="1">
        <v>46121</v>
      </c>
      <c r="C3742" t="s">
        <v>1359</v>
      </c>
      <c r="D3742" t="s">
        <v>62</v>
      </c>
      <c r="E3742" t="s">
        <v>21</v>
      </c>
      <c r="F3742">
        <v>3</v>
      </c>
      <c r="G3742">
        <v>1999</v>
      </c>
      <c r="H3742">
        <v>0</v>
      </c>
      <c r="I3742" t="s">
        <v>32</v>
      </c>
      <c r="J3742" t="s">
        <v>36</v>
      </c>
      <c r="K3742" t="s">
        <v>17</v>
      </c>
      <c r="L3742">
        <f>F3741*G3741*(1-H3741)</f>
        <v>2995</v>
      </c>
    </row>
    <row r="3743" spans="1:12">
      <c r="A3743" t="s">
        <v>4569</v>
      </c>
      <c r="B3743" s="1">
        <v>46193</v>
      </c>
      <c r="C3743" t="s">
        <v>279</v>
      </c>
      <c r="D3743" t="s">
        <v>31</v>
      </c>
      <c r="E3743" t="s">
        <v>35</v>
      </c>
      <c r="F3743">
        <v>5</v>
      </c>
      <c r="G3743">
        <v>1499</v>
      </c>
      <c r="H3743">
        <v>0.1</v>
      </c>
      <c r="I3743" t="s">
        <v>44</v>
      </c>
      <c r="J3743" t="s">
        <v>36</v>
      </c>
      <c r="K3743" t="s">
        <v>17</v>
      </c>
      <c r="L3743">
        <f>F3742*G3742*(1-H3742)</f>
        <v>5997</v>
      </c>
    </row>
    <row r="3744" spans="1:12">
      <c r="A3744" t="s">
        <v>4570</v>
      </c>
      <c r="B3744" s="1">
        <v>46050</v>
      </c>
      <c r="C3744" t="s">
        <v>3414</v>
      </c>
      <c r="D3744" t="s">
        <v>20</v>
      </c>
      <c r="E3744" t="s">
        <v>27</v>
      </c>
      <c r="F3744">
        <v>2</v>
      </c>
      <c r="G3744">
        <v>799</v>
      </c>
      <c r="H3744">
        <v>0</v>
      </c>
      <c r="I3744" t="s">
        <v>44</v>
      </c>
      <c r="J3744" t="s">
        <v>51</v>
      </c>
      <c r="K3744" t="s">
        <v>37</v>
      </c>
      <c r="L3744">
        <f>F3743*G3743*(1-H3743)</f>
        <v>6745.5</v>
      </c>
    </row>
    <row r="3745" spans="1:12">
      <c r="A3745" t="s">
        <v>4571</v>
      </c>
      <c r="B3745" s="1">
        <v>46194</v>
      </c>
      <c r="C3745" t="s">
        <v>4572</v>
      </c>
      <c r="D3745" t="s">
        <v>78</v>
      </c>
      <c r="E3745" t="s">
        <v>40</v>
      </c>
      <c r="F3745">
        <v>4</v>
      </c>
      <c r="G3745">
        <v>1999</v>
      </c>
      <c r="H3745">
        <v>0</v>
      </c>
      <c r="I3745" t="s">
        <v>32</v>
      </c>
      <c r="J3745" t="s">
        <v>16</v>
      </c>
      <c r="K3745" t="s">
        <v>17</v>
      </c>
      <c r="L3745">
        <f>F3744*G3744*(1-H3744)</f>
        <v>1598</v>
      </c>
    </row>
    <row r="3746" spans="1:12">
      <c r="A3746" t="s">
        <v>4573</v>
      </c>
      <c r="B3746" s="1">
        <v>46089</v>
      </c>
      <c r="C3746" t="s">
        <v>1973</v>
      </c>
      <c r="D3746" t="s">
        <v>26</v>
      </c>
      <c r="E3746" t="s">
        <v>27</v>
      </c>
      <c r="F3746">
        <v>2</v>
      </c>
      <c r="G3746">
        <v>799</v>
      </c>
      <c r="H3746">
        <v>0</v>
      </c>
      <c r="I3746" t="s">
        <v>44</v>
      </c>
      <c r="J3746" t="s">
        <v>22</v>
      </c>
      <c r="K3746" t="s">
        <v>37</v>
      </c>
      <c r="L3746">
        <f>F3745*G3745*(1-H3745)</f>
        <v>7996</v>
      </c>
    </row>
    <row r="3747" spans="1:12">
      <c r="A3747" t="s">
        <v>4574</v>
      </c>
      <c r="B3747" s="1">
        <v>46235</v>
      </c>
      <c r="C3747" t="s">
        <v>1486</v>
      </c>
      <c r="D3747" t="s">
        <v>59</v>
      </c>
      <c r="E3747" t="s">
        <v>40</v>
      </c>
      <c r="F3747">
        <v>5</v>
      </c>
      <c r="G3747">
        <v>599</v>
      </c>
      <c r="H3747">
        <v>0.05</v>
      </c>
      <c r="I3747" t="s">
        <v>44</v>
      </c>
      <c r="J3747" t="s">
        <v>22</v>
      </c>
      <c r="K3747" t="s">
        <v>17</v>
      </c>
      <c r="L3747">
        <f>F3746*G3746*(1-H3746)</f>
        <v>1598</v>
      </c>
    </row>
    <row r="3748" spans="1:12">
      <c r="A3748" t="s">
        <v>4575</v>
      </c>
      <c r="B3748" s="1">
        <v>46103</v>
      </c>
      <c r="C3748" t="s">
        <v>1154</v>
      </c>
      <c r="D3748" t="s">
        <v>71</v>
      </c>
      <c r="E3748" t="s">
        <v>14</v>
      </c>
      <c r="F3748">
        <v>5</v>
      </c>
      <c r="G3748">
        <v>1999</v>
      </c>
      <c r="H3748">
        <v>0</v>
      </c>
      <c r="I3748" t="s">
        <v>47</v>
      </c>
      <c r="J3748" t="s">
        <v>22</v>
      </c>
      <c r="K3748" t="s">
        <v>17</v>
      </c>
      <c r="L3748">
        <f>F3747*G3747*(1-H3747)</f>
        <v>2845.25</v>
      </c>
    </row>
    <row r="3749" spans="1:12">
      <c r="A3749" t="s">
        <v>4576</v>
      </c>
      <c r="B3749" s="1">
        <v>46198</v>
      </c>
      <c r="C3749" t="s">
        <v>1523</v>
      </c>
      <c r="D3749" t="s">
        <v>13</v>
      </c>
      <c r="E3749" t="s">
        <v>35</v>
      </c>
      <c r="F3749">
        <v>5</v>
      </c>
      <c r="G3749">
        <v>599</v>
      </c>
      <c r="H3749">
        <v>0</v>
      </c>
      <c r="I3749" t="s">
        <v>50</v>
      </c>
      <c r="J3749" t="s">
        <v>16</v>
      </c>
      <c r="K3749" t="s">
        <v>17</v>
      </c>
      <c r="L3749">
        <f>F3748*G3748*(1-H3748)</f>
        <v>9995</v>
      </c>
    </row>
    <row r="3750" spans="1:12">
      <c r="A3750" t="s">
        <v>4577</v>
      </c>
      <c r="B3750" s="1">
        <v>46192</v>
      </c>
      <c r="C3750" t="s">
        <v>1056</v>
      </c>
      <c r="D3750" t="s">
        <v>43</v>
      </c>
      <c r="E3750" t="s">
        <v>35</v>
      </c>
      <c r="F3750">
        <v>3</v>
      </c>
      <c r="G3750">
        <v>7999</v>
      </c>
      <c r="H3750">
        <v>0</v>
      </c>
      <c r="I3750" t="s">
        <v>50</v>
      </c>
      <c r="J3750" t="s">
        <v>36</v>
      </c>
      <c r="K3750" t="s">
        <v>17</v>
      </c>
      <c r="L3750">
        <f>F3749*G3749*(1-H3749)</f>
        <v>2995</v>
      </c>
    </row>
    <row r="3751" spans="1:12">
      <c r="A3751" t="s">
        <v>4578</v>
      </c>
      <c r="B3751" s="1">
        <v>46227</v>
      </c>
      <c r="C3751" t="s">
        <v>581</v>
      </c>
      <c r="D3751" t="s">
        <v>62</v>
      </c>
      <c r="E3751" t="s">
        <v>35</v>
      </c>
      <c r="F3751">
        <v>4</v>
      </c>
      <c r="G3751">
        <v>1499</v>
      </c>
      <c r="H3751">
        <v>0</v>
      </c>
      <c r="I3751" t="s">
        <v>50</v>
      </c>
      <c r="J3751" t="s">
        <v>51</v>
      </c>
      <c r="K3751" t="s">
        <v>23</v>
      </c>
      <c r="L3751">
        <f>F3750*G3750*(1-H3750)</f>
        <v>23997</v>
      </c>
    </row>
    <row r="3752" spans="1:12">
      <c r="A3752" t="s">
        <v>4579</v>
      </c>
      <c r="B3752" s="1">
        <v>46044</v>
      </c>
      <c r="C3752" t="s">
        <v>4572</v>
      </c>
      <c r="D3752" t="s">
        <v>13</v>
      </c>
      <c r="E3752" t="s">
        <v>21</v>
      </c>
      <c r="F3752">
        <v>3</v>
      </c>
      <c r="G3752">
        <v>2499</v>
      </c>
      <c r="H3752">
        <v>0</v>
      </c>
      <c r="I3752" t="s">
        <v>50</v>
      </c>
      <c r="J3752" t="s">
        <v>22</v>
      </c>
      <c r="K3752" t="s">
        <v>17</v>
      </c>
      <c r="L3752">
        <f>F3751*G3751*(1-H3751)</f>
        <v>5996</v>
      </c>
    </row>
    <row r="3753" spans="1:12">
      <c r="A3753" t="s">
        <v>4580</v>
      </c>
      <c r="B3753" s="1">
        <v>46205</v>
      </c>
      <c r="C3753" t="s">
        <v>98</v>
      </c>
      <c r="D3753" t="s">
        <v>31</v>
      </c>
      <c r="E3753" t="s">
        <v>14</v>
      </c>
      <c r="F3753">
        <v>2</v>
      </c>
      <c r="G3753">
        <v>799</v>
      </c>
      <c r="H3753">
        <v>0.15</v>
      </c>
      <c r="I3753" t="s">
        <v>47</v>
      </c>
      <c r="J3753" t="s">
        <v>36</v>
      </c>
      <c r="K3753" t="s">
        <v>17</v>
      </c>
      <c r="L3753">
        <f>F3752*G3752*(1-H3752)</f>
        <v>7497</v>
      </c>
    </row>
    <row r="3754" spans="1:12">
      <c r="A3754" t="s">
        <v>4581</v>
      </c>
      <c r="B3754" s="1">
        <v>46050</v>
      </c>
      <c r="C3754" t="s">
        <v>3252</v>
      </c>
      <c r="D3754" t="s">
        <v>71</v>
      </c>
      <c r="E3754" t="s">
        <v>14</v>
      </c>
      <c r="F3754">
        <v>2</v>
      </c>
      <c r="G3754">
        <v>999</v>
      </c>
      <c r="H3754">
        <v>0</v>
      </c>
      <c r="I3754" t="s">
        <v>50</v>
      </c>
      <c r="J3754" t="s">
        <v>28</v>
      </c>
      <c r="K3754" t="s">
        <v>37</v>
      </c>
      <c r="L3754">
        <f>F3753*G3753*(1-H3753)</f>
        <v>1358.3</v>
      </c>
    </row>
    <row r="3755" spans="1:12">
      <c r="A3755" t="s">
        <v>4582</v>
      </c>
      <c r="B3755" s="1">
        <v>46121</v>
      </c>
      <c r="C3755" t="s">
        <v>1968</v>
      </c>
      <c r="D3755" t="s">
        <v>78</v>
      </c>
      <c r="E3755" t="s">
        <v>40</v>
      </c>
      <c r="F3755">
        <v>3</v>
      </c>
      <c r="G3755">
        <v>1299</v>
      </c>
      <c r="H3755">
        <v>0.1</v>
      </c>
      <c r="I3755" t="s">
        <v>47</v>
      </c>
      <c r="J3755" t="s">
        <v>16</v>
      </c>
      <c r="K3755" t="s">
        <v>17</v>
      </c>
      <c r="L3755">
        <f>F3754*G3754*(1-H3754)</f>
        <v>1998</v>
      </c>
    </row>
    <row r="3756" spans="1:12">
      <c r="A3756" t="s">
        <v>4583</v>
      </c>
      <c r="B3756" s="1">
        <v>46221</v>
      </c>
      <c r="C3756" t="s">
        <v>2303</v>
      </c>
      <c r="D3756" t="s">
        <v>59</v>
      </c>
      <c r="E3756" t="s">
        <v>35</v>
      </c>
      <c r="F3756">
        <v>3</v>
      </c>
      <c r="G3756">
        <v>7999</v>
      </c>
      <c r="H3756">
        <v>0.05</v>
      </c>
      <c r="I3756" t="s">
        <v>32</v>
      </c>
      <c r="J3756" t="s">
        <v>22</v>
      </c>
      <c r="K3756" t="s">
        <v>17</v>
      </c>
      <c r="L3756">
        <f>F3755*G3755*(1-H3755)</f>
        <v>3507.3</v>
      </c>
    </row>
    <row r="3757" spans="1:12">
      <c r="A3757" t="s">
        <v>4584</v>
      </c>
      <c r="B3757" s="1">
        <v>46128</v>
      </c>
      <c r="C3757" t="s">
        <v>199</v>
      </c>
      <c r="D3757" t="s">
        <v>62</v>
      </c>
      <c r="E3757" t="s">
        <v>27</v>
      </c>
      <c r="F3757">
        <v>5</v>
      </c>
      <c r="G3757">
        <v>599</v>
      </c>
      <c r="H3757">
        <v>0.1</v>
      </c>
      <c r="I3757" t="s">
        <v>15</v>
      </c>
      <c r="J3757" t="s">
        <v>22</v>
      </c>
      <c r="K3757" t="s">
        <v>17</v>
      </c>
      <c r="L3757">
        <f>F3756*G3756*(1-H3756)</f>
        <v>22797.149999999998</v>
      </c>
    </row>
    <row r="3758" spans="1:12">
      <c r="A3758" t="s">
        <v>4585</v>
      </c>
      <c r="B3758" s="1">
        <v>46272</v>
      </c>
      <c r="C3758" t="s">
        <v>1797</v>
      </c>
      <c r="D3758" t="s">
        <v>78</v>
      </c>
      <c r="E3758" t="s">
        <v>40</v>
      </c>
      <c r="F3758">
        <v>4</v>
      </c>
      <c r="G3758">
        <v>1499</v>
      </c>
      <c r="H3758">
        <v>0</v>
      </c>
      <c r="I3758" t="s">
        <v>32</v>
      </c>
      <c r="J3758" t="s">
        <v>36</v>
      </c>
      <c r="K3758" t="s">
        <v>17</v>
      </c>
      <c r="L3758">
        <f>F3757*G3757*(1-H3757)</f>
        <v>2695.5</v>
      </c>
    </row>
    <row r="3759" spans="1:12">
      <c r="A3759" t="s">
        <v>4586</v>
      </c>
      <c r="B3759" s="1">
        <v>46264</v>
      </c>
      <c r="C3759" t="s">
        <v>355</v>
      </c>
      <c r="D3759" t="s">
        <v>71</v>
      </c>
      <c r="E3759" t="s">
        <v>27</v>
      </c>
      <c r="F3759">
        <v>5</v>
      </c>
      <c r="G3759">
        <v>4999</v>
      </c>
      <c r="H3759">
        <v>0.1</v>
      </c>
      <c r="I3759" t="s">
        <v>44</v>
      </c>
      <c r="J3759" t="s">
        <v>36</v>
      </c>
      <c r="K3759" t="s">
        <v>17</v>
      </c>
      <c r="L3759">
        <f>F3758*G3758*(1-H3758)</f>
        <v>5996</v>
      </c>
    </row>
    <row r="3760" spans="1:12">
      <c r="A3760" t="s">
        <v>4587</v>
      </c>
      <c r="B3760" s="1">
        <v>46268</v>
      </c>
      <c r="C3760" t="s">
        <v>1499</v>
      </c>
      <c r="D3760" t="s">
        <v>59</v>
      </c>
      <c r="E3760" t="s">
        <v>40</v>
      </c>
      <c r="F3760">
        <v>5</v>
      </c>
      <c r="G3760">
        <v>799</v>
      </c>
      <c r="H3760">
        <v>0.1</v>
      </c>
      <c r="I3760" t="s">
        <v>44</v>
      </c>
      <c r="J3760" t="s">
        <v>16</v>
      </c>
      <c r="K3760" t="s">
        <v>23</v>
      </c>
      <c r="L3760">
        <f>F3759*G3759*(1-H3759)</f>
        <v>22495.5</v>
      </c>
    </row>
    <row r="3761" spans="1:12">
      <c r="A3761" t="s">
        <v>4588</v>
      </c>
      <c r="B3761" s="1">
        <v>46065</v>
      </c>
      <c r="C3761" t="s">
        <v>251</v>
      </c>
      <c r="D3761" t="s">
        <v>20</v>
      </c>
      <c r="E3761" t="s">
        <v>21</v>
      </c>
      <c r="F3761">
        <v>5</v>
      </c>
      <c r="G3761">
        <v>1999</v>
      </c>
      <c r="H3761">
        <v>0.15</v>
      </c>
      <c r="I3761" t="s">
        <v>32</v>
      </c>
      <c r="J3761" t="s">
        <v>22</v>
      </c>
      <c r="K3761" t="s">
        <v>17</v>
      </c>
      <c r="L3761">
        <f>F3760*G3760*(1-H3760)</f>
        <v>3595.5</v>
      </c>
    </row>
    <row r="3762" spans="1:12">
      <c r="A3762" t="s">
        <v>4589</v>
      </c>
      <c r="B3762" s="1">
        <v>46068</v>
      </c>
      <c r="C3762" t="s">
        <v>86</v>
      </c>
      <c r="D3762" t="s">
        <v>62</v>
      </c>
      <c r="E3762" t="s">
        <v>27</v>
      </c>
      <c r="F3762">
        <v>3</v>
      </c>
      <c r="G3762">
        <v>999</v>
      </c>
      <c r="H3762">
        <v>0.15</v>
      </c>
      <c r="I3762" t="s">
        <v>44</v>
      </c>
      <c r="J3762" t="s">
        <v>22</v>
      </c>
      <c r="K3762" t="s">
        <v>17</v>
      </c>
      <c r="L3762">
        <f>F3761*G3761*(1-H3761)</f>
        <v>8495.75</v>
      </c>
    </row>
    <row r="3763" spans="1:12">
      <c r="A3763" t="s">
        <v>4590</v>
      </c>
      <c r="B3763" s="1">
        <v>46218</v>
      </c>
      <c r="C3763" t="s">
        <v>1268</v>
      </c>
      <c r="D3763" t="s">
        <v>13</v>
      </c>
      <c r="E3763" t="s">
        <v>27</v>
      </c>
      <c r="F3763">
        <v>1</v>
      </c>
      <c r="G3763">
        <v>1299</v>
      </c>
      <c r="H3763">
        <v>0</v>
      </c>
      <c r="I3763" t="s">
        <v>50</v>
      </c>
      <c r="J3763" t="s">
        <v>22</v>
      </c>
      <c r="K3763" t="s">
        <v>17</v>
      </c>
      <c r="L3763">
        <f>F3762*G3762*(1-H3762)</f>
        <v>2547.4499999999998</v>
      </c>
    </row>
    <row r="3764" spans="1:12">
      <c r="A3764" t="s">
        <v>4591</v>
      </c>
      <c r="B3764" s="1">
        <v>46096</v>
      </c>
      <c r="C3764" t="s">
        <v>2113</v>
      </c>
      <c r="D3764" t="s">
        <v>71</v>
      </c>
      <c r="E3764" t="s">
        <v>21</v>
      </c>
      <c r="F3764">
        <v>2</v>
      </c>
      <c r="G3764">
        <v>499</v>
      </c>
      <c r="H3764">
        <v>0.1</v>
      </c>
      <c r="I3764" t="s">
        <v>50</v>
      </c>
      <c r="J3764" t="s">
        <v>28</v>
      </c>
      <c r="K3764" t="s">
        <v>17</v>
      </c>
      <c r="L3764">
        <f>F3763*G3763*(1-H3763)</f>
        <v>1299</v>
      </c>
    </row>
    <row r="3765" spans="1:12">
      <c r="A3765" t="s">
        <v>4592</v>
      </c>
      <c r="B3765" s="1">
        <v>46066</v>
      </c>
      <c r="C3765" t="s">
        <v>942</v>
      </c>
      <c r="D3765" t="s">
        <v>56</v>
      </c>
      <c r="E3765" t="s">
        <v>35</v>
      </c>
      <c r="F3765">
        <v>3</v>
      </c>
      <c r="G3765">
        <v>7999</v>
      </c>
      <c r="H3765">
        <v>0</v>
      </c>
      <c r="I3765" t="s">
        <v>32</v>
      </c>
      <c r="J3765" t="s">
        <v>28</v>
      </c>
      <c r="K3765" t="s">
        <v>17</v>
      </c>
      <c r="L3765">
        <f>F3764*G3764*(1-H3764)</f>
        <v>898.2</v>
      </c>
    </row>
    <row r="3766" spans="1:12">
      <c r="A3766" t="s">
        <v>4593</v>
      </c>
      <c r="B3766" s="1">
        <v>46243</v>
      </c>
      <c r="C3766" t="s">
        <v>1845</v>
      </c>
      <c r="D3766" t="s">
        <v>71</v>
      </c>
      <c r="E3766" t="s">
        <v>14</v>
      </c>
      <c r="F3766">
        <v>2</v>
      </c>
      <c r="G3766">
        <v>599</v>
      </c>
      <c r="H3766">
        <v>0.1</v>
      </c>
      <c r="I3766" t="s">
        <v>44</v>
      </c>
      <c r="J3766" t="s">
        <v>16</v>
      </c>
      <c r="K3766" t="s">
        <v>37</v>
      </c>
      <c r="L3766">
        <f>F3765*G3765*(1-H3765)</f>
        <v>23997</v>
      </c>
    </row>
    <row r="3767" spans="1:12">
      <c r="A3767" t="s">
        <v>4594</v>
      </c>
      <c r="B3767" s="1">
        <v>46182</v>
      </c>
      <c r="C3767" t="s">
        <v>2130</v>
      </c>
      <c r="D3767" t="s">
        <v>13</v>
      </c>
      <c r="E3767" t="s">
        <v>40</v>
      </c>
      <c r="F3767">
        <v>3</v>
      </c>
      <c r="G3767">
        <v>799</v>
      </c>
      <c r="H3767">
        <v>0</v>
      </c>
      <c r="I3767" t="s">
        <v>47</v>
      </c>
      <c r="J3767" t="s">
        <v>36</v>
      </c>
      <c r="K3767" t="s">
        <v>23</v>
      </c>
      <c r="L3767">
        <f>F3766*G3766*(1-H3766)</f>
        <v>1078.2</v>
      </c>
    </row>
    <row r="3768" spans="1:12">
      <c r="A3768" t="s">
        <v>4595</v>
      </c>
      <c r="B3768" s="1">
        <v>46163</v>
      </c>
      <c r="C3768" t="s">
        <v>1559</v>
      </c>
      <c r="D3768" t="s">
        <v>43</v>
      </c>
      <c r="E3768" t="s">
        <v>35</v>
      </c>
      <c r="F3768">
        <v>2</v>
      </c>
      <c r="G3768">
        <v>1999</v>
      </c>
      <c r="H3768">
        <v>0.05</v>
      </c>
      <c r="I3768" t="s">
        <v>47</v>
      </c>
      <c r="J3768" t="s">
        <v>28</v>
      </c>
      <c r="K3768" t="s">
        <v>23</v>
      </c>
      <c r="L3768">
        <f>F3767*G3767*(1-H3767)</f>
        <v>2397</v>
      </c>
    </row>
    <row r="3769" spans="1:12">
      <c r="A3769" t="s">
        <v>4596</v>
      </c>
      <c r="B3769" s="1">
        <v>46196</v>
      </c>
      <c r="C3769" t="s">
        <v>1250</v>
      </c>
      <c r="D3769" t="s">
        <v>59</v>
      </c>
      <c r="E3769" t="s">
        <v>35</v>
      </c>
      <c r="F3769">
        <v>5</v>
      </c>
      <c r="G3769">
        <v>1299</v>
      </c>
      <c r="H3769">
        <v>0.05</v>
      </c>
      <c r="I3769" t="s">
        <v>47</v>
      </c>
      <c r="J3769" t="s">
        <v>16</v>
      </c>
      <c r="K3769" t="s">
        <v>23</v>
      </c>
      <c r="L3769">
        <f>F3768*G3768*(1-H3768)</f>
        <v>3798.1</v>
      </c>
    </row>
    <row r="3770" spans="1:12">
      <c r="A3770" t="s">
        <v>4597</v>
      </c>
      <c r="B3770" s="1">
        <v>46041</v>
      </c>
      <c r="C3770" t="s">
        <v>1074</v>
      </c>
      <c r="D3770" t="s">
        <v>62</v>
      </c>
      <c r="E3770" t="s">
        <v>35</v>
      </c>
      <c r="F3770">
        <v>1</v>
      </c>
      <c r="G3770">
        <v>999</v>
      </c>
      <c r="H3770">
        <v>0.05</v>
      </c>
      <c r="I3770" t="s">
        <v>44</v>
      </c>
      <c r="J3770" t="s">
        <v>28</v>
      </c>
      <c r="K3770" t="s">
        <v>23</v>
      </c>
      <c r="L3770">
        <f>F3769*G3769*(1-H3769)</f>
        <v>6170.25</v>
      </c>
    </row>
    <row r="3771" spans="1:12">
      <c r="A3771" t="s">
        <v>4598</v>
      </c>
      <c r="B3771" s="1">
        <v>46062</v>
      </c>
      <c r="C3771" t="s">
        <v>4179</v>
      </c>
      <c r="D3771" t="s">
        <v>26</v>
      </c>
      <c r="E3771" t="s">
        <v>14</v>
      </c>
      <c r="F3771">
        <v>3</v>
      </c>
      <c r="G3771">
        <v>799</v>
      </c>
      <c r="H3771">
        <v>0</v>
      </c>
      <c r="I3771" t="s">
        <v>15</v>
      </c>
      <c r="J3771" t="s">
        <v>22</v>
      </c>
      <c r="K3771" t="s">
        <v>37</v>
      </c>
      <c r="L3771">
        <f>F3770*G3770*(1-H3770)</f>
        <v>949.05</v>
      </c>
    </row>
    <row r="3772" spans="1:12">
      <c r="A3772" t="s">
        <v>4599</v>
      </c>
      <c r="B3772" s="1">
        <v>46059</v>
      </c>
      <c r="C3772" t="s">
        <v>521</v>
      </c>
      <c r="D3772" t="s">
        <v>56</v>
      </c>
      <c r="E3772" t="s">
        <v>14</v>
      </c>
      <c r="F3772">
        <v>3</v>
      </c>
      <c r="G3772">
        <v>1299</v>
      </c>
      <c r="H3772">
        <v>0.1</v>
      </c>
      <c r="I3772" t="s">
        <v>15</v>
      </c>
      <c r="J3772" t="s">
        <v>16</v>
      </c>
      <c r="K3772" t="s">
        <v>37</v>
      </c>
      <c r="L3772">
        <f>F3771*G3771*(1-H3771)</f>
        <v>2397</v>
      </c>
    </row>
    <row r="3773" spans="1:12">
      <c r="A3773" t="s">
        <v>4600</v>
      </c>
      <c r="B3773" s="1">
        <v>46295</v>
      </c>
      <c r="C3773" t="s">
        <v>259</v>
      </c>
      <c r="D3773" t="s">
        <v>62</v>
      </c>
      <c r="E3773" t="s">
        <v>27</v>
      </c>
      <c r="F3773">
        <v>3</v>
      </c>
      <c r="G3773">
        <v>799</v>
      </c>
      <c r="H3773">
        <v>0</v>
      </c>
      <c r="I3773" t="s">
        <v>44</v>
      </c>
      <c r="J3773" t="s">
        <v>28</v>
      </c>
      <c r="K3773" t="s">
        <v>17</v>
      </c>
      <c r="L3773">
        <f>F3772*G3772*(1-H3772)</f>
        <v>3507.3</v>
      </c>
    </row>
    <row r="3774" spans="1:12">
      <c r="A3774" t="s">
        <v>4601</v>
      </c>
      <c r="B3774" s="1">
        <v>46137</v>
      </c>
      <c r="C3774" t="s">
        <v>2005</v>
      </c>
      <c r="D3774" t="s">
        <v>59</v>
      </c>
      <c r="E3774" t="s">
        <v>14</v>
      </c>
      <c r="F3774">
        <v>2</v>
      </c>
      <c r="G3774">
        <v>7999</v>
      </c>
      <c r="H3774">
        <v>0.1</v>
      </c>
      <c r="I3774" t="s">
        <v>44</v>
      </c>
      <c r="J3774" t="s">
        <v>28</v>
      </c>
      <c r="K3774" t="s">
        <v>17</v>
      </c>
      <c r="L3774">
        <f>F3773*G3773*(1-H3773)</f>
        <v>2397</v>
      </c>
    </row>
    <row r="3775" spans="1:12">
      <c r="A3775" t="s">
        <v>4602</v>
      </c>
      <c r="B3775" s="1">
        <v>46195</v>
      </c>
      <c r="C3775" t="s">
        <v>448</v>
      </c>
      <c r="D3775" t="s">
        <v>26</v>
      </c>
      <c r="E3775" t="s">
        <v>14</v>
      </c>
      <c r="F3775">
        <v>1</v>
      </c>
      <c r="G3775">
        <v>1499</v>
      </c>
      <c r="H3775">
        <v>0</v>
      </c>
      <c r="I3775" t="s">
        <v>32</v>
      </c>
      <c r="J3775" t="s">
        <v>28</v>
      </c>
      <c r="K3775" t="s">
        <v>23</v>
      </c>
      <c r="L3775">
        <f>F3774*G3774*(1-H3774)</f>
        <v>14398.2</v>
      </c>
    </row>
    <row r="3776" spans="1:12">
      <c r="A3776" t="s">
        <v>4603</v>
      </c>
      <c r="B3776" s="1">
        <v>46103</v>
      </c>
      <c r="C3776" t="s">
        <v>1239</v>
      </c>
      <c r="D3776" t="s">
        <v>78</v>
      </c>
      <c r="E3776" t="s">
        <v>35</v>
      </c>
      <c r="F3776">
        <v>3</v>
      </c>
      <c r="G3776">
        <v>4999</v>
      </c>
      <c r="H3776">
        <v>0.05</v>
      </c>
      <c r="I3776" t="s">
        <v>32</v>
      </c>
      <c r="J3776" t="s">
        <v>51</v>
      </c>
      <c r="K3776" t="s">
        <v>17</v>
      </c>
      <c r="L3776">
        <f>F3775*G3775*(1-H3775)</f>
        <v>1499</v>
      </c>
    </row>
    <row r="3777" spans="1:12">
      <c r="A3777" t="s">
        <v>4604</v>
      </c>
      <c r="B3777" s="1">
        <v>46165</v>
      </c>
      <c r="C3777" t="s">
        <v>1347</v>
      </c>
      <c r="D3777" t="s">
        <v>59</v>
      </c>
      <c r="E3777" t="s">
        <v>40</v>
      </c>
      <c r="F3777">
        <v>1</v>
      </c>
      <c r="G3777">
        <v>999</v>
      </c>
      <c r="H3777">
        <v>0.15</v>
      </c>
      <c r="I3777" t="s">
        <v>32</v>
      </c>
      <c r="J3777" t="s">
        <v>16</v>
      </c>
      <c r="K3777" t="s">
        <v>23</v>
      </c>
      <c r="L3777">
        <f>F3776*G3776*(1-H3776)</f>
        <v>14247.15</v>
      </c>
    </row>
    <row r="3778" spans="1:12">
      <c r="A3778" t="s">
        <v>4605</v>
      </c>
      <c r="B3778" s="1">
        <v>46075</v>
      </c>
      <c r="C3778" t="s">
        <v>1859</v>
      </c>
      <c r="D3778" t="s">
        <v>26</v>
      </c>
      <c r="E3778" t="s">
        <v>40</v>
      </c>
      <c r="F3778">
        <v>5</v>
      </c>
      <c r="G3778">
        <v>4999</v>
      </c>
      <c r="H3778">
        <v>0.1</v>
      </c>
      <c r="I3778" t="s">
        <v>44</v>
      </c>
      <c r="J3778" t="s">
        <v>16</v>
      </c>
      <c r="K3778" t="s">
        <v>17</v>
      </c>
      <c r="L3778">
        <f>F3777*G3777*(1-H3777)</f>
        <v>849.15</v>
      </c>
    </row>
    <row r="3779" spans="1:12">
      <c r="A3779" t="s">
        <v>4606</v>
      </c>
      <c r="B3779" s="1">
        <v>46158</v>
      </c>
      <c r="C3779" t="s">
        <v>77</v>
      </c>
      <c r="D3779" t="s">
        <v>62</v>
      </c>
      <c r="E3779" t="s">
        <v>21</v>
      </c>
      <c r="F3779">
        <v>1</v>
      </c>
      <c r="G3779">
        <v>499</v>
      </c>
      <c r="H3779">
        <v>0.1</v>
      </c>
      <c r="I3779" t="s">
        <v>15</v>
      </c>
      <c r="J3779" t="s">
        <v>36</v>
      </c>
      <c r="K3779" t="s">
        <v>17</v>
      </c>
      <c r="L3779">
        <f>F3778*G3778*(1-H3778)</f>
        <v>22495.5</v>
      </c>
    </row>
    <row r="3780" spans="1:12">
      <c r="A3780" t="s">
        <v>4607</v>
      </c>
      <c r="B3780" s="1">
        <v>46086</v>
      </c>
      <c r="C3780" t="s">
        <v>1066</v>
      </c>
      <c r="D3780" t="s">
        <v>13</v>
      </c>
      <c r="E3780" t="s">
        <v>27</v>
      </c>
      <c r="F3780">
        <v>5</v>
      </c>
      <c r="G3780">
        <v>1499</v>
      </c>
      <c r="H3780">
        <v>0</v>
      </c>
      <c r="I3780" t="s">
        <v>47</v>
      </c>
      <c r="J3780" t="s">
        <v>28</v>
      </c>
      <c r="K3780" t="s">
        <v>17</v>
      </c>
      <c r="L3780">
        <f>F3779*G3779*(1-H3779)</f>
        <v>449.1</v>
      </c>
    </row>
    <row r="3781" spans="1:12">
      <c r="A3781" t="s">
        <v>4608</v>
      </c>
      <c r="B3781" s="1">
        <v>46177</v>
      </c>
      <c r="C3781" t="s">
        <v>526</v>
      </c>
      <c r="D3781" t="s">
        <v>78</v>
      </c>
      <c r="E3781" t="s">
        <v>27</v>
      </c>
      <c r="F3781">
        <v>4</v>
      </c>
      <c r="G3781">
        <v>1999</v>
      </c>
      <c r="H3781">
        <v>0</v>
      </c>
      <c r="I3781" t="s">
        <v>15</v>
      </c>
      <c r="J3781" t="s">
        <v>36</v>
      </c>
      <c r="K3781" t="s">
        <v>17</v>
      </c>
      <c r="L3781">
        <f>F3780*G3780*(1-H3780)</f>
        <v>7495</v>
      </c>
    </row>
    <row r="3782" spans="1:12">
      <c r="A3782" t="s">
        <v>4609</v>
      </c>
      <c r="B3782" s="1">
        <v>46042</v>
      </c>
      <c r="C3782" t="s">
        <v>1105</v>
      </c>
      <c r="D3782" t="s">
        <v>59</v>
      </c>
      <c r="E3782" t="s">
        <v>21</v>
      </c>
      <c r="F3782">
        <v>2</v>
      </c>
      <c r="G3782">
        <v>1299</v>
      </c>
      <c r="H3782">
        <v>0.1</v>
      </c>
      <c r="I3782" t="s">
        <v>50</v>
      </c>
      <c r="J3782" t="s">
        <v>22</v>
      </c>
      <c r="K3782" t="s">
        <v>17</v>
      </c>
      <c r="L3782">
        <f>F3781*G3781*(1-H3781)</f>
        <v>7996</v>
      </c>
    </row>
    <row r="3783" spans="1:12">
      <c r="A3783" t="s">
        <v>4610</v>
      </c>
      <c r="B3783" s="1">
        <v>46132</v>
      </c>
      <c r="C3783" t="s">
        <v>783</v>
      </c>
      <c r="D3783" t="s">
        <v>20</v>
      </c>
      <c r="E3783" t="s">
        <v>35</v>
      </c>
      <c r="F3783">
        <v>3</v>
      </c>
      <c r="G3783">
        <v>999</v>
      </c>
      <c r="H3783">
        <v>0.1</v>
      </c>
      <c r="I3783" t="s">
        <v>47</v>
      </c>
      <c r="J3783" t="s">
        <v>51</v>
      </c>
      <c r="K3783" t="s">
        <v>17</v>
      </c>
      <c r="L3783">
        <f>F3782*G3782*(1-H3782)</f>
        <v>2338.2000000000003</v>
      </c>
    </row>
    <row r="3784" spans="1:12">
      <c r="A3784" t="s">
        <v>4611</v>
      </c>
      <c r="B3784" s="1">
        <v>46224</v>
      </c>
      <c r="C3784" t="s">
        <v>697</v>
      </c>
      <c r="D3784" t="s">
        <v>56</v>
      </c>
      <c r="E3784" t="s">
        <v>21</v>
      </c>
      <c r="F3784">
        <v>2</v>
      </c>
      <c r="G3784">
        <v>2499</v>
      </c>
      <c r="H3784">
        <v>0</v>
      </c>
      <c r="I3784" t="s">
        <v>44</v>
      </c>
      <c r="J3784" t="s">
        <v>28</v>
      </c>
      <c r="K3784" t="s">
        <v>17</v>
      </c>
      <c r="L3784">
        <f>F3783*G3783*(1-H3783)</f>
        <v>2697.3</v>
      </c>
    </row>
    <row r="3785" spans="1:12">
      <c r="A3785" t="s">
        <v>4612</v>
      </c>
      <c r="B3785" s="1">
        <v>46178</v>
      </c>
      <c r="C3785" t="s">
        <v>989</v>
      </c>
      <c r="D3785" t="s">
        <v>71</v>
      </c>
      <c r="E3785" t="s">
        <v>14</v>
      </c>
      <c r="F3785">
        <v>5</v>
      </c>
      <c r="G3785">
        <v>599</v>
      </c>
      <c r="H3785">
        <v>0.15</v>
      </c>
      <c r="I3785" t="s">
        <v>47</v>
      </c>
      <c r="J3785" t="s">
        <v>28</v>
      </c>
      <c r="K3785" t="s">
        <v>17</v>
      </c>
      <c r="L3785">
        <f>F3784*G3784*(1-H3784)</f>
        <v>4998</v>
      </c>
    </row>
    <row r="3786" spans="1:12">
      <c r="A3786" t="s">
        <v>4613</v>
      </c>
      <c r="B3786" s="1">
        <v>46253</v>
      </c>
      <c r="C3786" t="s">
        <v>4405</v>
      </c>
      <c r="D3786" t="s">
        <v>31</v>
      </c>
      <c r="E3786" t="s">
        <v>27</v>
      </c>
      <c r="F3786">
        <v>3</v>
      </c>
      <c r="G3786">
        <v>4999</v>
      </c>
      <c r="H3786">
        <v>0</v>
      </c>
      <c r="I3786" t="s">
        <v>50</v>
      </c>
      <c r="J3786" t="s">
        <v>16</v>
      </c>
      <c r="K3786" t="s">
        <v>23</v>
      </c>
      <c r="L3786">
        <f>F3785*G3785*(1-H3785)</f>
        <v>2545.75</v>
      </c>
    </row>
    <row r="3787" spans="1:12">
      <c r="A3787" t="s">
        <v>4614</v>
      </c>
      <c r="B3787" s="1">
        <v>46149</v>
      </c>
      <c r="C3787" t="s">
        <v>2078</v>
      </c>
      <c r="D3787" t="s">
        <v>78</v>
      </c>
      <c r="E3787" t="s">
        <v>40</v>
      </c>
      <c r="F3787">
        <v>2</v>
      </c>
      <c r="G3787">
        <v>599</v>
      </c>
      <c r="H3787">
        <v>0.05</v>
      </c>
      <c r="I3787" t="s">
        <v>47</v>
      </c>
      <c r="J3787" t="s">
        <v>16</v>
      </c>
      <c r="K3787" t="s">
        <v>23</v>
      </c>
      <c r="L3787">
        <f>F3786*G3786*(1-H3786)</f>
        <v>14997</v>
      </c>
    </row>
    <row r="3788" spans="1:12">
      <c r="A3788" t="s">
        <v>4615</v>
      </c>
      <c r="B3788" s="1">
        <v>46116</v>
      </c>
      <c r="C3788" t="s">
        <v>432</v>
      </c>
      <c r="D3788" t="s">
        <v>31</v>
      </c>
      <c r="E3788" t="s">
        <v>27</v>
      </c>
      <c r="F3788">
        <v>4</v>
      </c>
      <c r="G3788">
        <v>2499</v>
      </c>
      <c r="H3788">
        <v>0.1</v>
      </c>
      <c r="I3788" t="s">
        <v>50</v>
      </c>
      <c r="J3788" t="s">
        <v>16</v>
      </c>
      <c r="K3788" t="s">
        <v>17</v>
      </c>
      <c r="L3788">
        <f>F3787*G3787*(1-H3787)</f>
        <v>1138.0999999999999</v>
      </c>
    </row>
    <row r="3789" spans="1:12">
      <c r="A3789" t="s">
        <v>4616</v>
      </c>
      <c r="B3789" s="1">
        <v>46183</v>
      </c>
      <c r="C3789" t="s">
        <v>458</v>
      </c>
      <c r="D3789" t="s">
        <v>26</v>
      </c>
      <c r="E3789" t="s">
        <v>14</v>
      </c>
      <c r="F3789">
        <v>2</v>
      </c>
      <c r="G3789">
        <v>1499</v>
      </c>
      <c r="H3789">
        <v>0.1</v>
      </c>
      <c r="I3789" t="s">
        <v>15</v>
      </c>
      <c r="J3789" t="s">
        <v>16</v>
      </c>
      <c r="K3789" t="s">
        <v>17</v>
      </c>
      <c r="L3789">
        <f>F3788*G3788*(1-H3788)</f>
        <v>8996.4</v>
      </c>
    </row>
    <row r="3790" spans="1:12">
      <c r="A3790" t="s">
        <v>4617</v>
      </c>
      <c r="B3790" s="1">
        <v>46207</v>
      </c>
      <c r="C3790" t="s">
        <v>673</v>
      </c>
      <c r="D3790" t="s">
        <v>43</v>
      </c>
      <c r="E3790" t="s">
        <v>35</v>
      </c>
      <c r="F3790">
        <v>4</v>
      </c>
      <c r="G3790">
        <v>1299</v>
      </c>
      <c r="H3790">
        <v>0.05</v>
      </c>
      <c r="I3790" t="s">
        <v>44</v>
      </c>
      <c r="J3790" t="s">
        <v>22</v>
      </c>
      <c r="K3790" t="s">
        <v>17</v>
      </c>
      <c r="L3790">
        <f>F3789*G3789*(1-H3789)</f>
        <v>2698.2000000000003</v>
      </c>
    </row>
    <row r="3791" spans="1:12">
      <c r="A3791" t="s">
        <v>4618</v>
      </c>
      <c r="B3791" s="1">
        <v>46155</v>
      </c>
      <c r="C3791" t="s">
        <v>261</v>
      </c>
      <c r="D3791" t="s">
        <v>20</v>
      </c>
      <c r="E3791" t="s">
        <v>21</v>
      </c>
      <c r="F3791">
        <v>5</v>
      </c>
      <c r="G3791">
        <v>2499</v>
      </c>
      <c r="H3791">
        <v>0</v>
      </c>
      <c r="I3791" t="s">
        <v>50</v>
      </c>
      <c r="J3791" t="s">
        <v>51</v>
      </c>
      <c r="K3791" t="s">
        <v>17</v>
      </c>
      <c r="L3791">
        <f>F3790*G3790*(1-H3790)</f>
        <v>4936.2</v>
      </c>
    </row>
    <row r="3792" spans="1:12">
      <c r="A3792" t="s">
        <v>4619</v>
      </c>
      <c r="B3792" s="1">
        <v>46282</v>
      </c>
      <c r="C3792" t="s">
        <v>2353</v>
      </c>
      <c r="D3792" t="s">
        <v>71</v>
      </c>
      <c r="E3792" t="s">
        <v>21</v>
      </c>
      <c r="F3792">
        <v>2</v>
      </c>
      <c r="G3792">
        <v>7999</v>
      </c>
      <c r="H3792">
        <v>0</v>
      </c>
      <c r="I3792" t="s">
        <v>44</v>
      </c>
      <c r="J3792" t="s">
        <v>28</v>
      </c>
      <c r="K3792" t="s">
        <v>17</v>
      </c>
      <c r="L3792">
        <f>F3791*G3791*(1-H3791)</f>
        <v>12495</v>
      </c>
    </row>
    <row r="3793" spans="1:12">
      <c r="A3793" t="s">
        <v>4620</v>
      </c>
      <c r="B3793" s="1">
        <v>46252</v>
      </c>
      <c r="C3793" t="s">
        <v>53</v>
      </c>
      <c r="D3793" t="s">
        <v>71</v>
      </c>
      <c r="E3793" t="s">
        <v>21</v>
      </c>
      <c r="F3793">
        <v>3</v>
      </c>
      <c r="G3793">
        <v>999</v>
      </c>
      <c r="H3793">
        <v>0.15</v>
      </c>
      <c r="I3793" t="s">
        <v>47</v>
      </c>
      <c r="J3793" t="s">
        <v>36</v>
      </c>
      <c r="K3793" t="s">
        <v>23</v>
      </c>
      <c r="L3793">
        <f>F3792*G3792*(1-H3792)</f>
        <v>15998</v>
      </c>
    </row>
    <row r="3794" spans="1:12">
      <c r="A3794" t="s">
        <v>4621</v>
      </c>
      <c r="B3794" s="1">
        <v>46235</v>
      </c>
      <c r="C3794" t="s">
        <v>1454</v>
      </c>
      <c r="D3794" t="s">
        <v>71</v>
      </c>
      <c r="E3794" t="s">
        <v>27</v>
      </c>
      <c r="F3794">
        <v>2</v>
      </c>
      <c r="G3794">
        <v>799</v>
      </c>
      <c r="H3794">
        <v>0.15</v>
      </c>
      <c r="I3794" t="s">
        <v>50</v>
      </c>
      <c r="J3794" t="s">
        <v>22</v>
      </c>
      <c r="K3794" t="s">
        <v>23</v>
      </c>
      <c r="L3794">
        <f>F3793*G3793*(1-H3793)</f>
        <v>2547.4499999999998</v>
      </c>
    </row>
    <row r="3795" spans="1:12">
      <c r="A3795" t="s">
        <v>4622</v>
      </c>
      <c r="B3795" s="1">
        <v>46163</v>
      </c>
      <c r="C3795" t="s">
        <v>965</v>
      </c>
      <c r="D3795" t="s">
        <v>71</v>
      </c>
      <c r="E3795" t="s">
        <v>35</v>
      </c>
      <c r="F3795">
        <v>5</v>
      </c>
      <c r="G3795">
        <v>499</v>
      </c>
      <c r="H3795">
        <v>0</v>
      </c>
      <c r="I3795" t="s">
        <v>47</v>
      </c>
      <c r="J3795" t="s">
        <v>36</v>
      </c>
      <c r="K3795" t="s">
        <v>17</v>
      </c>
      <c r="L3795">
        <f>F3794*G3794*(1-H3794)</f>
        <v>1358.3</v>
      </c>
    </row>
    <row r="3796" spans="1:12">
      <c r="A3796" t="s">
        <v>4623</v>
      </c>
      <c r="B3796" s="1">
        <v>46151</v>
      </c>
      <c r="C3796" t="s">
        <v>1097</v>
      </c>
      <c r="D3796" t="s">
        <v>78</v>
      </c>
      <c r="E3796" t="s">
        <v>27</v>
      </c>
      <c r="F3796">
        <v>1</v>
      </c>
      <c r="G3796">
        <v>1499</v>
      </c>
      <c r="H3796">
        <v>0</v>
      </c>
      <c r="I3796" t="s">
        <v>50</v>
      </c>
      <c r="J3796" t="s">
        <v>16</v>
      </c>
      <c r="K3796" t="s">
        <v>37</v>
      </c>
      <c r="L3796">
        <f>F3795*G3795*(1-H3795)</f>
        <v>2495</v>
      </c>
    </row>
    <row r="3797" spans="1:12">
      <c r="A3797" t="s">
        <v>4624</v>
      </c>
      <c r="B3797" s="1">
        <v>46052</v>
      </c>
      <c r="C3797" t="s">
        <v>1454</v>
      </c>
      <c r="D3797" t="s">
        <v>13</v>
      </c>
      <c r="E3797" t="s">
        <v>35</v>
      </c>
      <c r="F3797">
        <v>5</v>
      </c>
      <c r="G3797">
        <v>1999</v>
      </c>
      <c r="H3797">
        <v>0.05</v>
      </c>
      <c r="I3797" t="s">
        <v>32</v>
      </c>
      <c r="J3797" t="s">
        <v>36</v>
      </c>
      <c r="K3797" t="s">
        <v>17</v>
      </c>
      <c r="L3797">
        <f>F3796*G3796*(1-H3796)</f>
        <v>1499</v>
      </c>
    </row>
    <row r="3798" spans="1:12">
      <c r="A3798" t="s">
        <v>4625</v>
      </c>
      <c r="B3798" s="1">
        <v>46213</v>
      </c>
      <c r="C3798" t="s">
        <v>755</v>
      </c>
      <c r="D3798" t="s">
        <v>13</v>
      </c>
      <c r="E3798" t="s">
        <v>14</v>
      </c>
      <c r="F3798">
        <v>5</v>
      </c>
      <c r="G3798">
        <v>999</v>
      </c>
      <c r="H3798">
        <v>0.15</v>
      </c>
      <c r="I3798" t="s">
        <v>44</v>
      </c>
      <c r="J3798" t="s">
        <v>51</v>
      </c>
      <c r="K3798" t="s">
        <v>17</v>
      </c>
      <c r="L3798">
        <f>F3797*G3797*(1-H3797)</f>
        <v>9495.25</v>
      </c>
    </row>
    <row r="3799" spans="1:12">
      <c r="A3799" t="s">
        <v>4626</v>
      </c>
      <c r="B3799" s="1">
        <v>46140</v>
      </c>
      <c r="C3799" t="s">
        <v>1625</v>
      </c>
      <c r="D3799" t="s">
        <v>20</v>
      </c>
      <c r="E3799" t="s">
        <v>27</v>
      </c>
      <c r="F3799">
        <v>2</v>
      </c>
      <c r="G3799">
        <v>1499</v>
      </c>
      <c r="H3799">
        <v>0</v>
      </c>
      <c r="I3799" t="s">
        <v>15</v>
      </c>
      <c r="J3799" t="s">
        <v>51</v>
      </c>
      <c r="K3799" t="s">
        <v>17</v>
      </c>
      <c r="L3799">
        <f>F3798*G3798*(1-H3798)</f>
        <v>4245.75</v>
      </c>
    </row>
    <row r="3800" spans="1:12">
      <c r="A3800" t="s">
        <v>4627</v>
      </c>
      <c r="B3800" s="1">
        <v>46286</v>
      </c>
      <c r="C3800" t="s">
        <v>66</v>
      </c>
      <c r="D3800" t="s">
        <v>31</v>
      </c>
      <c r="E3800" t="s">
        <v>40</v>
      </c>
      <c r="F3800">
        <v>1</v>
      </c>
      <c r="G3800">
        <v>499</v>
      </c>
      <c r="H3800">
        <v>0.1</v>
      </c>
      <c r="I3800" t="s">
        <v>44</v>
      </c>
      <c r="J3800" t="s">
        <v>16</v>
      </c>
      <c r="K3800" t="s">
        <v>23</v>
      </c>
      <c r="L3800">
        <f>F3799*G3799*(1-H3799)</f>
        <v>2998</v>
      </c>
    </row>
    <row r="3801" spans="1:12">
      <c r="A3801" t="s">
        <v>4628</v>
      </c>
      <c r="B3801" s="1">
        <v>46065</v>
      </c>
      <c r="C3801" t="s">
        <v>2034</v>
      </c>
      <c r="D3801" t="s">
        <v>78</v>
      </c>
      <c r="E3801" t="s">
        <v>27</v>
      </c>
      <c r="F3801">
        <v>5</v>
      </c>
      <c r="G3801">
        <v>499</v>
      </c>
      <c r="H3801">
        <v>0.1</v>
      </c>
      <c r="I3801" t="s">
        <v>50</v>
      </c>
      <c r="J3801" t="s">
        <v>28</v>
      </c>
      <c r="K3801" t="s">
        <v>23</v>
      </c>
      <c r="L3801">
        <f>F3800*G3800*(1-H3800)</f>
        <v>449.1</v>
      </c>
    </row>
    <row r="3802" spans="1:12">
      <c r="A3802" t="s">
        <v>4629</v>
      </c>
      <c r="B3802" s="1">
        <v>46061</v>
      </c>
      <c r="C3802" t="s">
        <v>1227</v>
      </c>
      <c r="D3802" t="s">
        <v>56</v>
      </c>
      <c r="E3802" t="s">
        <v>14</v>
      </c>
      <c r="F3802">
        <v>2</v>
      </c>
      <c r="G3802">
        <v>2499</v>
      </c>
      <c r="H3802">
        <v>0</v>
      </c>
      <c r="I3802" t="s">
        <v>32</v>
      </c>
      <c r="J3802" t="s">
        <v>22</v>
      </c>
      <c r="K3802" t="s">
        <v>17</v>
      </c>
      <c r="L3802">
        <f>F3801*G3801*(1-H3801)</f>
        <v>2245.5</v>
      </c>
    </row>
    <row r="3803" spans="1:12">
      <c r="A3803" t="s">
        <v>4630</v>
      </c>
      <c r="B3803" s="1">
        <v>46125</v>
      </c>
      <c r="C3803" t="s">
        <v>1716</v>
      </c>
      <c r="D3803" t="s">
        <v>62</v>
      </c>
      <c r="E3803" t="s">
        <v>14</v>
      </c>
      <c r="F3803">
        <v>2</v>
      </c>
      <c r="G3803">
        <v>2499</v>
      </c>
      <c r="H3803">
        <v>0.1</v>
      </c>
      <c r="I3803" t="s">
        <v>47</v>
      </c>
      <c r="J3803" t="s">
        <v>28</v>
      </c>
      <c r="K3803" t="s">
        <v>23</v>
      </c>
      <c r="L3803">
        <f>F3802*G3802*(1-H3802)</f>
        <v>4998</v>
      </c>
    </row>
    <row r="3804" spans="1:12">
      <c r="A3804" t="s">
        <v>4631</v>
      </c>
      <c r="B3804" s="1">
        <v>46103</v>
      </c>
      <c r="C3804" t="s">
        <v>2191</v>
      </c>
      <c r="D3804" t="s">
        <v>62</v>
      </c>
      <c r="E3804" t="s">
        <v>40</v>
      </c>
      <c r="F3804">
        <v>2</v>
      </c>
      <c r="G3804">
        <v>1499</v>
      </c>
      <c r="H3804">
        <v>0</v>
      </c>
      <c r="I3804" t="s">
        <v>50</v>
      </c>
      <c r="J3804" t="s">
        <v>36</v>
      </c>
      <c r="K3804" t="s">
        <v>17</v>
      </c>
      <c r="L3804">
        <f>F3803*G3803*(1-H3803)</f>
        <v>4498.2</v>
      </c>
    </row>
    <row r="3805" spans="1:12">
      <c r="A3805" t="s">
        <v>4632</v>
      </c>
      <c r="B3805" s="1">
        <v>46282</v>
      </c>
      <c r="C3805" t="s">
        <v>380</v>
      </c>
      <c r="D3805" t="s">
        <v>20</v>
      </c>
      <c r="E3805" t="s">
        <v>14</v>
      </c>
      <c r="F3805">
        <v>1</v>
      </c>
      <c r="G3805">
        <v>1999</v>
      </c>
      <c r="H3805">
        <v>0.05</v>
      </c>
      <c r="I3805" t="s">
        <v>50</v>
      </c>
      <c r="J3805" t="s">
        <v>28</v>
      </c>
      <c r="K3805" t="s">
        <v>23</v>
      </c>
      <c r="L3805">
        <f>F3804*G3804*(1-H3804)</f>
        <v>2998</v>
      </c>
    </row>
    <row r="3806" spans="1:12">
      <c r="A3806" t="s">
        <v>4633</v>
      </c>
      <c r="B3806" s="1">
        <v>46081</v>
      </c>
      <c r="C3806" t="s">
        <v>279</v>
      </c>
      <c r="D3806" t="s">
        <v>59</v>
      </c>
      <c r="E3806" t="s">
        <v>35</v>
      </c>
      <c r="F3806">
        <v>5</v>
      </c>
      <c r="G3806">
        <v>2499</v>
      </c>
      <c r="H3806">
        <v>0</v>
      </c>
      <c r="I3806" t="s">
        <v>44</v>
      </c>
      <c r="J3806" t="s">
        <v>36</v>
      </c>
      <c r="K3806" t="s">
        <v>17</v>
      </c>
      <c r="L3806">
        <f>F3805*G3805*(1-H3805)</f>
        <v>1899.05</v>
      </c>
    </row>
    <row r="3807" spans="1:12">
      <c r="A3807" t="s">
        <v>4634</v>
      </c>
      <c r="B3807" s="1">
        <v>46273</v>
      </c>
      <c r="C3807" t="s">
        <v>1983</v>
      </c>
      <c r="D3807" t="s">
        <v>31</v>
      </c>
      <c r="E3807" t="s">
        <v>40</v>
      </c>
      <c r="F3807">
        <v>3</v>
      </c>
      <c r="G3807">
        <v>599</v>
      </c>
      <c r="H3807">
        <v>0.15</v>
      </c>
      <c r="I3807" t="s">
        <v>32</v>
      </c>
      <c r="J3807" t="s">
        <v>51</v>
      </c>
      <c r="K3807" t="s">
        <v>23</v>
      </c>
      <c r="L3807">
        <f>F3806*G3806*(1-H3806)</f>
        <v>12495</v>
      </c>
    </row>
    <row r="3808" spans="1:12">
      <c r="A3808" t="s">
        <v>4635</v>
      </c>
      <c r="B3808" s="1">
        <v>46079</v>
      </c>
      <c r="C3808" t="s">
        <v>126</v>
      </c>
      <c r="D3808" t="s">
        <v>31</v>
      </c>
      <c r="E3808" t="s">
        <v>35</v>
      </c>
      <c r="F3808">
        <v>3</v>
      </c>
      <c r="G3808">
        <v>1299</v>
      </c>
      <c r="H3808">
        <v>0</v>
      </c>
      <c r="I3808" t="s">
        <v>32</v>
      </c>
      <c r="J3808" t="s">
        <v>28</v>
      </c>
      <c r="K3808" t="s">
        <v>17</v>
      </c>
      <c r="L3808">
        <f>F3807*G3807*(1-H3807)</f>
        <v>1527.45</v>
      </c>
    </row>
    <row r="3809" spans="1:12">
      <c r="A3809" t="s">
        <v>4636</v>
      </c>
      <c r="B3809" s="1">
        <v>46079</v>
      </c>
      <c r="C3809" t="s">
        <v>539</v>
      </c>
      <c r="D3809" t="s">
        <v>59</v>
      </c>
      <c r="E3809" t="s">
        <v>40</v>
      </c>
      <c r="F3809">
        <v>2</v>
      </c>
      <c r="G3809">
        <v>599</v>
      </c>
      <c r="H3809">
        <v>0</v>
      </c>
      <c r="I3809" t="s">
        <v>32</v>
      </c>
      <c r="J3809" t="s">
        <v>16</v>
      </c>
      <c r="K3809" t="s">
        <v>17</v>
      </c>
      <c r="L3809">
        <f>F3808*G3808*(1-H3808)</f>
        <v>3897</v>
      </c>
    </row>
    <row r="3810" spans="1:12">
      <c r="A3810" t="s">
        <v>4637</v>
      </c>
      <c r="B3810" s="1">
        <v>46189</v>
      </c>
      <c r="C3810" t="s">
        <v>1566</v>
      </c>
      <c r="D3810" t="s">
        <v>20</v>
      </c>
      <c r="E3810" t="s">
        <v>27</v>
      </c>
      <c r="F3810">
        <v>5</v>
      </c>
      <c r="G3810">
        <v>1999</v>
      </c>
      <c r="H3810">
        <v>0</v>
      </c>
      <c r="I3810" t="s">
        <v>44</v>
      </c>
      <c r="J3810" t="s">
        <v>16</v>
      </c>
      <c r="K3810" t="s">
        <v>17</v>
      </c>
      <c r="L3810">
        <f>F3809*G3809*(1-H3809)</f>
        <v>1198</v>
      </c>
    </row>
    <row r="3811" spans="1:12">
      <c r="A3811" t="s">
        <v>4638</v>
      </c>
      <c r="B3811" s="1">
        <v>46277</v>
      </c>
      <c r="C3811" t="s">
        <v>1716</v>
      </c>
      <c r="D3811" t="s">
        <v>43</v>
      </c>
      <c r="E3811" t="s">
        <v>35</v>
      </c>
      <c r="F3811">
        <v>2</v>
      </c>
      <c r="G3811">
        <v>7999</v>
      </c>
      <c r="H3811">
        <v>0</v>
      </c>
      <c r="I3811" t="s">
        <v>50</v>
      </c>
      <c r="J3811" t="s">
        <v>28</v>
      </c>
      <c r="K3811" t="s">
        <v>23</v>
      </c>
      <c r="L3811">
        <f>F3810*G3810*(1-H3810)</f>
        <v>9995</v>
      </c>
    </row>
    <row r="3812" spans="1:12">
      <c r="A3812" t="s">
        <v>4639</v>
      </c>
      <c r="B3812" s="1">
        <v>46042</v>
      </c>
      <c r="C3812" t="s">
        <v>1495</v>
      </c>
      <c r="D3812" t="s">
        <v>31</v>
      </c>
      <c r="E3812" t="s">
        <v>14</v>
      </c>
      <c r="F3812">
        <v>1</v>
      </c>
      <c r="G3812">
        <v>1999</v>
      </c>
      <c r="H3812">
        <v>0.1</v>
      </c>
      <c r="I3812" t="s">
        <v>44</v>
      </c>
      <c r="J3812" t="s">
        <v>16</v>
      </c>
      <c r="K3812" t="s">
        <v>17</v>
      </c>
      <c r="L3812">
        <f>F3811*G3811*(1-H3811)</f>
        <v>15998</v>
      </c>
    </row>
    <row r="3813" spans="1:12">
      <c r="A3813" t="s">
        <v>4640</v>
      </c>
      <c r="B3813" s="1">
        <v>46060</v>
      </c>
      <c r="C3813" t="s">
        <v>219</v>
      </c>
      <c r="D3813" t="s">
        <v>56</v>
      </c>
      <c r="E3813" t="s">
        <v>35</v>
      </c>
      <c r="F3813">
        <v>2</v>
      </c>
      <c r="G3813">
        <v>7999</v>
      </c>
      <c r="H3813">
        <v>0.05</v>
      </c>
      <c r="I3813" t="s">
        <v>50</v>
      </c>
      <c r="J3813" t="s">
        <v>16</v>
      </c>
      <c r="K3813" t="s">
        <v>37</v>
      </c>
      <c r="L3813">
        <f>F3812*G3812*(1-H3812)</f>
        <v>1799.1000000000001</v>
      </c>
    </row>
    <row r="3814" spans="1:12">
      <c r="A3814" t="s">
        <v>4641</v>
      </c>
      <c r="B3814" s="1">
        <v>46112</v>
      </c>
      <c r="C3814" t="s">
        <v>3227</v>
      </c>
      <c r="D3814" t="s">
        <v>78</v>
      </c>
      <c r="E3814" t="s">
        <v>21</v>
      </c>
      <c r="F3814">
        <v>5</v>
      </c>
      <c r="G3814">
        <v>499</v>
      </c>
      <c r="H3814">
        <v>0</v>
      </c>
      <c r="I3814" t="s">
        <v>47</v>
      </c>
      <c r="J3814" t="s">
        <v>36</v>
      </c>
      <c r="K3814" t="s">
        <v>17</v>
      </c>
      <c r="L3814">
        <f>F3813*G3813*(1-H3813)</f>
        <v>15198.099999999999</v>
      </c>
    </row>
    <row r="3815" spans="1:12">
      <c r="A3815" t="s">
        <v>4642</v>
      </c>
      <c r="B3815" s="1">
        <v>46224</v>
      </c>
      <c r="C3815" t="s">
        <v>201</v>
      </c>
      <c r="D3815" t="s">
        <v>20</v>
      </c>
      <c r="E3815" t="s">
        <v>21</v>
      </c>
      <c r="F3815">
        <v>4</v>
      </c>
      <c r="G3815">
        <v>7999</v>
      </c>
      <c r="H3815">
        <v>0.1</v>
      </c>
      <c r="I3815" t="s">
        <v>15</v>
      </c>
      <c r="J3815" t="s">
        <v>16</v>
      </c>
      <c r="K3815" t="s">
        <v>17</v>
      </c>
      <c r="L3815">
        <f>F3814*G3814*(1-H3814)</f>
        <v>2495</v>
      </c>
    </row>
    <row r="3816" spans="1:12">
      <c r="A3816" t="s">
        <v>4643</v>
      </c>
      <c r="B3816" s="1">
        <v>46235</v>
      </c>
      <c r="C3816" t="s">
        <v>1572</v>
      </c>
      <c r="D3816" t="s">
        <v>20</v>
      </c>
      <c r="E3816" t="s">
        <v>27</v>
      </c>
      <c r="F3816">
        <v>4</v>
      </c>
      <c r="G3816">
        <v>799</v>
      </c>
      <c r="H3816">
        <v>0</v>
      </c>
      <c r="I3816" t="s">
        <v>32</v>
      </c>
      <c r="J3816" t="s">
        <v>36</v>
      </c>
      <c r="K3816" t="s">
        <v>23</v>
      </c>
      <c r="L3816">
        <f>F3815*G3815*(1-H3815)</f>
        <v>28796.400000000001</v>
      </c>
    </row>
    <row r="3817" spans="1:12">
      <c r="A3817" t="s">
        <v>4644</v>
      </c>
      <c r="B3817" s="1">
        <v>46265</v>
      </c>
      <c r="C3817" t="s">
        <v>180</v>
      </c>
      <c r="D3817" t="s">
        <v>59</v>
      </c>
      <c r="E3817" t="s">
        <v>35</v>
      </c>
      <c r="F3817">
        <v>5</v>
      </c>
      <c r="G3817">
        <v>7999</v>
      </c>
      <c r="H3817">
        <v>0.15</v>
      </c>
      <c r="I3817" t="s">
        <v>44</v>
      </c>
      <c r="J3817" t="s">
        <v>16</v>
      </c>
      <c r="K3817" t="s">
        <v>17</v>
      </c>
      <c r="L3817">
        <f>F3816*G3816*(1-H3816)</f>
        <v>3196</v>
      </c>
    </row>
    <row r="3818" spans="1:12">
      <c r="A3818" t="s">
        <v>4645</v>
      </c>
      <c r="B3818" s="1">
        <v>46042</v>
      </c>
      <c r="C3818" t="s">
        <v>749</v>
      </c>
      <c r="D3818" t="s">
        <v>13</v>
      </c>
      <c r="E3818" t="s">
        <v>27</v>
      </c>
      <c r="F3818">
        <v>2</v>
      </c>
      <c r="G3818">
        <v>7999</v>
      </c>
      <c r="H3818">
        <v>0</v>
      </c>
      <c r="I3818" t="s">
        <v>50</v>
      </c>
      <c r="J3818" t="s">
        <v>28</v>
      </c>
      <c r="K3818" t="s">
        <v>37</v>
      </c>
      <c r="L3818">
        <f>F3817*G3817*(1-H3817)</f>
        <v>33995.75</v>
      </c>
    </row>
    <row r="3819" spans="1:12">
      <c r="A3819" t="s">
        <v>4646</v>
      </c>
      <c r="B3819" s="1">
        <v>46117</v>
      </c>
      <c r="C3819" t="s">
        <v>80</v>
      </c>
      <c r="D3819" t="s">
        <v>71</v>
      </c>
      <c r="E3819" t="s">
        <v>35</v>
      </c>
      <c r="F3819">
        <v>3</v>
      </c>
      <c r="G3819">
        <v>7999</v>
      </c>
      <c r="H3819">
        <v>0.1</v>
      </c>
      <c r="I3819" t="s">
        <v>50</v>
      </c>
      <c r="J3819" t="s">
        <v>22</v>
      </c>
      <c r="K3819" t="s">
        <v>17</v>
      </c>
      <c r="L3819">
        <f>F3818*G3818*(1-H3818)</f>
        <v>15998</v>
      </c>
    </row>
    <row r="3820" spans="1:12">
      <c r="A3820" t="s">
        <v>4647</v>
      </c>
      <c r="B3820" s="1">
        <v>46187</v>
      </c>
      <c r="C3820" t="s">
        <v>283</v>
      </c>
      <c r="D3820" t="s">
        <v>31</v>
      </c>
      <c r="E3820" t="s">
        <v>35</v>
      </c>
      <c r="F3820">
        <v>4</v>
      </c>
      <c r="G3820">
        <v>599</v>
      </c>
      <c r="H3820">
        <v>0.05</v>
      </c>
      <c r="I3820" t="s">
        <v>44</v>
      </c>
      <c r="J3820" t="s">
        <v>28</v>
      </c>
      <c r="K3820" t="s">
        <v>17</v>
      </c>
      <c r="L3820">
        <f>F3819*G3819*(1-H3819)</f>
        <v>21597.3</v>
      </c>
    </row>
    <row r="3821" spans="1:12">
      <c r="A3821" t="s">
        <v>4648</v>
      </c>
      <c r="B3821" s="1">
        <v>46254</v>
      </c>
      <c r="C3821" t="s">
        <v>2724</v>
      </c>
      <c r="D3821" t="s">
        <v>43</v>
      </c>
      <c r="E3821" t="s">
        <v>35</v>
      </c>
      <c r="F3821">
        <v>3</v>
      </c>
      <c r="G3821">
        <v>4999</v>
      </c>
      <c r="H3821">
        <v>0.15</v>
      </c>
      <c r="I3821" t="s">
        <v>32</v>
      </c>
      <c r="J3821" t="s">
        <v>22</v>
      </c>
      <c r="K3821" t="s">
        <v>23</v>
      </c>
      <c r="L3821">
        <f>F3820*G3820*(1-H3820)</f>
        <v>2276.1999999999998</v>
      </c>
    </row>
    <row r="3822" spans="1:12">
      <c r="A3822" t="s">
        <v>4649</v>
      </c>
      <c r="B3822" s="1">
        <v>46260</v>
      </c>
      <c r="C3822" t="s">
        <v>1038</v>
      </c>
      <c r="D3822" t="s">
        <v>13</v>
      </c>
      <c r="E3822" t="s">
        <v>21</v>
      </c>
      <c r="F3822">
        <v>1</v>
      </c>
      <c r="G3822">
        <v>999</v>
      </c>
      <c r="H3822">
        <v>0</v>
      </c>
      <c r="I3822" t="s">
        <v>15</v>
      </c>
      <c r="J3822" t="s">
        <v>22</v>
      </c>
      <c r="K3822" t="s">
        <v>17</v>
      </c>
      <c r="L3822">
        <f>F3821*G3821*(1-H3821)</f>
        <v>12747.449999999999</v>
      </c>
    </row>
    <row r="3823" spans="1:12">
      <c r="A3823" t="s">
        <v>4650</v>
      </c>
      <c r="B3823" s="1">
        <v>46160</v>
      </c>
      <c r="C3823" t="s">
        <v>2882</v>
      </c>
      <c r="D3823" t="s">
        <v>43</v>
      </c>
      <c r="E3823" t="s">
        <v>35</v>
      </c>
      <c r="F3823">
        <v>1</v>
      </c>
      <c r="G3823">
        <v>799</v>
      </c>
      <c r="H3823">
        <v>0.05</v>
      </c>
      <c r="I3823" t="s">
        <v>50</v>
      </c>
      <c r="J3823" t="s">
        <v>16</v>
      </c>
      <c r="K3823" t="s">
        <v>17</v>
      </c>
      <c r="L3823">
        <f>F3822*G3822*(1-H3822)</f>
        <v>999</v>
      </c>
    </row>
    <row r="3824" spans="1:12">
      <c r="A3824" t="s">
        <v>4651</v>
      </c>
      <c r="B3824" s="1">
        <v>46265</v>
      </c>
      <c r="C3824" t="s">
        <v>3757</v>
      </c>
      <c r="D3824" t="s">
        <v>59</v>
      </c>
      <c r="E3824" t="s">
        <v>40</v>
      </c>
      <c r="F3824">
        <v>3</v>
      </c>
      <c r="G3824">
        <v>1499</v>
      </c>
      <c r="H3824">
        <v>0.15</v>
      </c>
      <c r="I3824" t="s">
        <v>50</v>
      </c>
      <c r="J3824" t="s">
        <v>28</v>
      </c>
      <c r="K3824" t="s">
        <v>17</v>
      </c>
      <c r="L3824">
        <f>F3823*G3823*(1-H3823)</f>
        <v>759.05</v>
      </c>
    </row>
    <row r="3825" spans="1:12">
      <c r="A3825" t="s">
        <v>4652</v>
      </c>
      <c r="B3825" s="1">
        <v>46043</v>
      </c>
      <c r="C3825" t="s">
        <v>170</v>
      </c>
      <c r="D3825" t="s">
        <v>71</v>
      </c>
      <c r="E3825" t="s">
        <v>35</v>
      </c>
      <c r="F3825">
        <v>4</v>
      </c>
      <c r="G3825">
        <v>599</v>
      </c>
      <c r="H3825">
        <v>0.1</v>
      </c>
      <c r="I3825" t="s">
        <v>47</v>
      </c>
      <c r="J3825" t="s">
        <v>16</v>
      </c>
      <c r="K3825" t="s">
        <v>17</v>
      </c>
      <c r="L3825">
        <f>F3824*G3824*(1-H3824)</f>
        <v>3822.45</v>
      </c>
    </row>
    <row r="3826" spans="1:12">
      <c r="A3826" t="s">
        <v>4653</v>
      </c>
      <c r="B3826" s="1">
        <v>46251</v>
      </c>
      <c r="C3826" t="s">
        <v>633</v>
      </c>
      <c r="D3826" t="s">
        <v>20</v>
      </c>
      <c r="E3826" t="s">
        <v>21</v>
      </c>
      <c r="F3826">
        <v>2</v>
      </c>
      <c r="G3826">
        <v>7999</v>
      </c>
      <c r="H3826">
        <v>0.05</v>
      </c>
      <c r="I3826" t="s">
        <v>32</v>
      </c>
      <c r="J3826" t="s">
        <v>51</v>
      </c>
      <c r="K3826" t="s">
        <v>17</v>
      </c>
      <c r="L3826">
        <f>F3825*G3825*(1-H3825)</f>
        <v>2156.4</v>
      </c>
    </row>
    <row r="3827" spans="1:12">
      <c r="A3827" t="s">
        <v>4654</v>
      </c>
      <c r="B3827" s="1">
        <v>46207</v>
      </c>
      <c r="C3827" t="s">
        <v>384</v>
      </c>
      <c r="D3827" t="s">
        <v>43</v>
      </c>
      <c r="E3827" t="s">
        <v>27</v>
      </c>
      <c r="F3827">
        <v>2</v>
      </c>
      <c r="G3827">
        <v>799</v>
      </c>
      <c r="H3827">
        <v>0</v>
      </c>
      <c r="I3827" t="s">
        <v>15</v>
      </c>
      <c r="J3827" t="s">
        <v>36</v>
      </c>
      <c r="K3827" t="s">
        <v>23</v>
      </c>
      <c r="L3827">
        <f>F3826*G3826*(1-H3826)</f>
        <v>15198.099999999999</v>
      </c>
    </row>
    <row r="3828" spans="1:12">
      <c r="A3828" t="s">
        <v>4655</v>
      </c>
      <c r="B3828" s="1">
        <v>46138</v>
      </c>
      <c r="C3828" t="s">
        <v>1561</v>
      </c>
      <c r="D3828" t="s">
        <v>59</v>
      </c>
      <c r="E3828" t="s">
        <v>40</v>
      </c>
      <c r="F3828">
        <v>4</v>
      </c>
      <c r="G3828">
        <v>1499</v>
      </c>
      <c r="H3828">
        <v>0.1</v>
      </c>
      <c r="I3828" t="s">
        <v>47</v>
      </c>
      <c r="J3828" t="s">
        <v>51</v>
      </c>
      <c r="K3828" t="s">
        <v>37</v>
      </c>
      <c r="L3828">
        <f>F3827*G3827*(1-H3827)</f>
        <v>1598</v>
      </c>
    </row>
    <row r="3829" spans="1:12">
      <c r="A3829" t="s">
        <v>4656</v>
      </c>
      <c r="B3829" s="1">
        <v>46097</v>
      </c>
      <c r="C3829" t="s">
        <v>3792</v>
      </c>
      <c r="D3829" t="s">
        <v>31</v>
      </c>
      <c r="E3829" t="s">
        <v>21</v>
      </c>
      <c r="F3829">
        <v>5</v>
      </c>
      <c r="G3829">
        <v>7999</v>
      </c>
      <c r="H3829">
        <v>0.1</v>
      </c>
      <c r="I3829" t="s">
        <v>50</v>
      </c>
      <c r="J3829" t="s">
        <v>22</v>
      </c>
      <c r="K3829" t="s">
        <v>17</v>
      </c>
      <c r="L3829">
        <f>F3828*G3828*(1-H3828)</f>
        <v>5396.4000000000005</v>
      </c>
    </row>
    <row r="3830" spans="1:12">
      <c r="A3830" t="s">
        <v>4657</v>
      </c>
      <c r="B3830" s="1">
        <v>46035</v>
      </c>
      <c r="C3830" t="s">
        <v>1530</v>
      </c>
      <c r="D3830" t="s">
        <v>13</v>
      </c>
      <c r="E3830" t="s">
        <v>35</v>
      </c>
      <c r="F3830">
        <v>1</v>
      </c>
      <c r="G3830">
        <v>7999</v>
      </c>
      <c r="H3830">
        <v>0</v>
      </c>
      <c r="I3830" t="s">
        <v>32</v>
      </c>
      <c r="J3830" t="s">
        <v>51</v>
      </c>
      <c r="K3830" t="s">
        <v>23</v>
      </c>
      <c r="L3830">
        <f>F3829*G3829*(1-H3829)</f>
        <v>35995.5</v>
      </c>
    </row>
    <row r="3831" spans="1:12">
      <c r="A3831" t="s">
        <v>4658</v>
      </c>
      <c r="B3831" s="1">
        <v>46290</v>
      </c>
      <c r="C3831" t="s">
        <v>380</v>
      </c>
      <c r="D3831" t="s">
        <v>43</v>
      </c>
      <c r="E3831" t="s">
        <v>21</v>
      </c>
      <c r="F3831">
        <v>2</v>
      </c>
      <c r="G3831">
        <v>599</v>
      </c>
      <c r="H3831">
        <v>0.15</v>
      </c>
      <c r="I3831" t="s">
        <v>15</v>
      </c>
      <c r="J3831" t="s">
        <v>36</v>
      </c>
      <c r="K3831" t="s">
        <v>17</v>
      </c>
      <c r="L3831">
        <f>F3830*G3830*(1-H3830)</f>
        <v>7999</v>
      </c>
    </row>
    <row r="3832" spans="1:12">
      <c r="A3832" t="s">
        <v>4659</v>
      </c>
      <c r="B3832" s="1">
        <v>46093</v>
      </c>
      <c r="C3832" t="s">
        <v>394</v>
      </c>
      <c r="D3832" t="s">
        <v>56</v>
      </c>
      <c r="E3832" t="s">
        <v>21</v>
      </c>
      <c r="F3832">
        <v>3</v>
      </c>
      <c r="G3832">
        <v>599</v>
      </c>
      <c r="H3832">
        <v>0.05</v>
      </c>
      <c r="I3832" t="s">
        <v>15</v>
      </c>
      <c r="J3832" t="s">
        <v>28</v>
      </c>
      <c r="K3832" t="s">
        <v>17</v>
      </c>
      <c r="L3832">
        <f>F3831*G3831*(1-H3831)</f>
        <v>1018.3</v>
      </c>
    </row>
    <row r="3833" spans="1:12">
      <c r="A3833" t="s">
        <v>4660</v>
      </c>
      <c r="B3833" s="1">
        <v>46224</v>
      </c>
      <c r="C3833" t="s">
        <v>1523</v>
      </c>
      <c r="D3833" t="s">
        <v>26</v>
      </c>
      <c r="E3833" t="s">
        <v>14</v>
      </c>
      <c r="F3833">
        <v>1</v>
      </c>
      <c r="G3833">
        <v>1999</v>
      </c>
      <c r="H3833">
        <v>0.05</v>
      </c>
      <c r="I3833" t="s">
        <v>15</v>
      </c>
      <c r="J3833" t="s">
        <v>51</v>
      </c>
      <c r="K3833" t="s">
        <v>17</v>
      </c>
      <c r="L3833">
        <f>F3832*G3832*(1-H3832)</f>
        <v>1707.1499999999999</v>
      </c>
    </row>
    <row r="3834" spans="1:12">
      <c r="A3834" t="s">
        <v>4661</v>
      </c>
      <c r="B3834" s="1">
        <v>46084</v>
      </c>
      <c r="C3834" t="s">
        <v>374</v>
      </c>
      <c r="D3834" t="s">
        <v>43</v>
      </c>
      <c r="E3834" t="s">
        <v>21</v>
      </c>
      <c r="F3834">
        <v>2</v>
      </c>
      <c r="G3834">
        <v>1299</v>
      </c>
      <c r="H3834">
        <v>0.1</v>
      </c>
      <c r="I3834" t="s">
        <v>15</v>
      </c>
      <c r="J3834" t="s">
        <v>36</v>
      </c>
      <c r="K3834" t="s">
        <v>17</v>
      </c>
      <c r="L3834">
        <f>F3833*G3833*(1-H3833)</f>
        <v>1899.05</v>
      </c>
    </row>
    <row r="3835" spans="1:12">
      <c r="A3835" t="s">
        <v>4662</v>
      </c>
      <c r="B3835" s="1">
        <v>46183</v>
      </c>
      <c r="C3835" t="s">
        <v>1316</v>
      </c>
      <c r="D3835" t="s">
        <v>59</v>
      </c>
      <c r="E3835" t="s">
        <v>35</v>
      </c>
      <c r="F3835">
        <v>4</v>
      </c>
      <c r="G3835">
        <v>4999</v>
      </c>
      <c r="H3835">
        <v>0</v>
      </c>
      <c r="I3835" t="s">
        <v>15</v>
      </c>
      <c r="J3835" t="s">
        <v>22</v>
      </c>
      <c r="K3835" t="s">
        <v>17</v>
      </c>
      <c r="L3835">
        <f>F3834*G3834*(1-H3834)</f>
        <v>2338.2000000000003</v>
      </c>
    </row>
    <row r="3836" spans="1:12">
      <c r="A3836" t="s">
        <v>4663</v>
      </c>
      <c r="B3836" s="1">
        <v>46050</v>
      </c>
      <c r="C3836" t="s">
        <v>2701</v>
      </c>
      <c r="D3836" t="s">
        <v>71</v>
      </c>
      <c r="E3836" t="s">
        <v>40</v>
      </c>
      <c r="F3836">
        <v>1</v>
      </c>
      <c r="G3836">
        <v>499</v>
      </c>
      <c r="H3836">
        <v>0</v>
      </c>
      <c r="I3836" t="s">
        <v>47</v>
      </c>
      <c r="J3836" t="s">
        <v>28</v>
      </c>
      <c r="K3836" t="s">
        <v>37</v>
      </c>
      <c r="L3836">
        <f>F3835*G3835*(1-H3835)</f>
        <v>19996</v>
      </c>
    </row>
    <row r="3837" spans="1:12">
      <c r="A3837" t="s">
        <v>4664</v>
      </c>
      <c r="B3837" s="1">
        <v>46048</v>
      </c>
      <c r="C3837" t="s">
        <v>110</v>
      </c>
      <c r="D3837" t="s">
        <v>56</v>
      </c>
      <c r="E3837" t="s">
        <v>21</v>
      </c>
      <c r="F3837">
        <v>1</v>
      </c>
      <c r="G3837">
        <v>1299</v>
      </c>
      <c r="H3837">
        <v>0</v>
      </c>
      <c r="I3837" t="s">
        <v>47</v>
      </c>
      <c r="J3837" t="s">
        <v>22</v>
      </c>
      <c r="K3837" t="s">
        <v>23</v>
      </c>
      <c r="L3837">
        <f>F3836*G3836*(1-H3836)</f>
        <v>499</v>
      </c>
    </row>
    <row r="3838" spans="1:12">
      <c r="A3838" t="s">
        <v>4665</v>
      </c>
      <c r="B3838" s="1">
        <v>46239</v>
      </c>
      <c r="C3838" t="s">
        <v>1002</v>
      </c>
      <c r="D3838" t="s">
        <v>59</v>
      </c>
      <c r="E3838" t="s">
        <v>35</v>
      </c>
      <c r="F3838">
        <v>3</v>
      </c>
      <c r="G3838">
        <v>599</v>
      </c>
      <c r="H3838">
        <v>0</v>
      </c>
      <c r="I3838" t="s">
        <v>47</v>
      </c>
      <c r="J3838" t="s">
        <v>28</v>
      </c>
      <c r="K3838" t="s">
        <v>17</v>
      </c>
      <c r="L3838">
        <f>F3837*G3837*(1-H3837)</f>
        <v>1299</v>
      </c>
    </row>
    <row r="3839" spans="1:12">
      <c r="A3839" t="s">
        <v>4666</v>
      </c>
      <c r="B3839" s="1">
        <v>46109</v>
      </c>
      <c r="C3839" t="s">
        <v>82</v>
      </c>
      <c r="D3839" t="s">
        <v>78</v>
      </c>
      <c r="E3839" t="s">
        <v>27</v>
      </c>
      <c r="F3839">
        <v>2</v>
      </c>
      <c r="G3839">
        <v>7999</v>
      </c>
      <c r="H3839">
        <v>0.1</v>
      </c>
      <c r="I3839" t="s">
        <v>47</v>
      </c>
      <c r="J3839" t="s">
        <v>16</v>
      </c>
      <c r="K3839" t="s">
        <v>23</v>
      </c>
      <c r="L3839">
        <f>F3838*G3838*(1-H3838)</f>
        <v>1797</v>
      </c>
    </row>
    <row r="3840" spans="1:12">
      <c r="A3840" t="s">
        <v>4667</v>
      </c>
      <c r="B3840" s="1">
        <v>46043</v>
      </c>
      <c r="C3840" t="s">
        <v>494</v>
      </c>
      <c r="D3840" t="s">
        <v>71</v>
      </c>
      <c r="E3840" t="s">
        <v>14</v>
      </c>
      <c r="F3840">
        <v>4</v>
      </c>
      <c r="G3840">
        <v>1499</v>
      </c>
      <c r="H3840">
        <v>0</v>
      </c>
      <c r="I3840" t="s">
        <v>32</v>
      </c>
      <c r="J3840" t="s">
        <v>28</v>
      </c>
      <c r="K3840" t="s">
        <v>23</v>
      </c>
      <c r="L3840">
        <f>F3839*G3839*(1-H3839)</f>
        <v>14398.2</v>
      </c>
    </row>
    <row r="3841" spans="1:12">
      <c r="A3841" t="s">
        <v>4668</v>
      </c>
      <c r="B3841" s="1">
        <v>46061</v>
      </c>
      <c r="C3841" t="s">
        <v>1058</v>
      </c>
      <c r="D3841" t="s">
        <v>20</v>
      </c>
      <c r="E3841" t="s">
        <v>14</v>
      </c>
      <c r="F3841">
        <v>5</v>
      </c>
      <c r="G3841">
        <v>2499</v>
      </c>
      <c r="H3841">
        <v>0</v>
      </c>
      <c r="I3841" t="s">
        <v>50</v>
      </c>
      <c r="J3841" t="s">
        <v>28</v>
      </c>
      <c r="K3841" t="s">
        <v>17</v>
      </c>
      <c r="L3841">
        <f>F3840*G3840*(1-H3840)</f>
        <v>5996</v>
      </c>
    </row>
    <row r="3842" spans="1:12">
      <c r="A3842" t="s">
        <v>4669</v>
      </c>
      <c r="B3842" s="1">
        <v>46175</v>
      </c>
      <c r="C3842" t="s">
        <v>140</v>
      </c>
      <c r="D3842" t="s">
        <v>78</v>
      </c>
      <c r="E3842" t="s">
        <v>27</v>
      </c>
      <c r="F3842">
        <v>4</v>
      </c>
      <c r="G3842">
        <v>1499</v>
      </c>
      <c r="H3842">
        <v>0</v>
      </c>
      <c r="I3842" t="s">
        <v>15</v>
      </c>
      <c r="J3842" t="s">
        <v>36</v>
      </c>
      <c r="K3842" t="s">
        <v>17</v>
      </c>
      <c r="L3842">
        <f>F3841*G3841*(1-H3841)</f>
        <v>12495</v>
      </c>
    </row>
    <row r="3843" spans="1:12">
      <c r="A3843" t="s">
        <v>4670</v>
      </c>
      <c r="B3843" s="1">
        <v>46267</v>
      </c>
      <c r="C3843" t="s">
        <v>304</v>
      </c>
      <c r="D3843" t="s">
        <v>59</v>
      </c>
      <c r="E3843" t="s">
        <v>21</v>
      </c>
      <c r="F3843">
        <v>5</v>
      </c>
      <c r="G3843">
        <v>7999</v>
      </c>
      <c r="H3843">
        <v>0.05</v>
      </c>
      <c r="I3843" t="s">
        <v>50</v>
      </c>
      <c r="J3843" t="s">
        <v>16</v>
      </c>
      <c r="K3843" t="s">
        <v>37</v>
      </c>
      <c r="L3843">
        <f>F3842*G3842*(1-H3842)</f>
        <v>5996</v>
      </c>
    </row>
    <row r="3844" spans="1:12">
      <c r="A3844" t="s">
        <v>4671</v>
      </c>
      <c r="B3844" s="1">
        <v>46224</v>
      </c>
      <c r="C3844" t="s">
        <v>1026</v>
      </c>
      <c r="D3844" t="s">
        <v>20</v>
      </c>
      <c r="E3844" t="s">
        <v>40</v>
      </c>
      <c r="F3844">
        <v>2</v>
      </c>
      <c r="G3844">
        <v>999</v>
      </c>
      <c r="H3844">
        <v>0.15</v>
      </c>
      <c r="I3844" t="s">
        <v>47</v>
      </c>
      <c r="J3844" t="s">
        <v>22</v>
      </c>
      <c r="K3844" t="s">
        <v>37</v>
      </c>
      <c r="L3844">
        <f>F3843*G3843*(1-H3843)</f>
        <v>37995.25</v>
      </c>
    </row>
    <row r="3845" spans="1:12">
      <c r="A3845" t="s">
        <v>4672</v>
      </c>
      <c r="B3845" s="1">
        <v>46077</v>
      </c>
      <c r="C3845" t="s">
        <v>722</v>
      </c>
      <c r="D3845" t="s">
        <v>31</v>
      </c>
      <c r="E3845" t="s">
        <v>35</v>
      </c>
      <c r="F3845">
        <v>1</v>
      </c>
      <c r="G3845">
        <v>599</v>
      </c>
      <c r="H3845">
        <v>0.15</v>
      </c>
      <c r="I3845" t="s">
        <v>50</v>
      </c>
      <c r="J3845" t="s">
        <v>51</v>
      </c>
      <c r="K3845" t="s">
        <v>17</v>
      </c>
      <c r="L3845">
        <f>F3844*G3844*(1-H3844)</f>
        <v>1698.3</v>
      </c>
    </row>
    <row r="3846" spans="1:12">
      <c r="A3846" t="s">
        <v>4673</v>
      </c>
      <c r="B3846" s="1">
        <v>46249</v>
      </c>
      <c r="C3846" t="s">
        <v>73</v>
      </c>
      <c r="D3846" t="s">
        <v>20</v>
      </c>
      <c r="E3846" t="s">
        <v>27</v>
      </c>
      <c r="F3846">
        <v>3</v>
      </c>
      <c r="G3846">
        <v>999</v>
      </c>
      <c r="H3846">
        <v>0.1</v>
      </c>
      <c r="I3846" t="s">
        <v>44</v>
      </c>
      <c r="J3846" t="s">
        <v>16</v>
      </c>
      <c r="K3846" t="s">
        <v>17</v>
      </c>
      <c r="L3846">
        <f>F3845*G3845*(1-H3845)</f>
        <v>509.15</v>
      </c>
    </row>
    <row r="3847" spans="1:12">
      <c r="A3847" t="s">
        <v>4674</v>
      </c>
      <c r="B3847" s="1">
        <v>46237</v>
      </c>
      <c r="C3847" t="s">
        <v>247</v>
      </c>
      <c r="D3847" t="s">
        <v>62</v>
      </c>
      <c r="E3847" t="s">
        <v>27</v>
      </c>
      <c r="F3847">
        <v>5</v>
      </c>
      <c r="G3847">
        <v>1999</v>
      </c>
      <c r="H3847">
        <v>0.1</v>
      </c>
      <c r="I3847" t="s">
        <v>32</v>
      </c>
      <c r="J3847" t="s">
        <v>16</v>
      </c>
      <c r="K3847" t="s">
        <v>37</v>
      </c>
      <c r="L3847">
        <f>F3846*G3846*(1-H3846)</f>
        <v>2697.3</v>
      </c>
    </row>
    <row r="3848" spans="1:12">
      <c r="A3848" t="s">
        <v>4675</v>
      </c>
      <c r="B3848" s="1">
        <v>46250</v>
      </c>
      <c r="C3848" t="s">
        <v>4533</v>
      </c>
      <c r="D3848" t="s">
        <v>71</v>
      </c>
      <c r="E3848" t="s">
        <v>27</v>
      </c>
      <c r="F3848">
        <v>2</v>
      </c>
      <c r="G3848">
        <v>7999</v>
      </c>
      <c r="H3848">
        <v>0.05</v>
      </c>
      <c r="I3848" t="s">
        <v>32</v>
      </c>
      <c r="J3848" t="s">
        <v>22</v>
      </c>
      <c r="K3848" t="s">
        <v>17</v>
      </c>
      <c r="L3848">
        <f>F3847*G3847*(1-H3847)</f>
        <v>8995.5</v>
      </c>
    </row>
    <row r="3849" spans="1:12">
      <c r="A3849" t="s">
        <v>4676</v>
      </c>
      <c r="B3849" s="1">
        <v>46093</v>
      </c>
      <c r="C3849" t="s">
        <v>874</v>
      </c>
      <c r="D3849" t="s">
        <v>78</v>
      </c>
      <c r="E3849" t="s">
        <v>14</v>
      </c>
      <c r="F3849">
        <v>4</v>
      </c>
      <c r="G3849">
        <v>499</v>
      </c>
      <c r="H3849">
        <v>0</v>
      </c>
      <c r="I3849" t="s">
        <v>47</v>
      </c>
      <c r="J3849" t="s">
        <v>28</v>
      </c>
      <c r="K3849" t="s">
        <v>17</v>
      </c>
      <c r="L3849">
        <f>F3848*G3848*(1-H3848)</f>
        <v>15198.099999999999</v>
      </c>
    </row>
    <row r="3850" spans="1:12">
      <c r="A3850" t="s">
        <v>4677</v>
      </c>
      <c r="B3850" s="1">
        <v>46031</v>
      </c>
      <c r="C3850" t="s">
        <v>456</v>
      </c>
      <c r="D3850" t="s">
        <v>59</v>
      </c>
      <c r="E3850" t="s">
        <v>27</v>
      </c>
      <c r="F3850">
        <v>2</v>
      </c>
      <c r="G3850">
        <v>7999</v>
      </c>
      <c r="H3850">
        <v>0.15</v>
      </c>
      <c r="I3850" t="s">
        <v>15</v>
      </c>
      <c r="J3850" t="s">
        <v>51</v>
      </c>
      <c r="K3850" t="s">
        <v>17</v>
      </c>
      <c r="L3850">
        <f>F3849*G3849*(1-H3849)</f>
        <v>1996</v>
      </c>
    </row>
    <row r="3851" spans="1:12">
      <c r="A3851" t="s">
        <v>4678</v>
      </c>
      <c r="B3851" s="1">
        <v>46071</v>
      </c>
      <c r="C3851" t="s">
        <v>1349</v>
      </c>
      <c r="D3851" t="s">
        <v>20</v>
      </c>
      <c r="E3851" t="s">
        <v>14</v>
      </c>
      <c r="F3851">
        <v>4</v>
      </c>
      <c r="G3851">
        <v>999</v>
      </c>
      <c r="H3851">
        <v>0</v>
      </c>
      <c r="I3851" t="s">
        <v>50</v>
      </c>
      <c r="J3851" t="s">
        <v>22</v>
      </c>
      <c r="K3851" t="s">
        <v>17</v>
      </c>
      <c r="L3851">
        <f>F3850*G3850*(1-H3850)</f>
        <v>13598.3</v>
      </c>
    </row>
    <row r="3852" spans="1:12">
      <c r="A3852" t="s">
        <v>4679</v>
      </c>
      <c r="B3852" s="1">
        <v>46219</v>
      </c>
      <c r="C3852" t="s">
        <v>848</v>
      </c>
      <c r="D3852" t="s">
        <v>78</v>
      </c>
      <c r="E3852" t="s">
        <v>21</v>
      </c>
      <c r="F3852">
        <v>1</v>
      </c>
      <c r="G3852">
        <v>599</v>
      </c>
      <c r="H3852">
        <v>0</v>
      </c>
      <c r="I3852" t="s">
        <v>15</v>
      </c>
      <c r="J3852" t="s">
        <v>16</v>
      </c>
      <c r="K3852" t="s">
        <v>17</v>
      </c>
      <c r="L3852">
        <f>F3851*G3851*(1-H3851)</f>
        <v>3996</v>
      </c>
    </row>
    <row r="3853" spans="1:12">
      <c r="A3853" t="s">
        <v>4680</v>
      </c>
      <c r="B3853" s="1">
        <v>46105</v>
      </c>
      <c r="C3853" t="s">
        <v>4681</v>
      </c>
      <c r="D3853" t="s">
        <v>20</v>
      </c>
      <c r="E3853" t="s">
        <v>35</v>
      </c>
      <c r="F3853">
        <v>1</v>
      </c>
      <c r="G3853">
        <v>999</v>
      </c>
      <c r="H3853">
        <v>0.05</v>
      </c>
      <c r="I3853" t="s">
        <v>32</v>
      </c>
      <c r="J3853" t="s">
        <v>16</v>
      </c>
      <c r="K3853" t="s">
        <v>17</v>
      </c>
      <c r="L3853">
        <f>F3852*G3852*(1-H3852)</f>
        <v>599</v>
      </c>
    </row>
    <row r="3854" spans="1:12">
      <c r="A3854" t="s">
        <v>4682</v>
      </c>
      <c r="B3854" s="1">
        <v>46129</v>
      </c>
      <c r="C3854" t="s">
        <v>1601</v>
      </c>
      <c r="D3854" t="s">
        <v>13</v>
      </c>
      <c r="E3854" t="s">
        <v>35</v>
      </c>
      <c r="F3854">
        <v>2</v>
      </c>
      <c r="G3854">
        <v>499</v>
      </c>
      <c r="H3854">
        <v>0</v>
      </c>
      <c r="I3854" t="s">
        <v>47</v>
      </c>
      <c r="J3854" t="s">
        <v>16</v>
      </c>
      <c r="K3854" t="s">
        <v>17</v>
      </c>
      <c r="L3854">
        <f>F3853*G3853*(1-H3853)</f>
        <v>949.05</v>
      </c>
    </row>
    <row r="3855" spans="1:12">
      <c r="A3855" t="s">
        <v>4683</v>
      </c>
      <c r="B3855" s="1">
        <v>46100</v>
      </c>
      <c r="C3855" t="s">
        <v>524</v>
      </c>
      <c r="D3855" t="s">
        <v>71</v>
      </c>
      <c r="E3855" t="s">
        <v>35</v>
      </c>
      <c r="F3855">
        <v>5</v>
      </c>
      <c r="G3855">
        <v>599</v>
      </c>
      <c r="H3855">
        <v>0</v>
      </c>
      <c r="I3855" t="s">
        <v>44</v>
      </c>
      <c r="J3855" t="s">
        <v>28</v>
      </c>
      <c r="K3855" t="s">
        <v>17</v>
      </c>
      <c r="L3855">
        <f>F3854*G3854*(1-H3854)</f>
        <v>998</v>
      </c>
    </row>
    <row r="3856" spans="1:12">
      <c r="A3856" t="s">
        <v>4684</v>
      </c>
      <c r="B3856" s="1">
        <v>46287</v>
      </c>
      <c r="C3856" t="s">
        <v>870</v>
      </c>
      <c r="D3856" t="s">
        <v>43</v>
      </c>
      <c r="E3856" t="s">
        <v>40</v>
      </c>
      <c r="F3856">
        <v>2</v>
      </c>
      <c r="G3856">
        <v>1499</v>
      </c>
      <c r="H3856">
        <v>0</v>
      </c>
      <c r="I3856" t="s">
        <v>15</v>
      </c>
      <c r="J3856" t="s">
        <v>22</v>
      </c>
      <c r="K3856" t="s">
        <v>37</v>
      </c>
      <c r="L3856">
        <f>F3855*G3855*(1-H3855)</f>
        <v>2995</v>
      </c>
    </row>
    <row r="3857" spans="1:12">
      <c r="A3857" t="s">
        <v>4685</v>
      </c>
      <c r="B3857" s="1">
        <v>46275</v>
      </c>
      <c r="C3857" t="s">
        <v>470</v>
      </c>
      <c r="D3857" t="s">
        <v>20</v>
      </c>
      <c r="E3857" t="s">
        <v>40</v>
      </c>
      <c r="F3857">
        <v>3</v>
      </c>
      <c r="G3857">
        <v>1499</v>
      </c>
      <c r="H3857">
        <v>0.15</v>
      </c>
      <c r="I3857" t="s">
        <v>32</v>
      </c>
      <c r="J3857" t="s">
        <v>28</v>
      </c>
      <c r="K3857" t="s">
        <v>37</v>
      </c>
      <c r="L3857">
        <f>F3856*G3856*(1-H3856)</f>
        <v>2998</v>
      </c>
    </row>
    <row r="3858" spans="1:12">
      <c r="A3858" t="s">
        <v>4686</v>
      </c>
      <c r="B3858" s="1">
        <v>46066</v>
      </c>
      <c r="C3858" t="s">
        <v>2644</v>
      </c>
      <c r="D3858" t="s">
        <v>62</v>
      </c>
      <c r="E3858" t="s">
        <v>40</v>
      </c>
      <c r="F3858">
        <v>3</v>
      </c>
      <c r="G3858">
        <v>4999</v>
      </c>
      <c r="H3858">
        <v>0.05</v>
      </c>
      <c r="I3858" t="s">
        <v>47</v>
      </c>
      <c r="J3858" t="s">
        <v>16</v>
      </c>
      <c r="K3858" t="s">
        <v>23</v>
      </c>
      <c r="L3858">
        <f>F3857*G3857*(1-H3857)</f>
        <v>3822.45</v>
      </c>
    </row>
    <row r="3859" spans="1:12">
      <c r="A3859" t="s">
        <v>4687</v>
      </c>
      <c r="B3859" s="1">
        <v>46149</v>
      </c>
      <c r="C3859" t="s">
        <v>1038</v>
      </c>
      <c r="D3859" t="s">
        <v>59</v>
      </c>
      <c r="E3859" t="s">
        <v>21</v>
      </c>
      <c r="F3859">
        <v>3</v>
      </c>
      <c r="G3859">
        <v>999</v>
      </c>
      <c r="H3859">
        <v>0</v>
      </c>
      <c r="I3859" t="s">
        <v>44</v>
      </c>
      <c r="J3859" t="s">
        <v>51</v>
      </c>
      <c r="K3859" t="s">
        <v>17</v>
      </c>
      <c r="L3859">
        <f>F3858*G3858*(1-H3858)</f>
        <v>14247.15</v>
      </c>
    </row>
    <row r="3860" spans="1:12">
      <c r="A3860" t="s">
        <v>4688</v>
      </c>
      <c r="B3860" s="1">
        <v>46257</v>
      </c>
      <c r="C3860" t="s">
        <v>749</v>
      </c>
      <c r="D3860" t="s">
        <v>43</v>
      </c>
      <c r="E3860" t="s">
        <v>21</v>
      </c>
      <c r="F3860">
        <v>5</v>
      </c>
      <c r="G3860">
        <v>7999</v>
      </c>
      <c r="H3860">
        <v>0</v>
      </c>
      <c r="I3860" t="s">
        <v>50</v>
      </c>
      <c r="J3860" t="s">
        <v>51</v>
      </c>
      <c r="K3860" t="s">
        <v>17</v>
      </c>
      <c r="L3860">
        <f>F3859*G3859*(1-H3859)</f>
        <v>2997</v>
      </c>
    </row>
    <row r="3861" spans="1:12">
      <c r="A3861" t="s">
        <v>4689</v>
      </c>
      <c r="B3861" s="1">
        <v>46241</v>
      </c>
      <c r="C3861" t="s">
        <v>201</v>
      </c>
      <c r="D3861" t="s">
        <v>56</v>
      </c>
      <c r="E3861" t="s">
        <v>21</v>
      </c>
      <c r="F3861">
        <v>2</v>
      </c>
      <c r="G3861">
        <v>499</v>
      </c>
      <c r="H3861">
        <v>0.15</v>
      </c>
      <c r="I3861" t="s">
        <v>44</v>
      </c>
      <c r="J3861" t="s">
        <v>22</v>
      </c>
      <c r="K3861" t="s">
        <v>17</v>
      </c>
      <c r="L3861">
        <f>F3860*G3860*(1-H3860)</f>
        <v>39995</v>
      </c>
    </row>
    <row r="3862" spans="1:12">
      <c r="A3862" t="s">
        <v>4690</v>
      </c>
      <c r="B3862" s="1">
        <v>46272</v>
      </c>
      <c r="C3862" t="s">
        <v>2036</v>
      </c>
      <c r="D3862" t="s">
        <v>78</v>
      </c>
      <c r="E3862" t="s">
        <v>27</v>
      </c>
      <c r="F3862">
        <v>4</v>
      </c>
      <c r="G3862">
        <v>1299</v>
      </c>
      <c r="H3862">
        <v>0</v>
      </c>
      <c r="I3862" t="s">
        <v>32</v>
      </c>
      <c r="J3862" t="s">
        <v>28</v>
      </c>
      <c r="K3862" t="s">
        <v>17</v>
      </c>
      <c r="L3862">
        <f>F3861*G3861*(1-H3861)</f>
        <v>848.3</v>
      </c>
    </row>
    <row r="3863" spans="1:12">
      <c r="A3863" t="s">
        <v>4691</v>
      </c>
      <c r="B3863" s="1">
        <v>46058</v>
      </c>
      <c r="C3863" t="s">
        <v>829</v>
      </c>
      <c r="D3863" t="s">
        <v>71</v>
      </c>
      <c r="E3863" t="s">
        <v>21</v>
      </c>
      <c r="F3863">
        <v>5</v>
      </c>
      <c r="G3863">
        <v>1499</v>
      </c>
      <c r="H3863">
        <v>0</v>
      </c>
      <c r="I3863" t="s">
        <v>32</v>
      </c>
      <c r="J3863" t="s">
        <v>16</v>
      </c>
      <c r="K3863" t="s">
        <v>23</v>
      </c>
      <c r="L3863">
        <f>F3862*G3862*(1-H3862)</f>
        <v>5196</v>
      </c>
    </row>
    <row r="3864" spans="1:12">
      <c r="A3864" t="s">
        <v>4692</v>
      </c>
      <c r="B3864" s="1">
        <v>46205</v>
      </c>
      <c r="C3864" t="s">
        <v>331</v>
      </c>
      <c r="D3864" t="s">
        <v>20</v>
      </c>
      <c r="E3864" t="s">
        <v>35</v>
      </c>
      <c r="F3864">
        <v>2</v>
      </c>
      <c r="G3864">
        <v>799</v>
      </c>
      <c r="H3864">
        <v>0</v>
      </c>
      <c r="I3864" t="s">
        <v>44</v>
      </c>
      <c r="J3864" t="s">
        <v>22</v>
      </c>
      <c r="K3864" t="s">
        <v>17</v>
      </c>
      <c r="L3864">
        <f>F3863*G3863*(1-H3863)</f>
        <v>7495</v>
      </c>
    </row>
    <row r="3865" spans="1:12">
      <c r="A3865" t="s">
        <v>4693</v>
      </c>
      <c r="B3865" s="1">
        <v>46167</v>
      </c>
      <c r="C3865" t="s">
        <v>257</v>
      </c>
      <c r="D3865" t="s">
        <v>31</v>
      </c>
      <c r="E3865" t="s">
        <v>35</v>
      </c>
      <c r="F3865">
        <v>4</v>
      </c>
      <c r="G3865">
        <v>4999</v>
      </c>
      <c r="H3865">
        <v>0</v>
      </c>
      <c r="I3865" t="s">
        <v>32</v>
      </c>
      <c r="J3865" t="s">
        <v>16</v>
      </c>
      <c r="K3865" t="s">
        <v>17</v>
      </c>
      <c r="L3865">
        <f>F3864*G3864*(1-H3864)</f>
        <v>1598</v>
      </c>
    </row>
    <row r="3866" spans="1:12">
      <c r="A3866" t="s">
        <v>4694</v>
      </c>
      <c r="B3866" s="1">
        <v>46216</v>
      </c>
      <c r="C3866" t="s">
        <v>1297</v>
      </c>
      <c r="D3866" t="s">
        <v>26</v>
      </c>
      <c r="E3866" t="s">
        <v>21</v>
      </c>
      <c r="F3866">
        <v>3</v>
      </c>
      <c r="G3866">
        <v>1499</v>
      </c>
      <c r="H3866">
        <v>0.05</v>
      </c>
      <c r="I3866" t="s">
        <v>32</v>
      </c>
      <c r="J3866" t="s">
        <v>36</v>
      </c>
      <c r="K3866" t="s">
        <v>37</v>
      </c>
      <c r="L3866">
        <f>F3865*G3865*(1-H3865)</f>
        <v>19996</v>
      </c>
    </row>
    <row r="3867" spans="1:12">
      <c r="A3867" t="s">
        <v>4695</v>
      </c>
      <c r="B3867" s="1">
        <v>46160</v>
      </c>
      <c r="C3867" t="s">
        <v>1601</v>
      </c>
      <c r="D3867" t="s">
        <v>13</v>
      </c>
      <c r="E3867" t="s">
        <v>40</v>
      </c>
      <c r="F3867">
        <v>4</v>
      </c>
      <c r="G3867">
        <v>1299</v>
      </c>
      <c r="H3867">
        <v>0.05</v>
      </c>
      <c r="I3867" t="s">
        <v>32</v>
      </c>
      <c r="J3867" t="s">
        <v>28</v>
      </c>
      <c r="K3867" t="s">
        <v>23</v>
      </c>
      <c r="L3867">
        <f>F3866*G3866*(1-H3866)</f>
        <v>4272.1499999999996</v>
      </c>
    </row>
    <row r="3868" spans="1:12">
      <c r="A3868" t="s">
        <v>4696</v>
      </c>
      <c r="B3868" s="1">
        <v>46238</v>
      </c>
      <c r="C3868" t="s">
        <v>2443</v>
      </c>
      <c r="D3868" t="s">
        <v>43</v>
      </c>
      <c r="E3868" t="s">
        <v>35</v>
      </c>
      <c r="F3868">
        <v>1</v>
      </c>
      <c r="G3868">
        <v>4999</v>
      </c>
      <c r="H3868">
        <v>0.05</v>
      </c>
      <c r="I3868" t="s">
        <v>47</v>
      </c>
      <c r="J3868" t="s">
        <v>51</v>
      </c>
      <c r="K3868" t="s">
        <v>37</v>
      </c>
      <c r="L3868">
        <f>F3867*G3867*(1-H3867)</f>
        <v>4936.2</v>
      </c>
    </row>
    <row r="3869" spans="1:12">
      <c r="A3869" t="s">
        <v>4697</v>
      </c>
      <c r="B3869" s="1">
        <v>46154</v>
      </c>
      <c r="C3869" t="s">
        <v>683</v>
      </c>
      <c r="D3869" t="s">
        <v>31</v>
      </c>
      <c r="E3869" t="s">
        <v>40</v>
      </c>
      <c r="F3869">
        <v>1</v>
      </c>
      <c r="G3869">
        <v>1299</v>
      </c>
      <c r="H3869">
        <v>0</v>
      </c>
      <c r="I3869" t="s">
        <v>47</v>
      </c>
      <c r="J3869" t="s">
        <v>36</v>
      </c>
      <c r="K3869" t="s">
        <v>17</v>
      </c>
      <c r="L3869">
        <f>F3868*G3868*(1-H3868)</f>
        <v>4749.05</v>
      </c>
    </row>
    <row r="3870" spans="1:12">
      <c r="A3870" t="s">
        <v>4698</v>
      </c>
      <c r="B3870" s="1">
        <v>46110</v>
      </c>
      <c r="C3870" t="s">
        <v>3490</v>
      </c>
      <c r="D3870" t="s">
        <v>78</v>
      </c>
      <c r="E3870" t="s">
        <v>21</v>
      </c>
      <c r="F3870">
        <v>3</v>
      </c>
      <c r="G3870">
        <v>1499</v>
      </c>
      <c r="H3870">
        <v>0.15</v>
      </c>
      <c r="I3870" t="s">
        <v>32</v>
      </c>
      <c r="J3870" t="s">
        <v>36</v>
      </c>
      <c r="K3870" t="s">
        <v>17</v>
      </c>
      <c r="L3870">
        <f>F3869*G3869*(1-H3869)</f>
        <v>1299</v>
      </c>
    </row>
    <row r="3871" spans="1:12">
      <c r="A3871" t="s">
        <v>4699</v>
      </c>
      <c r="B3871" s="1">
        <v>46150</v>
      </c>
      <c r="C3871" t="s">
        <v>1040</v>
      </c>
      <c r="D3871" t="s">
        <v>43</v>
      </c>
      <c r="E3871" t="s">
        <v>14</v>
      </c>
      <c r="F3871">
        <v>4</v>
      </c>
      <c r="G3871">
        <v>999</v>
      </c>
      <c r="H3871">
        <v>0</v>
      </c>
      <c r="I3871" t="s">
        <v>47</v>
      </c>
      <c r="J3871" t="s">
        <v>28</v>
      </c>
      <c r="K3871" t="s">
        <v>37</v>
      </c>
      <c r="L3871">
        <f>F3870*G3870*(1-H3870)</f>
        <v>3822.45</v>
      </c>
    </row>
    <row r="3872" spans="1:12">
      <c r="A3872" t="s">
        <v>4700</v>
      </c>
      <c r="B3872" s="1">
        <v>46185</v>
      </c>
      <c r="C3872" t="s">
        <v>1347</v>
      </c>
      <c r="D3872" t="s">
        <v>62</v>
      </c>
      <c r="E3872" t="s">
        <v>40</v>
      </c>
      <c r="F3872">
        <v>1</v>
      </c>
      <c r="G3872">
        <v>7999</v>
      </c>
      <c r="H3872">
        <v>0.05</v>
      </c>
      <c r="I3872" t="s">
        <v>44</v>
      </c>
      <c r="J3872" t="s">
        <v>51</v>
      </c>
      <c r="K3872" t="s">
        <v>23</v>
      </c>
      <c r="L3872">
        <f>F3871*G3871*(1-H3871)</f>
        <v>3996</v>
      </c>
    </row>
    <row r="3873" spans="1:12">
      <c r="A3873" t="s">
        <v>4701</v>
      </c>
      <c r="B3873" s="1">
        <v>46033</v>
      </c>
      <c r="C3873" t="s">
        <v>96</v>
      </c>
      <c r="D3873" t="s">
        <v>13</v>
      </c>
      <c r="E3873" t="s">
        <v>35</v>
      </c>
      <c r="F3873">
        <v>4</v>
      </c>
      <c r="G3873">
        <v>599</v>
      </c>
      <c r="H3873">
        <v>0</v>
      </c>
      <c r="I3873" t="s">
        <v>47</v>
      </c>
      <c r="J3873" t="s">
        <v>22</v>
      </c>
      <c r="K3873" t="s">
        <v>37</v>
      </c>
      <c r="L3873">
        <f>F3872*G3872*(1-H3872)</f>
        <v>7599.0499999999993</v>
      </c>
    </row>
    <row r="3874" spans="1:12">
      <c r="A3874" t="s">
        <v>4702</v>
      </c>
      <c r="B3874" s="1">
        <v>46145</v>
      </c>
      <c r="C3874" t="s">
        <v>389</v>
      </c>
      <c r="D3874" t="s">
        <v>43</v>
      </c>
      <c r="E3874" t="s">
        <v>27</v>
      </c>
      <c r="F3874">
        <v>2</v>
      </c>
      <c r="G3874">
        <v>599</v>
      </c>
      <c r="H3874">
        <v>0.1</v>
      </c>
      <c r="I3874" t="s">
        <v>47</v>
      </c>
      <c r="J3874" t="s">
        <v>51</v>
      </c>
      <c r="K3874" t="s">
        <v>17</v>
      </c>
      <c r="L3874">
        <f>F3873*G3873*(1-H3873)</f>
        <v>2396</v>
      </c>
    </row>
    <row r="3875" spans="1:12">
      <c r="A3875" t="s">
        <v>4703</v>
      </c>
      <c r="B3875" s="1">
        <v>46186</v>
      </c>
      <c r="C3875" t="s">
        <v>1128</v>
      </c>
      <c r="D3875" t="s">
        <v>13</v>
      </c>
      <c r="E3875" t="s">
        <v>35</v>
      </c>
      <c r="F3875">
        <v>2</v>
      </c>
      <c r="G3875">
        <v>1499</v>
      </c>
      <c r="H3875">
        <v>0.05</v>
      </c>
      <c r="I3875" t="s">
        <v>15</v>
      </c>
      <c r="J3875" t="s">
        <v>51</v>
      </c>
      <c r="K3875" t="s">
        <v>23</v>
      </c>
      <c r="L3875">
        <f>F3874*G3874*(1-H3874)</f>
        <v>1078.2</v>
      </c>
    </row>
    <row r="3876" spans="1:12">
      <c r="A3876" t="s">
        <v>4704</v>
      </c>
      <c r="B3876" s="1">
        <v>46031</v>
      </c>
      <c r="C3876" t="s">
        <v>1125</v>
      </c>
      <c r="D3876" t="s">
        <v>78</v>
      </c>
      <c r="E3876" t="s">
        <v>27</v>
      </c>
      <c r="F3876">
        <v>2</v>
      </c>
      <c r="G3876">
        <v>4999</v>
      </c>
      <c r="H3876">
        <v>0</v>
      </c>
      <c r="I3876" t="s">
        <v>15</v>
      </c>
      <c r="J3876" t="s">
        <v>22</v>
      </c>
      <c r="K3876" t="s">
        <v>17</v>
      </c>
      <c r="L3876">
        <f>F3875*G3875*(1-H3875)</f>
        <v>2848.1</v>
      </c>
    </row>
    <row r="3877" spans="1:12">
      <c r="A3877" t="s">
        <v>4705</v>
      </c>
      <c r="B3877" s="1">
        <v>46193</v>
      </c>
      <c r="C3877" t="s">
        <v>389</v>
      </c>
      <c r="D3877" t="s">
        <v>13</v>
      </c>
      <c r="E3877" t="s">
        <v>40</v>
      </c>
      <c r="F3877">
        <v>1</v>
      </c>
      <c r="G3877">
        <v>2499</v>
      </c>
      <c r="H3877">
        <v>0.05</v>
      </c>
      <c r="I3877" t="s">
        <v>50</v>
      </c>
      <c r="J3877" t="s">
        <v>28</v>
      </c>
      <c r="K3877" t="s">
        <v>37</v>
      </c>
      <c r="L3877">
        <f>F3876*G3876*(1-H3876)</f>
        <v>9998</v>
      </c>
    </row>
    <row r="3878" spans="1:12">
      <c r="A3878" t="s">
        <v>4706</v>
      </c>
      <c r="B3878" s="1">
        <v>46190</v>
      </c>
      <c r="C3878" t="s">
        <v>3530</v>
      </c>
      <c r="D3878" t="s">
        <v>20</v>
      </c>
      <c r="E3878" t="s">
        <v>35</v>
      </c>
      <c r="F3878">
        <v>5</v>
      </c>
      <c r="G3878">
        <v>2499</v>
      </c>
      <c r="H3878">
        <v>0</v>
      </c>
      <c r="I3878" t="s">
        <v>47</v>
      </c>
      <c r="J3878" t="s">
        <v>16</v>
      </c>
      <c r="K3878" t="s">
        <v>37</v>
      </c>
      <c r="L3878">
        <f>F3877*G3877*(1-H3877)</f>
        <v>2374.0499999999997</v>
      </c>
    </row>
    <row r="3879" spans="1:12">
      <c r="A3879" t="s">
        <v>4707</v>
      </c>
      <c r="B3879" s="1">
        <v>46024</v>
      </c>
      <c r="C3879" t="s">
        <v>1349</v>
      </c>
      <c r="D3879" t="s">
        <v>31</v>
      </c>
      <c r="E3879" t="s">
        <v>21</v>
      </c>
      <c r="F3879">
        <v>4</v>
      </c>
      <c r="G3879">
        <v>599</v>
      </c>
      <c r="H3879">
        <v>0.1</v>
      </c>
      <c r="I3879" t="s">
        <v>15</v>
      </c>
      <c r="J3879" t="s">
        <v>51</v>
      </c>
      <c r="K3879" t="s">
        <v>37</v>
      </c>
      <c r="L3879">
        <f>F3878*G3878*(1-H3878)</f>
        <v>12495</v>
      </c>
    </row>
    <row r="3880" spans="1:12">
      <c r="A3880" t="s">
        <v>4708</v>
      </c>
      <c r="B3880" s="1">
        <v>46095</v>
      </c>
      <c r="C3880" t="s">
        <v>263</v>
      </c>
      <c r="D3880" t="s">
        <v>20</v>
      </c>
      <c r="E3880" t="s">
        <v>14</v>
      </c>
      <c r="F3880">
        <v>1</v>
      </c>
      <c r="G3880">
        <v>499</v>
      </c>
      <c r="H3880">
        <v>0.15</v>
      </c>
      <c r="I3880" t="s">
        <v>47</v>
      </c>
      <c r="J3880" t="s">
        <v>51</v>
      </c>
      <c r="K3880" t="s">
        <v>17</v>
      </c>
      <c r="L3880">
        <f>F3879*G3879*(1-H3879)</f>
        <v>2156.4</v>
      </c>
    </row>
    <row r="3881" spans="1:12">
      <c r="A3881" t="s">
        <v>4709</v>
      </c>
      <c r="B3881" s="1">
        <v>46154</v>
      </c>
      <c r="C3881" t="s">
        <v>1017</v>
      </c>
      <c r="D3881" t="s">
        <v>26</v>
      </c>
      <c r="E3881" t="s">
        <v>27</v>
      </c>
      <c r="F3881">
        <v>4</v>
      </c>
      <c r="G3881">
        <v>999</v>
      </c>
      <c r="H3881">
        <v>0.1</v>
      </c>
      <c r="I3881" t="s">
        <v>47</v>
      </c>
      <c r="J3881" t="s">
        <v>28</v>
      </c>
      <c r="K3881" t="s">
        <v>23</v>
      </c>
      <c r="L3881">
        <f>F3880*G3880*(1-H3880)</f>
        <v>424.15</v>
      </c>
    </row>
    <row r="3882" spans="1:12">
      <c r="A3882" t="s">
        <v>4710</v>
      </c>
      <c r="B3882" s="1">
        <v>46091</v>
      </c>
      <c r="C3882" t="s">
        <v>158</v>
      </c>
      <c r="D3882" t="s">
        <v>56</v>
      </c>
      <c r="E3882" t="s">
        <v>21</v>
      </c>
      <c r="F3882">
        <v>1</v>
      </c>
      <c r="G3882">
        <v>999</v>
      </c>
      <c r="H3882">
        <v>0.1</v>
      </c>
      <c r="I3882" t="s">
        <v>50</v>
      </c>
      <c r="J3882" t="s">
        <v>16</v>
      </c>
      <c r="K3882" t="s">
        <v>17</v>
      </c>
      <c r="L3882">
        <f>F3881*G3881*(1-H3881)</f>
        <v>3596.4</v>
      </c>
    </row>
    <row r="3883" spans="1:12">
      <c r="A3883" t="s">
        <v>4711</v>
      </c>
      <c r="B3883" s="1">
        <v>46274</v>
      </c>
      <c r="C3883" t="s">
        <v>2601</v>
      </c>
      <c r="D3883" t="s">
        <v>31</v>
      </c>
      <c r="E3883" t="s">
        <v>14</v>
      </c>
      <c r="F3883">
        <v>2</v>
      </c>
      <c r="G3883">
        <v>1999</v>
      </c>
      <c r="H3883">
        <v>0</v>
      </c>
      <c r="I3883" t="s">
        <v>44</v>
      </c>
      <c r="J3883" t="s">
        <v>51</v>
      </c>
      <c r="K3883" t="s">
        <v>37</v>
      </c>
      <c r="L3883">
        <f>F3882*G3882*(1-H3882)</f>
        <v>899.1</v>
      </c>
    </row>
    <row r="3884" spans="1:12">
      <c r="A3884" t="s">
        <v>4712</v>
      </c>
      <c r="B3884" s="1">
        <v>46142</v>
      </c>
      <c r="C3884" t="s">
        <v>3317</v>
      </c>
      <c r="D3884" t="s">
        <v>31</v>
      </c>
      <c r="E3884" t="s">
        <v>35</v>
      </c>
      <c r="F3884">
        <v>3</v>
      </c>
      <c r="G3884">
        <v>1299</v>
      </c>
      <c r="H3884">
        <v>0.1</v>
      </c>
      <c r="I3884" t="s">
        <v>32</v>
      </c>
      <c r="J3884" t="s">
        <v>22</v>
      </c>
      <c r="K3884" t="s">
        <v>23</v>
      </c>
      <c r="L3884">
        <f>F3883*G3883*(1-H3883)</f>
        <v>3998</v>
      </c>
    </row>
    <row r="3885" spans="1:12">
      <c r="A3885" t="s">
        <v>4713</v>
      </c>
      <c r="B3885" s="1">
        <v>46237</v>
      </c>
      <c r="C3885" t="s">
        <v>1077</v>
      </c>
      <c r="D3885" t="s">
        <v>43</v>
      </c>
      <c r="E3885" t="s">
        <v>27</v>
      </c>
      <c r="F3885">
        <v>5</v>
      </c>
      <c r="G3885">
        <v>1499</v>
      </c>
      <c r="H3885">
        <v>0</v>
      </c>
      <c r="I3885" t="s">
        <v>15</v>
      </c>
      <c r="J3885" t="s">
        <v>36</v>
      </c>
      <c r="K3885" t="s">
        <v>23</v>
      </c>
      <c r="L3885">
        <f>F3884*G3884*(1-H3884)</f>
        <v>3507.3</v>
      </c>
    </row>
    <row r="3886" spans="1:12">
      <c r="A3886" t="s">
        <v>4714</v>
      </c>
      <c r="B3886" s="1">
        <v>46221</v>
      </c>
      <c r="C3886" t="s">
        <v>185</v>
      </c>
      <c r="D3886" t="s">
        <v>71</v>
      </c>
      <c r="E3886" t="s">
        <v>21</v>
      </c>
      <c r="F3886">
        <v>5</v>
      </c>
      <c r="G3886">
        <v>799</v>
      </c>
      <c r="H3886">
        <v>0</v>
      </c>
      <c r="I3886" t="s">
        <v>50</v>
      </c>
      <c r="J3886" t="s">
        <v>28</v>
      </c>
      <c r="K3886" t="s">
        <v>37</v>
      </c>
      <c r="L3886">
        <f>F3885*G3885*(1-H3885)</f>
        <v>7495</v>
      </c>
    </row>
    <row r="3887" spans="1:12">
      <c r="A3887" t="s">
        <v>4715</v>
      </c>
      <c r="B3887" s="1">
        <v>46183</v>
      </c>
      <c r="C3887" t="s">
        <v>1800</v>
      </c>
      <c r="D3887" t="s">
        <v>26</v>
      </c>
      <c r="E3887" t="s">
        <v>14</v>
      </c>
      <c r="F3887">
        <v>5</v>
      </c>
      <c r="G3887">
        <v>7999</v>
      </c>
      <c r="H3887">
        <v>0.05</v>
      </c>
      <c r="I3887" t="s">
        <v>32</v>
      </c>
      <c r="J3887" t="s">
        <v>36</v>
      </c>
      <c r="K3887" t="s">
        <v>17</v>
      </c>
      <c r="L3887">
        <f>F3886*G3886*(1-H3886)</f>
        <v>3995</v>
      </c>
    </row>
    <row r="3888" spans="1:12">
      <c r="A3888" t="s">
        <v>4716</v>
      </c>
      <c r="B3888" s="1">
        <v>46099</v>
      </c>
      <c r="C3888" t="s">
        <v>1951</v>
      </c>
      <c r="D3888" t="s">
        <v>62</v>
      </c>
      <c r="E3888" t="s">
        <v>35</v>
      </c>
      <c r="F3888">
        <v>3</v>
      </c>
      <c r="G3888">
        <v>2499</v>
      </c>
      <c r="H3888">
        <v>0.05</v>
      </c>
      <c r="I3888" t="s">
        <v>47</v>
      </c>
      <c r="J3888" t="s">
        <v>36</v>
      </c>
      <c r="K3888" t="s">
        <v>17</v>
      </c>
      <c r="L3888">
        <f>F3887*G3887*(1-H3887)</f>
        <v>37995.25</v>
      </c>
    </row>
    <row r="3889" spans="1:12">
      <c r="A3889" t="s">
        <v>4717</v>
      </c>
      <c r="B3889" s="1">
        <v>46215</v>
      </c>
      <c r="C3889" t="s">
        <v>886</v>
      </c>
      <c r="D3889" t="s">
        <v>26</v>
      </c>
      <c r="E3889" t="s">
        <v>27</v>
      </c>
      <c r="F3889">
        <v>2</v>
      </c>
      <c r="G3889">
        <v>4999</v>
      </c>
      <c r="H3889">
        <v>0</v>
      </c>
      <c r="I3889" t="s">
        <v>15</v>
      </c>
      <c r="J3889" t="s">
        <v>22</v>
      </c>
      <c r="K3889" t="s">
        <v>37</v>
      </c>
      <c r="L3889">
        <f>F3888*G3888*(1-H3888)</f>
        <v>7122.15</v>
      </c>
    </row>
    <row r="3890" spans="1:12">
      <c r="A3890" t="s">
        <v>4718</v>
      </c>
      <c r="B3890" s="1">
        <v>46112</v>
      </c>
      <c r="C3890" t="s">
        <v>1593</v>
      </c>
      <c r="D3890" t="s">
        <v>78</v>
      </c>
      <c r="E3890" t="s">
        <v>40</v>
      </c>
      <c r="F3890">
        <v>1</v>
      </c>
      <c r="G3890">
        <v>499</v>
      </c>
      <c r="H3890">
        <v>0</v>
      </c>
      <c r="I3890" t="s">
        <v>47</v>
      </c>
      <c r="J3890" t="s">
        <v>28</v>
      </c>
      <c r="K3890" t="s">
        <v>17</v>
      </c>
      <c r="L3890">
        <f>F3889*G3889*(1-H3889)</f>
        <v>9998</v>
      </c>
    </row>
    <row r="3891" spans="1:12">
      <c r="A3891" t="s">
        <v>4719</v>
      </c>
      <c r="B3891" s="1">
        <v>46158</v>
      </c>
      <c r="C3891" t="s">
        <v>162</v>
      </c>
      <c r="D3891" t="s">
        <v>13</v>
      </c>
      <c r="E3891" t="s">
        <v>40</v>
      </c>
      <c r="F3891">
        <v>1</v>
      </c>
      <c r="G3891">
        <v>1999</v>
      </c>
      <c r="H3891">
        <v>0.15</v>
      </c>
      <c r="I3891" t="s">
        <v>50</v>
      </c>
      <c r="J3891" t="s">
        <v>28</v>
      </c>
      <c r="K3891" t="s">
        <v>23</v>
      </c>
      <c r="L3891">
        <f>F3890*G3890*(1-H3890)</f>
        <v>499</v>
      </c>
    </row>
    <row r="3892" spans="1:12">
      <c r="A3892" t="s">
        <v>4720</v>
      </c>
      <c r="B3892" s="1">
        <v>46120</v>
      </c>
      <c r="C3892" t="s">
        <v>312</v>
      </c>
      <c r="D3892" t="s">
        <v>71</v>
      </c>
      <c r="E3892" t="s">
        <v>35</v>
      </c>
      <c r="F3892">
        <v>2</v>
      </c>
      <c r="G3892">
        <v>499</v>
      </c>
      <c r="H3892">
        <v>0.1</v>
      </c>
      <c r="I3892" t="s">
        <v>32</v>
      </c>
      <c r="J3892" t="s">
        <v>22</v>
      </c>
      <c r="K3892" t="s">
        <v>37</v>
      </c>
      <c r="L3892">
        <f>F3891*G3891*(1-H3891)</f>
        <v>1699.1499999999999</v>
      </c>
    </row>
    <row r="3893" spans="1:12">
      <c r="A3893" t="s">
        <v>4721</v>
      </c>
      <c r="B3893" s="1">
        <v>46060</v>
      </c>
      <c r="C3893" t="s">
        <v>1216</v>
      </c>
      <c r="D3893" t="s">
        <v>31</v>
      </c>
      <c r="E3893" t="s">
        <v>21</v>
      </c>
      <c r="F3893">
        <v>2</v>
      </c>
      <c r="G3893">
        <v>1999</v>
      </c>
      <c r="H3893">
        <v>0.1</v>
      </c>
      <c r="I3893" t="s">
        <v>15</v>
      </c>
      <c r="J3893" t="s">
        <v>22</v>
      </c>
      <c r="K3893" t="s">
        <v>17</v>
      </c>
      <c r="L3893">
        <f>F3892*G3892*(1-H3892)</f>
        <v>898.2</v>
      </c>
    </row>
    <row r="3894" spans="1:12">
      <c r="A3894" t="s">
        <v>4722</v>
      </c>
      <c r="B3894" s="1">
        <v>46045</v>
      </c>
      <c r="C3894" t="s">
        <v>1523</v>
      </c>
      <c r="D3894" t="s">
        <v>13</v>
      </c>
      <c r="E3894" t="s">
        <v>14</v>
      </c>
      <c r="F3894">
        <v>1</v>
      </c>
      <c r="G3894">
        <v>499</v>
      </c>
      <c r="H3894">
        <v>0</v>
      </c>
      <c r="I3894" t="s">
        <v>15</v>
      </c>
      <c r="J3894" t="s">
        <v>36</v>
      </c>
      <c r="K3894" t="s">
        <v>23</v>
      </c>
      <c r="L3894">
        <f>F3893*G3893*(1-H3893)</f>
        <v>3598.2000000000003</v>
      </c>
    </row>
    <row r="3895" spans="1:12">
      <c r="A3895" t="s">
        <v>4723</v>
      </c>
      <c r="B3895" s="1">
        <v>46196</v>
      </c>
      <c r="C3895" t="s">
        <v>1923</v>
      </c>
      <c r="D3895" t="s">
        <v>62</v>
      </c>
      <c r="E3895" t="s">
        <v>40</v>
      </c>
      <c r="F3895">
        <v>2</v>
      </c>
      <c r="G3895">
        <v>4999</v>
      </c>
      <c r="H3895">
        <v>0.05</v>
      </c>
      <c r="I3895" t="s">
        <v>15</v>
      </c>
      <c r="J3895" t="s">
        <v>36</v>
      </c>
      <c r="K3895" t="s">
        <v>17</v>
      </c>
      <c r="L3895">
        <f>F3894*G3894*(1-H3894)</f>
        <v>499</v>
      </c>
    </row>
    <row r="3896" spans="1:12">
      <c r="A3896" t="s">
        <v>4724</v>
      </c>
      <c r="B3896" s="1">
        <v>46185</v>
      </c>
      <c r="C3896" t="s">
        <v>530</v>
      </c>
      <c r="D3896" t="s">
        <v>59</v>
      </c>
      <c r="E3896" t="s">
        <v>14</v>
      </c>
      <c r="F3896">
        <v>1</v>
      </c>
      <c r="G3896">
        <v>799</v>
      </c>
      <c r="H3896">
        <v>0.15</v>
      </c>
      <c r="I3896" t="s">
        <v>15</v>
      </c>
      <c r="J3896" t="s">
        <v>36</v>
      </c>
      <c r="K3896" t="s">
        <v>23</v>
      </c>
      <c r="L3896">
        <f>F3895*G3895*(1-H3895)</f>
        <v>9498.1</v>
      </c>
    </row>
    <row r="3897" spans="1:12">
      <c r="A3897" t="s">
        <v>4725</v>
      </c>
      <c r="B3897" s="1">
        <v>46158</v>
      </c>
      <c r="C3897" t="s">
        <v>991</v>
      </c>
      <c r="D3897" t="s">
        <v>13</v>
      </c>
      <c r="E3897" t="s">
        <v>27</v>
      </c>
      <c r="F3897">
        <v>2</v>
      </c>
      <c r="G3897">
        <v>1999</v>
      </c>
      <c r="H3897">
        <v>0.15</v>
      </c>
      <c r="I3897" t="s">
        <v>50</v>
      </c>
      <c r="J3897" t="s">
        <v>28</v>
      </c>
      <c r="K3897" t="s">
        <v>17</v>
      </c>
      <c r="L3897">
        <f>F3896*G3896*(1-H3896)</f>
        <v>679.15</v>
      </c>
    </row>
    <row r="3898" spans="1:12">
      <c r="A3898" t="s">
        <v>4726</v>
      </c>
      <c r="B3898" s="1">
        <v>46245</v>
      </c>
      <c r="C3898" t="s">
        <v>846</v>
      </c>
      <c r="D3898" t="s">
        <v>59</v>
      </c>
      <c r="E3898" t="s">
        <v>21</v>
      </c>
      <c r="F3898">
        <v>1</v>
      </c>
      <c r="G3898">
        <v>7999</v>
      </c>
      <c r="H3898">
        <v>0.1</v>
      </c>
      <c r="I3898" t="s">
        <v>47</v>
      </c>
      <c r="J3898" t="s">
        <v>28</v>
      </c>
      <c r="K3898" t="s">
        <v>17</v>
      </c>
      <c r="L3898">
        <f>F3897*G3897*(1-H3897)</f>
        <v>3398.2999999999997</v>
      </c>
    </row>
    <row r="3899" spans="1:12">
      <c r="A3899" t="s">
        <v>4727</v>
      </c>
      <c r="B3899" s="1">
        <v>46164</v>
      </c>
      <c r="C3899" t="s">
        <v>302</v>
      </c>
      <c r="D3899" t="s">
        <v>62</v>
      </c>
      <c r="E3899" t="s">
        <v>40</v>
      </c>
      <c r="F3899">
        <v>2</v>
      </c>
      <c r="G3899">
        <v>499</v>
      </c>
      <c r="H3899">
        <v>0.15</v>
      </c>
      <c r="I3899" t="s">
        <v>50</v>
      </c>
      <c r="J3899" t="s">
        <v>22</v>
      </c>
      <c r="K3899" t="s">
        <v>17</v>
      </c>
      <c r="L3899">
        <f>F3898*G3898*(1-H3898)</f>
        <v>7199.1</v>
      </c>
    </row>
    <row r="3900" spans="1:12">
      <c r="A3900" t="s">
        <v>4728</v>
      </c>
      <c r="B3900" s="1">
        <v>46261</v>
      </c>
      <c r="C3900" t="s">
        <v>2447</v>
      </c>
      <c r="D3900" t="s">
        <v>71</v>
      </c>
      <c r="E3900" t="s">
        <v>14</v>
      </c>
      <c r="F3900">
        <v>2</v>
      </c>
      <c r="G3900">
        <v>999</v>
      </c>
      <c r="H3900">
        <v>0.05</v>
      </c>
      <c r="I3900" t="s">
        <v>50</v>
      </c>
      <c r="J3900" t="s">
        <v>22</v>
      </c>
      <c r="K3900" t="s">
        <v>17</v>
      </c>
      <c r="L3900">
        <f>F3899*G3899*(1-H3899)</f>
        <v>848.3</v>
      </c>
    </row>
    <row r="3901" spans="1:12">
      <c r="A3901" t="s">
        <v>4729</v>
      </c>
      <c r="B3901" s="1">
        <v>46208</v>
      </c>
      <c r="C3901" t="s">
        <v>2697</v>
      </c>
      <c r="D3901" t="s">
        <v>62</v>
      </c>
      <c r="E3901" t="s">
        <v>14</v>
      </c>
      <c r="F3901">
        <v>2</v>
      </c>
      <c r="G3901">
        <v>499</v>
      </c>
      <c r="H3901">
        <v>0</v>
      </c>
      <c r="I3901" t="s">
        <v>47</v>
      </c>
      <c r="J3901" t="s">
        <v>28</v>
      </c>
      <c r="K3901" t="s">
        <v>17</v>
      </c>
      <c r="L3901">
        <f>F3900*G3900*(1-H3900)</f>
        <v>1898.1</v>
      </c>
    </row>
    <row r="3902" spans="1:12">
      <c r="A3902" t="s">
        <v>4730</v>
      </c>
      <c r="B3902" s="1">
        <v>46234</v>
      </c>
      <c r="C3902" t="s">
        <v>1675</v>
      </c>
      <c r="D3902" t="s">
        <v>20</v>
      </c>
      <c r="E3902" t="s">
        <v>40</v>
      </c>
      <c r="F3902">
        <v>3</v>
      </c>
      <c r="G3902">
        <v>7999</v>
      </c>
      <c r="H3902">
        <v>0</v>
      </c>
      <c r="I3902" t="s">
        <v>47</v>
      </c>
      <c r="J3902" t="s">
        <v>22</v>
      </c>
      <c r="K3902" t="s">
        <v>17</v>
      </c>
      <c r="L3902">
        <f>F3901*G3901*(1-H3901)</f>
        <v>998</v>
      </c>
    </row>
    <row r="3903" spans="1:12">
      <c r="A3903" t="s">
        <v>4731</v>
      </c>
      <c r="B3903" s="1">
        <v>46250</v>
      </c>
      <c r="C3903" t="s">
        <v>205</v>
      </c>
      <c r="D3903" t="s">
        <v>78</v>
      </c>
      <c r="E3903" t="s">
        <v>14</v>
      </c>
      <c r="F3903">
        <v>5</v>
      </c>
      <c r="G3903">
        <v>2499</v>
      </c>
      <c r="H3903">
        <v>0.1</v>
      </c>
      <c r="I3903" t="s">
        <v>32</v>
      </c>
      <c r="J3903" t="s">
        <v>28</v>
      </c>
      <c r="K3903" t="s">
        <v>17</v>
      </c>
      <c r="L3903">
        <f>F3902*G3902*(1-H3902)</f>
        <v>23997</v>
      </c>
    </row>
    <row r="3904" spans="1:12">
      <c r="A3904" t="s">
        <v>4732</v>
      </c>
      <c r="B3904" s="1">
        <v>46116</v>
      </c>
      <c r="C3904" t="s">
        <v>2034</v>
      </c>
      <c r="D3904" t="s">
        <v>13</v>
      </c>
      <c r="E3904" t="s">
        <v>40</v>
      </c>
      <c r="F3904">
        <v>5</v>
      </c>
      <c r="G3904">
        <v>4999</v>
      </c>
      <c r="H3904">
        <v>0</v>
      </c>
      <c r="I3904" t="s">
        <v>50</v>
      </c>
      <c r="J3904" t="s">
        <v>22</v>
      </c>
      <c r="K3904" t="s">
        <v>23</v>
      </c>
      <c r="L3904">
        <f>F3903*G3903*(1-H3903)</f>
        <v>11245.5</v>
      </c>
    </row>
    <row r="3905" spans="1:12">
      <c r="A3905" t="s">
        <v>4733</v>
      </c>
      <c r="B3905" s="1">
        <v>46198</v>
      </c>
      <c r="C3905" t="s">
        <v>1203</v>
      </c>
      <c r="D3905" t="s">
        <v>62</v>
      </c>
      <c r="E3905" t="s">
        <v>14</v>
      </c>
      <c r="F3905">
        <v>1</v>
      </c>
      <c r="G3905">
        <v>599</v>
      </c>
      <c r="H3905">
        <v>0</v>
      </c>
      <c r="I3905" t="s">
        <v>44</v>
      </c>
      <c r="J3905" t="s">
        <v>28</v>
      </c>
      <c r="K3905" t="s">
        <v>23</v>
      </c>
      <c r="L3905">
        <f>F3904*G3904*(1-H3904)</f>
        <v>24995</v>
      </c>
    </row>
    <row r="3906" spans="1:12">
      <c r="A3906" t="s">
        <v>4734</v>
      </c>
      <c r="B3906" s="1">
        <v>46260</v>
      </c>
      <c r="C3906" t="s">
        <v>1444</v>
      </c>
      <c r="D3906" t="s">
        <v>59</v>
      </c>
      <c r="E3906" t="s">
        <v>21</v>
      </c>
      <c r="F3906">
        <v>4</v>
      </c>
      <c r="G3906">
        <v>1999</v>
      </c>
      <c r="H3906">
        <v>0</v>
      </c>
      <c r="I3906" t="s">
        <v>44</v>
      </c>
      <c r="J3906" t="s">
        <v>22</v>
      </c>
      <c r="K3906" t="s">
        <v>17</v>
      </c>
      <c r="L3906">
        <f>F3905*G3905*(1-H3905)</f>
        <v>599</v>
      </c>
    </row>
    <row r="3907" spans="1:12">
      <c r="A3907" t="s">
        <v>4735</v>
      </c>
      <c r="B3907" s="1">
        <v>46149</v>
      </c>
      <c r="C3907" t="s">
        <v>720</v>
      </c>
      <c r="D3907" t="s">
        <v>62</v>
      </c>
      <c r="E3907" t="s">
        <v>14</v>
      </c>
      <c r="F3907">
        <v>3</v>
      </c>
      <c r="G3907">
        <v>1299</v>
      </c>
      <c r="H3907">
        <v>0</v>
      </c>
      <c r="I3907" t="s">
        <v>47</v>
      </c>
      <c r="J3907" t="s">
        <v>36</v>
      </c>
      <c r="K3907" t="s">
        <v>23</v>
      </c>
      <c r="L3907">
        <f>F3906*G3906*(1-H3906)</f>
        <v>7996</v>
      </c>
    </row>
    <row r="3908" spans="1:12">
      <c r="A3908" t="s">
        <v>4736</v>
      </c>
      <c r="B3908" s="1">
        <v>46123</v>
      </c>
      <c r="C3908" t="s">
        <v>933</v>
      </c>
      <c r="D3908" t="s">
        <v>78</v>
      </c>
      <c r="E3908" t="s">
        <v>14</v>
      </c>
      <c r="F3908">
        <v>1</v>
      </c>
      <c r="G3908">
        <v>7999</v>
      </c>
      <c r="H3908">
        <v>0.05</v>
      </c>
      <c r="I3908" t="s">
        <v>32</v>
      </c>
      <c r="J3908" t="s">
        <v>28</v>
      </c>
      <c r="K3908" t="s">
        <v>17</v>
      </c>
      <c r="L3908">
        <f>F3907*G3907*(1-H3907)</f>
        <v>3897</v>
      </c>
    </row>
    <row r="3909" spans="1:12">
      <c r="A3909" t="s">
        <v>4737</v>
      </c>
      <c r="B3909" s="1">
        <v>46222</v>
      </c>
      <c r="C3909" t="s">
        <v>1621</v>
      </c>
      <c r="D3909" t="s">
        <v>20</v>
      </c>
      <c r="E3909" t="s">
        <v>14</v>
      </c>
      <c r="F3909">
        <v>3</v>
      </c>
      <c r="G3909">
        <v>2499</v>
      </c>
      <c r="H3909">
        <v>0.15</v>
      </c>
      <c r="I3909" t="s">
        <v>32</v>
      </c>
      <c r="J3909" t="s">
        <v>51</v>
      </c>
      <c r="K3909" t="s">
        <v>17</v>
      </c>
      <c r="L3909">
        <f>F3908*G3908*(1-H3908)</f>
        <v>7599.0499999999993</v>
      </c>
    </row>
    <row r="3910" spans="1:12">
      <c r="A3910" t="s">
        <v>4738</v>
      </c>
      <c r="B3910" s="1">
        <v>46254</v>
      </c>
      <c r="C3910" t="s">
        <v>1128</v>
      </c>
      <c r="D3910" t="s">
        <v>26</v>
      </c>
      <c r="E3910" t="s">
        <v>27</v>
      </c>
      <c r="F3910">
        <v>5</v>
      </c>
      <c r="G3910">
        <v>999</v>
      </c>
      <c r="H3910">
        <v>0</v>
      </c>
      <c r="I3910" t="s">
        <v>32</v>
      </c>
      <c r="J3910" t="s">
        <v>51</v>
      </c>
      <c r="K3910" t="s">
        <v>17</v>
      </c>
      <c r="L3910">
        <f>F3909*G3909*(1-H3909)</f>
        <v>6372.45</v>
      </c>
    </row>
    <row r="3911" spans="1:12">
      <c r="A3911" t="s">
        <v>4739</v>
      </c>
      <c r="B3911" s="1">
        <v>46048</v>
      </c>
      <c r="C3911" t="s">
        <v>2530</v>
      </c>
      <c r="D3911" t="s">
        <v>13</v>
      </c>
      <c r="E3911" t="s">
        <v>21</v>
      </c>
      <c r="F3911">
        <v>5</v>
      </c>
      <c r="G3911">
        <v>499</v>
      </c>
      <c r="H3911">
        <v>0</v>
      </c>
      <c r="I3911" t="s">
        <v>50</v>
      </c>
      <c r="J3911" t="s">
        <v>22</v>
      </c>
      <c r="K3911" t="s">
        <v>17</v>
      </c>
      <c r="L3911">
        <f>F3910*G3910*(1-H3910)</f>
        <v>4995</v>
      </c>
    </row>
    <row r="3912" spans="1:12">
      <c r="A3912" t="s">
        <v>4740</v>
      </c>
      <c r="B3912" s="1">
        <v>46287</v>
      </c>
      <c r="C3912" t="s">
        <v>987</v>
      </c>
      <c r="D3912" t="s">
        <v>59</v>
      </c>
      <c r="E3912" t="s">
        <v>40</v>
      </c>
      <c r="F3912">
        <v>2</v>
      </c>
      <c r="G3912">
        <v>1999</v>
      </c>
      <c r="H3912">
        <v>0</v>
      </c>
      <c r="I3912" t="s">
        <v>50</v>
      </c>
      <c r="J3912" t="s">
        <v>36</v>
      </c>
      <c r="K3912" t="s">
        <v>37</v>
      </c>
      <c r="L3912">
        <f>F3911*G3911*(1-H3911)</f>
        <v>2495</v>
      </c>
    </row>
    <row r="3913" spans="1:12">
      <c r="A3913" t="s">
        <v>4741</v>
      </c>
      <c r="B3913" s="1">
        <v>46287</v>
      </c>
      <c r="C3913" t="s">
        <v>66</v>
      </c>
      <c r="D3913" t="s">
        <v>56</v>
      </c>
      <c r="E3913" t="s">
        <v>35</v>
      </c>
      <c r="F3913">
        <v>3</v>
      </c>
      <c r="G3913">
        <v>2499</v>
      </c>
      <c r="H3913">
        <v>0.05</v>
      </c>
      <c r="I3913" t="s">
        <v>44</v>
      </c>
      <c r="J3913" t="s">
        <v>22</v>
      </c>
      <c r="K3913" t="s">
        <v>17</v>
      </c>
      <c r="L3913">
        <f>F3912*G3912*(1-H3912)</f>
        <v>3998</v>
      </c>
    </row>
    <row r="3914" spans="1:12">
      <c r="A3914" t="s">
        <v>4742</v>
      </c>
      <c r="B3914" s="1">
        <v>46071</v>
      </c>
      <c r="C3914" t="s">
        <v>646</v>
      </c>
      <c r="D3914" t="s">
        <v>31</v>
      </c>
      <c r="E3914" t="s">
        <v>14</v>
      </c>
      <c r="F3914">
        <v>1</v>
      </c>
      <c r="G3914">
        <v>999</v>
      </c>
      <c r="H3914">
        <v>0</v>
      </c>
      <c r="I3914" t="s">
        <v>50</v>
      </c>
      <c r="J3914" t="s">
        <v>16</v>
      </c>
      <c r="K3914" t="s">
        <v>17</v>
      </c>
      <c r="L3914">
        <f>F3913*G3913*(1-H3913)</f>
        <v>7122.15</v>
      </c>
    </row>
    <row r="3915" spans="1:12">
      <c r="A3915" t="s">
        <v>4743</v>
      </c>
      <c r="B3915" s="1">
        <v>46293</v>
      </c>
      <c r="C3915" t="s">
        <v>1898</v>
      </c>
      <c r="D3915" t="s">
        <v>31</v>
      </c>
      <c r="E3915" t="s">
        <v>14</v>
      </c>
      <c r="F3915">
        <v>1</v>
      </c>
      <c r="G3915">
        <v>1299</v>
      </c>
      <c r="H3915">
        <v>0.15</v>
      </c>
      <c r="I3915" t="s">
        <v>15</v>
      </c>
      <c r="J3915" t="s">
        <v>36</v>
      </c>
      <c r="K3915" t="s">
        <v>37</v>
      </c>
      <c r="L3915">
        <f>F3914*G3914*(1-H3914)</f>
        <v>999</v>
      </c>
    </row>
    <row r="3916" spans="1:12">
      <c r="A3916" t="s">
        <v>4744</v>
      </c>
      <c r="B3916" s="1">
        <v>46073</v>
      </c>
      <c r="C3916" t="s">
        <v>110</v>
      </c>
      <c r="D3916" t="s">
        <v>26</v>
      </c>
      <c r="E3916" t="s">
        <v>14</v>
      </c>
      <c r="F3916">
        <v>2</v>
      </c>
      <c r="G3916">
        <v>2499</v>
      </c>
      <c r="H3916">
        <v>0.1</v>
      </c>
      <c r="I3916" t="s">
        <v>32</v>
      </c>
      <c r="J3916" t="s">
        <v>22</v>
      </c>
      <c r="K3916" t="s">
        <v>17</v>
      </c>
      <c r="L3916">
        <f>F3915*G3915*(1-H3915)</f>
        <v>1104.1499999999999</v>
      </c>
    </row>
    <row r="3917" spans="1:12">
      <c r="A3917" t="s">
        <v>4745</v>
      </c>
      <c r="B3917" s="1">
        <v>46174</v>
      </c>
      <c r="C3917" t="s">
        <v>1590</v>
      </c>
      <c r="D3917" t="s">
        <v>31</v>
      </c>
      <c r="E3917" t="s">
        <v>27</v>
      </c>
      <c r="F3917">
        <v>1</v>
      </c>
      <c r="G3917">
        <v>1499</v>
      </c>
      <c r="H3917">
        <v>0.1</v>
      </c>
      <c r="I3917" t="s">
        <v>44</v>
      </c>
      <c r="J3917" t="s">
        <v>51</v>
      </c>
      <c r="K3917" t="s">
        <v>23</v>
      </c>
      <c r="L3917">
        <f>F3916*G3916*(1-H3916)</f>
        <v>4498.2</v>
      </c>
    </row>
    <row r="3918" spans="1:12">
      <c r="A3918" t="s">
        <v>4746</v>
      </c>
      <c r="B3918" s="1">
        <v>46272</v>
      </c>
      <c r="C3918" t="s">
        <v>417</v>
      </c>
      <c r="D3918" t="s">
        <v>71</v>
      </c>
      <c r="E3918" t="s">
        <v>21</v>
      </c>
      <c r="F3918">
        <v>1</v>
      </c>
      <c r="G3918">
        <v>7999</v>
      </c>
      <c r="H3918">
        <v>0.1</v>
      </c>
      <c r="I3918" t="s">
        <v>50</v>
      </c>
      <c r="J3918" t="s">
        <v>16</v>
      </c>
      <c r="K3918" t="s">
        <v>37</v>
      </c>
      <c r="L3918">
        <f>F3917*G3917*(1-H3917)</f>
        <v>1349.1000000000001</v>
      </c>
    </row>
    <row r="3919" spans="1:12">
      <c r="A3919" t="s">
        <v>4747</v>
      </c>
      <c r="B3919" s="1">
        <v>46121</v>
      </c>
      <c r="C3919" t="s">
        <v>3072</v>
      </c>
      <c r="D3919" t="s">
        <v>59</v>
      </c>
      <c r="E3919" t="s">
        <v>40</v>
      </c>
      <c r="F3919">
        <v>2</v>
      </c>
      <c r="G3919">
        <v>7999</v>
      </c>
      <c r="H3919">
        <v>0.05</v>
      </c>
      <c r="I3919" t="s">
        <v>15</v>
      </c>
      <c r="J3919" t="s">
        <v>22</v>
      </c>
      <c r="K3919" t="s">
        <v>17</v>
      </c>
      <c r="L3919">
        <f>F3918*G3918*(1-H3918)</f>
        <v>7199.1</v>
      </c>
    </row>
    <row r="3920" spans="1:12">
      <c r="A3920" t="s">
        <v>4748</v>
      </c>
      <c r="B3920" s="1">
        <v>46248</v>
      </c>
      <c r="C3920" t="s">
        <v>477</v>
      </c>
      <c r="D3920" t="s">
        <v>62</v>
      </c>
      <c r="E3920" t="s">
        <v>40</v>
      </c>
      <c r="F3920">
        <v>4</v>
      </c>
      <c r="G3920">
        <v>599</v>
      </c>
      <c r="H3920">
        <v>0</v>
      </c>
      <c r="I3920" t="s">
        <v>47</v>
      </c>
      <c r="J3920" t="s">
        <v>16</v>
      </c>
      <c r="K3920" t="s">
        <v>17</v>
      </c>
      <c r="L3920">
        <f>F3919*G3919*(1-H3919)</f>
        <v>15198.099999999999</v>
      </c>
    </row>
    <row r="3921" spans="1:12">
      <c r="A3921" t="s">
        <v>4749</v>
      </c>
      <c r="B3921" s="1">
        <v>46292</v>
      </c>
      <c r="C3921" t="s">
        <v>1716</v>
      </c>
      <c r="D3921" t="s">
        <v>59</v>
      </c>
      <c r="E3921" t="s">
        <v>14</v>
      </c>
      <c r="F3921">
        <v>5</v>
      </c>
      <c r="G3921">
        <v>4999</v>
      </c>
      <c r="H3921">
        <v>0.15</v>
      </c>
      <c r="I3921" t="s">
        <v>32</v>
      </c>
      <c r="J3921" t="s">
        <v>36</v>
      </c>
      <c r="K3921" t="s">
        <v>17</v>
      </c>
      <c r="L3921">
        <f>F3920*G3920*(1-H3920)</f>
        <v>2396</v>
      </c>
    </row>
    <row r="3922" spans="1:12">
      <c r="A3922" t="s">
        <v>4750</v>
      </c>
      <c r="B3922" s="1">
        <v>46183</v>
      </c>
      <c r="C3922" t="s">
        <v>1568</v>
      </c>
      <c r="D3922" t="s">
        <v>13</v>
      </c>
      <c r="E3922" t="s">
        <v>40</v>
      </c>
      <c r="F3922">
        <v>2</v>
      </c>
      <c r="G3922">
        <v>4999</v>
      </c>
      <c r="H3922">
        <v>0.1</v>
      </c>
      <c r="I3922" t="s">
        <v>47</v>
      </c>
      <c r="J3922" t="s">
        <v>28</v>
      </c>
      <c r="K3922" t="s">
        <v>17</v>
      </c>
      <c r="L3922">
        <f>F3921*G3921*(1-H3921)</f>
        <v>21245.75</v>
      </c>
    </row>
    <row r="3923" spans="1:12">
      <c r="A3923" t="s">
        <v>4751</v>
      </c>
      <c r="B3923" s="1">
        <v>46147</v>
      </c>
      <c r="C3923" t="s">
        <v>1280</v>
      </c>
      <c r="D3923" t="s">
        <v>71</v>
      </c>
      <c r="E3923" t="s">
        <v>35</v>
      </c>
      <c r="F3923">
        <v>4</v>
      </c>
      <c r="G3923">
        <v>2499</v>
      </c>
      <c r="H3923">
        <v>0.1</v>
      </c>
      <c r="I3923" t="s">
        <v>50</v>
      </c>
      <c r="J3923" t="s">
        <v>22</v>
      </c>
      <c r="K3923" t="s">
        <v>17</v>
      </c>
      <c r="L3923">
        <f>F3922*G3922*(1-H3922)</f>
        <v>8998.2000000000007</v>
      </c>
    </row>
    <row r="3924" spans="1:12">
      <c r="A3924" t="s">
        <v>4752</v>
      </c>
      <c r="B3924" s="1">
        <v>46084</v>
      </c>
      <c r="C3924" t="s">
        <v>64</v>
      </c>
      <c r="D3924" t="s">
        <v>62</v>
      </c>
      <c r="E3924" t="s">
        <v>21</v>
      </c>
      <c r="F3924">
        <v>2</v>
      </c>
      <c r="G3924">
        <v>1999</v>
      </c>
      <c r="H3924">
        <v>0</v>
      </c>
      <c r="I3924" t="s">
        <v>47</v>
      </c>
      <c r="J3924" t="s">
        <v>51</v>
      </c>
      <c r="K3924" t="s">
        <v>17</v>
      </c>
      <c r="L3924">
        <f>F3923*G3923*(1-H3923)</f>
        <v>8996.4</v>
      </c>
    </row>
    <row r="3925" spans="1:12">
      <c r="A3925" t="s">
        <v>4753</v>
      </c>
      <c r="B3925" s="1">
        <v>46180</v>
      </c>
      <c r="C3925" t="s">
        <v>1709</v>
      </c>
      <c r="D3925" t="s">
        <v>78</v>
      </c>
      <c r="E3925" t="s">
        <v>35</v>
      </c>
      <c r="F3925">
        <v>4</v>
      </c>
      <c r="G3925">
        <v>999</v>
      </c>
      <c r="H3925">
        <v>0.1</v>
      </c>
      <c r="I3925" t="s">
        <v>32</v>
      </c>
      <c r="J3925" t="s">
        <v>22</v>
      </c>
      <c r="K3925" t="s">
        <v>17</v>
      </c>
      <c r="L3925">
        <f>F3924*G3924*(1-H3924)</f>
        <v>3998</v>
      </c>
    </row>
    <row r="3926" spans="1:12">
      <c r="A3926" t="s">
        <v>4754</v>
      </c>
      <c r="B3926" s="1">
        <v>46188</v>
      </c>
      <c r="C3926" t="s">
        <v>780</v>
      </c>
      <c r="D3926" t="s">
        <v>20</v>
      </c>
      <c r="E3926" t="s">
        <v>35</v>
      </c>
      <c r="F3926">
        <v>3</v>
      </c>
      <c r="G3926">
        <v>2499</v>
      </c>
      <c r="H3926">
        <v>0.15</v>
      </c>
      <c r="I3926" t="s">
        <v>47</v>
      </c>
      <c r="J3926" t="s">
        <v>36</v>
      </c>
      <c r="K3926" t="s">
        <v>17</v>
      </c>
      <c r="L3926">
        <f>F3925*G3925*(1-H3925)</f>
        <v>3596.4</v>
      </c>
    </row>
    <row r="3927" spans="1:12">
      <c r="A3927" t="s">
        <v>4755</v>
      </c>
      <c r="B3927" s="1">
        <v>46245</v>
      </c>
      <c r="C3927" t="s">
        <v>2584</v>
      </c>
      <c r="D3927" t="s">
        <v>31</v>
      </c>
      <c r="E3927" t="s">
        <v>27</v>
      </c>
      <c r="F3927">
        <v>1</v>
      </c>
      <c r="G3927">
        <v>999</v>
      </c>
      <c r="H3927">
        <v>0.05</v>
      </c>
      <c r="I3927" t="s">
        <v>50</v>
      </c>
      <c r="J3927" t="s">
        <v>36</v>
      </c>
      <c r="K3927" t="s">
        <v>23</v>
      </c>
      <c r="L3927">
        <f>F3926*G3926*(1-H3926)</f>
        <v>6372.45</v>
      </c>
    </row>
    <row r="3928" spans="1:12">
      <c r="A3928" t="s">
        <v>4756</v>
      </c>
      <c r="B3928" s="1">
        <v>46268</v>
      </c>
      <c r="C3928" t="s">
        <v>669</v>
      </c>
      <c r="D3928" t="s">
        <v>43</v>
      </c>
      <c r="E3928" t="s">
        <v>21</v>
      </c>
      <c r="F3928">
        <v>2</v>
      </c>
      <c r="G3928">
        <v>1499</v>
      </c>
      <c r="H3928">
        <v>0.1</v>
      </c>
      <c r="I3928" t="s">
        <v>47</v>
      </c>
      <c r="J3928" t="s">
        <v>16</v>
      </c>
      <c r="K3928" t="s">
        <v>23</v>
      </c>
      <c r="L3928">
        <f>F3927*G3927*(1-H3927)</f>
        <v>949.05</v>
      </c>
    </row>
    <row r="3929" spans="1:12">
      <c r="A3929" t="s">
        <v>4757</v>
      </c>
      <c r="B3929" s="1">
        <v>46279</v>
      </c>
      <c r="C3929" t="s">
        <v>1760</v>
      </c>
      <c r="D3929" t="s">
        <v>78</v>
      </c>
      <c r="E3929" t="s">
        <v>14</v>
      </c>
      <c r="F3929">
        <v>4</v>
      </c>
      <c r="G3929">
        <v>1999</v>
      </c>
      <c r="H3929">
        <v>0</v>
      </c>
      <c r="I3929" t="s">
        <v>15</v>
      </c>
      <c r="J3929" t="s">
        <v>28</v>
      </c>
      <c r="K3929" t="s">
        <v>37</v>
      </c>
      <c r="L3929">
        <f>F3928*G3928*(1-H3928)</f>
        <v>2698.2000000000003</v>
      </c>
    </row>
    <row r="3930" spans="1:12">
      <c r="A3930" t="s">
        <v>4758</v>
      </c>
      <c r="B3930" s="1">
        <v>46243</v>
      </c>
      <c r="C3930" t="s">
        <v>2516</v>
      </c>
      <c r="D3930" t="s">
        <v>59</v>
      </c>
      <c r="E3930" t="s">
        <v>14</v>
      </c>
      <c r="F3930">
        <v>1</v>
      </c>
      <c r="G3930">
        <v>799</v>
      </c>
      <c r="H3930">
        <v>0</v>
      </c>
      <c r="I3930" t="s">
        <v>47</v>
      </c>
      <c r="J3930" t="s">
        <v>51</v>
      </c>
      <c r="K3930" t="s">
        <v>17</v>
      </c>
      <c r="L3930">
        <f>F3929*G3929*(1-H3929)</f>
        <v>7996</v>
      </c>
    </row>
    <row r="3931" spans="1:12">
      <c r="A3931" t="s">
        <v>4759</v>
      </c>
      <c r="B3931" s="1">
        <v>46118</v>
      </c>
      <c r="C3931" t="s">
        <v>1514</v>
      </c>
      <c r="D3931" t="s">
        <v>43</v>
      </c>
      <c r="E3931" t="s">
        <v>21</v>
      </c>
      <c r="F3931">
        <v>1</v>
      </c>
      <c r="G3931">
        <v>999</v>
      </c>
      <c r="H3931">
        <v>0</v>
      </c>
      <c r="I3931" t="s">
        <v>15</v>
      </c>
      <c r="J3931" t="s">
        <v>51</v>
      </c>
      <c r="K3931" t="s">
        <v>37</v>
      </c>
      <c r="L3931">
        <f>F3930*G3930*(1-H3930)</f>
        <v>799</v>
      </c>
    </row>
    <row r="3932" spans="1:12">
      <c r="A3932" t="s">
        <v>4760</v>
      </c>
      <c r="B3932" s="1">
        <v>46090</v>
      </c>
      <c r="C3932" t="s">
        <v>219</v>
      </c>
      <c r="D3932" t="s">
        <v>59</v>
      </c>
      <c r="E3932" t="s">
        <v>21</v>
      </c>
      <c r="F3932">
        <v>5</v>
      </c>
      <c r="G3932">
        <v>1499</v>
      </c>
      <c r="H3932">
        <v>0</v>
      </c>
      <c r="I3932" t="s">
        <v>44</v>
      </c>
      <c r="J3932" t="s">
        <v>36</v>
      </c>
      <c r="K3932" t="s">
        <v>17</v>
      </c>
      <c r="L3932">
        <f>F3931*G3931*(1-H3931)</f>
        <v>999</v>
      </c>
    </row>
    <row r="3933" spans="1:12">
      <c r="A3933" t="s">
        <v>4761</v>
      </c>
      <c r="B3933" s="1">
        <v>46086</v>
      </c>
      <c r="C3933" t="s">
        <v>426</v>
      </c>
      <c r="D3933" t="s">
        <v>43</v>
      </c>
      <c r="E3933" t="s">
        <v>21</v>
      </c>
      <c r="F3933">
        <v>2</v>
      </c>
      <c r="G3933">
        <v>7999</v>
      </c>
      <c r="H3933">
        <v>0</v>
      </c>
      <c r="I3933" t="s">
        <v>50</v>
      </c>
      <c r="J3933" t="s">
        <v>51</v>
      </c>
      <c r="K3933" t="s">
        <v>17</v>
      </c>
      <c r="L3933">
        <f>F3932*G3932*(1-H3932)</f>
        <v>7495</v>
      </c>
    </row>
    <row r="3934" spans="1:12">
      <c r="A3934" t="s">
        <v>4762</v>
      </c>
      <c r="B3934" s="1">
        <v>46215</v>
      </c>
      <c r="C3934" t="s">
        <v>205</v>
      </c>
      <c r="D3934" t="s">
        <v>20</v>
      </c>
      <c r="E3934" t="s">
        <v>35</v>
      </c>
      <c r="F3934">
        <v>5</v>
      </c>
      <c r="G3934">
        <v>599</v>
      </c>
      <c r="H3934">
        <v>0.1</v>
      </c>
      <c r="I3934" t="s">
        <v>47</v>
      </c>
      <c r="J3934" t="s">
        <v>16</v>
      </c>
      <c r="K3934" t="s">
        <v>17</v>
      </c>
      <c r="L3934">
        <f>F3933*G3933*(1-H3933)</f>
        <v>15998</v>
      </c>
    </row>
    <row r="3935" spans="1:12">
      <c r="A3935" t="s">
        <v>4763</v>
      </c>
      <c r="B3935" s="1">
        <v>46256</v>
      </c>
      <c r="C3935" t="s">
        <v>2644</v>
      </c>
      <c r="D3935" t="s">
        <v>78</v>
      </c>
      <c r="E3935" t="s">
        <v>40</v>
      </c>
      <c r="F3935">
        <v>2</v>
      </c>
      <c r="G3935">
        <v>1999</v>
      </c>
      <c r="H3935">
        <v>0</v>
      </c>
      <c r="I3935" t="s">
        <v>47</v>
      </c>
      <c r="J3935" t="s">
        <v>36</v>
      </c>
      <c r="K3935" t="s">
        <v>17</v>
      </c>
      <c r="L3935">
        <f>F3934*G3934*(1-H3934)</f>
        <v>2695.5</v>
      </c>
    </row>
    <row r="3936" spans="1:12">
      <c r="A3936" t="s">
        <v>4764</v>
      </c>
      <c r="B3936" s="1">
        <v>46150</v>
      </c>
      <c r="C3936" t="s">
        <v>382</v>
      </c>
      <c r="D3936" t="s">
        <v>26</v>
      </c>
      <c r="E3936" t="s">
        <v>40</v>
      </c>
      <c r="F3936">
        <v>4</v>
      </c>
      <c r="G3936">
        <v>1999</v>
      </c>
      <c r="H3936">
        <v>0</v>
      </c>
      <c r="I3936" t="s">
        <v>47</v>
      </c>
      <c r="J3936" t="s">
        <v>22</v>
      </c>
      <c r="K3936" t="s">
        <v>37</v>
      </c>
      <c r="L3936">
        <f>F3935*G3935*(1-H3935)</f>
        <v>3998</v>
      </c>
    </row>
    <row r="3937" spans="1:12">
      <c r="A3937" t="s">
        <v>4765</v>
      </c>
      <c r="B3937" s="1">
        <v>46252</v>
      </c>
      <c r="C3937" t="s">
        <v>1146</v>
      </c>
      <c r="D3937" t="s">
        <v>31</v>
      </c>
      <c r="E3937" t="s">
        <v>35</v>
      </c>
      <c r="F3937">
        <v>3</v>
      </c>
      <c r="G3937">
        <v>499</v>
      </c>
      <c r="H3937">
        <v>0.05</v>
      </c>
      <c r="I3937" t="s">
        <v>32</v>
      </c>
      <c r="J3937" t="s">
        <v>36</v>
      </c>
      <c r="K3937" t="s">
        <v>37</v>
      </c>
      <c r="L3937">
        <f>F3936*G3936*(1-H3936)</f>
        <v>7996</v>
      </c>
    </row>
    <row r="3938" spans="1:12">
      <c r="A3938" t="s">
        <v>4766</v>
      </c>
      <c r="B3938" s="1">
        <v>46023</v>
      </c>
      <c r="C3938" t="s">
        <v>2113</v>
      </c>
      <c r="D3938" t="s">
        <v>26</v>
      </c>
      <c r="E3938" t="s">
        <v>14</v>
      </c>
      <c r="F3938">
        <v>4</v>
      </c>
      <c r="G3938">
        <v>1299</v>
      </c>
      <c r="H3938">
        <v>0</v>
      </c>
      <c r="I3938" t="s">
        <v>32</v>
      </c>
      <c r="J3938" t="s">
        <v>36</v>
      </c>
      <c r="K3938" t="s">
        <v>23</v>
      </c>
      <c r="L3938">
        <f>F3937*G3937*(1-H3937)</f>
        <v>1422.1499999999999</v>
      </c>
    </row>
    <row r="3939" spans="1:12">
      <c r="A3939" t="s">
        <v>4767</v>
      </c>
      <c r="B3939" s="1">
        <v>46174</v>
      </c>
      <c r="C3939" t="s">
        <v>743</v>
      </c>
      <c r="D3939" t="s">
        <v>43</v>
      </c>
      <c r="E3939" t="s">
        <v>21</v>
      </c>
      <c r="F3939">
        <v>1</v>
      </c>
      <c r="G3939">
        <v>4999</v>
      </c>
      <c r="H3939">
        <v>0</v>
      </c>
      <c r="I3939" t="s">
        <v>50</v>
      </c>
      <c r="J3939" t="s">
        <v>22</v>
      </c>
      <c r="K3939" t="s">
        <v>17</v>
      </c>
      <c r="L3939">
        <f>F3938*G3938*(1-H3938)</f>
        <v>5196</v>
      </c>
    </row>
    <row r="3940" spans="1:12">
      <c r="A3940" t="s">
        <v>4768</v>
      </c>
      <c r="B3940" s="1">
        <v>46149</v>
      </c>
      <c r="C3940" t="s">
        <v>199</v>
      </c>
      <c r="D3940" t="s">
        <v>71</v>
      </c>
      <c r="E3940" t="s">
        <v>35</v>
      </c>
      <c r="F3940">
        <v>3</v>
      </c>
      <c r="G3940">
        <v>1499</v>
      </c>
      <c r="H3940">
        <v>0.05</v>
      </c>
      <c r="I3940" t="s">
        <v>32</v>
      </c>
      <c r="J3940" t="s">
        <v>51</v>
      </c>
      <c r="K3940" t="s">
        <v>17</v>
      </c>
      <c r="L3940">
        <f>F3939*G3939*(1-H3939)</f>
        <v>4999</v>
      </c>
    </row>
    <row r="3941" spans="1:12">
      <c r="A3941" t="s">
        <v>4769</v>
      </c>
      <c r="B3941" s="1">
        <v>46233</v>
      </c>
      <c r="C3941" t="s">
        <v>247</v>
      </c>
      <c r="D3941" t="s">
        <v>26</v>
      </c>
      <c r="E3941" t="s">
        <v>21</v>
      </c>
      <c r="F3941">
        <v>1</v>
      </c>
      <c r="G3941">
        <v>1299</v>
      </c>
      <c r="H3941">
        <v>0.15</v>
      </c>
      <c r="I3941" t="s">
        <v>47</v>
      </c>
      <c r="J3941" t="s">
        <v>22</v>
      </c>
      <c r="K3941" t="s">
        <v>23</v>
      </c>
      <c r="L3941">
        <f>F3940*G3940*(1-H3940)</f>
        <v>4272.1499999999996</v>
      </c>
    </row>
    <row r="3942" spans="1:12">
      <c r="A3942" t="s">
        <v>4770</v>
      </c>
      <c r="B3942" s="1">
        <v>46061</v>
      </c>
      <c r="C3942" t="s">
        <v>1048</v>
      </c>
      <c r="D3942" t="s">
        <v>56</v>
      </c>
      <c r="E3942" t="s">
        <v>35</v>
      </c>
      <c r="F3942">
        <v>3</v>
      </c>
      <c r="G3942">
        <v>1999</v>
      </c>
      <c r="H3942">
        <v>0</v>
      </c>
      <c r="I3942" t="s">
        <v>15</v>
      </c>
      <c r="J3942" t="s">
        <v>16</v>
      </c>
      <c r="K3942" t="s">
        <v>17</v>
      </c>
      <c r="L3942">
        <f>F3941*G3941*(1-H3941)</f>
        <v>1104.1499999999999</v>
      </c>
    </row>
    <row r="3943" spans="1:12">
      <c r="A3943" t="s">
        <v>4771</v>
      </c>
      <c r="B3943" s="1">
        <v>46124</v>
      </c>
      <c r="C3943" t="s">
        <v>92</v>
      </c>
      <c r="D3943" t="s">
        <v>59</v>
      </c>
      <c r="E3943" t="s">
        <v>27</v>
      </c>
      <c r="F3943">
        <v>1</v>
      </c>
      <c r="G3943">
        <v>1999</v>
      </c>
      <c r="H3943">
        <v>0</v>
      </c>
      <c r="I3943" t="s">
        <v>44</v>
      </c>
      <c r="J3943" t="s">
        <v>51</v>
      </c>
      <c r="K3943" t="s">
        <v>17</v>
      </c>
      <c r="L3943">
        <f>F3942*G3942*(1-H3942)</f>
        <v>5997</v>
      </c>
    </row>
    <row r="3944" spans="1:12">
      <c r="A3944" t="s">
        <v>4772</v>
      </c>
      <c r="B3944" s="1">
        <v>46161</v>
      </c>
      <c r="C3944" t="s">
        <v>2726</v>
      </c>
      <c r="D3944" t="s">
        <v>62</v>
      </c>
      <c r="E3944" t="s">
        <v>40</v>
      </c>
      <c r="F3944">
        <v>5</v>
      </c>
      <c r="G3944">
        <v>7999</v>
      </c>
      <c r="H3944">
        <v>0.1</v>
      </c>
      <c r="I3944" t="s">
        <v>44</v>
      </c>
      <c r="J3944" t="s">
        <v>36</v>
      </c>
      <c r="K3944" t="s">
        <v>17</v>
      </c>
      <c r="L3944">
        <f>F3943*G3943*(1-H3943)</f>
        <v>1999</v>
      </c>
    </row>
    <row r="3945" spans="1:12">
      <c r="A3945" t="s">
        <v>4773</v>
      </c>
      <c r="B3945" s="1">
        <v>46064</v>
      </c>
      <c r="C3945" t="s">
        <v>1597</v>
      </c>
      <c r="D3945" t="s">
        <v>13</v>
      </c>
      <c r="E3945" t="s">
        <v>27</v>
      </c>
      <c r="F3945">
        <v>3</v>
      </c>
      <c r="G3945">
        <v>1299</v>
      </c>
      <c r="H3945">
        <v>0.15</v>
      </c>
      <c r="I3945" t="s">
        <v>47</v>
      </c>
      <c r="J3945" t="s">
        <v>28</v>
      </c>
      <c r="K3945" t="s">
        <v>37</v>
      </c>
      <c r="L3945">
        <f>F3944*G3944*(1-H3944)</f>
        <v>35995.5</v>
      </c>
    </row>
    <row r="3946" spans="1:12">
      <c r="A3946" t="s">
        <v>4774</v>
      </c>
      <c r="B3946" s="1">
        <v>46033</v>
      </c>
      <c r="C3946" t="s">
        <v>243</v>
      </c>
      <c r="D3946" t="s">
        <v>31</v>
      </c>
      <c r="E3946" t="s">
        <v>21</v>
      </c>
      <c r="F3946">
        <v>1</v>
      </c>
      <c r="G3946">
        <v>4999</v>
      </c>
      <c r="H3946">
        <v>0</v>
      </c>
      <c r="I3946" t="s">
        <v>32</v>
      </c>
      <c r="J3946" t="s">
        <v>22</v>
      </c>
      <c r="K3946" t="s">
        <v>17</v>
      </c>
      <c r="L3946">
        <f>F3945*G3945*(1-H3945)</f>
        <v>3312.45</v>
      </c>
    </row>
    <row r="3947" spans="1:12">
      <c r="A3947" t="s">
        <v>4775</v>
      </c>
      <c r="B3947" s="1">
        <v>46037</v>
      </c>
      <c r="C3947" t="s">
        <v>1154</v>
      </c>
      <c r="D3947" t="s">
        <v>62</v>
      </c>
      <c r="E3947" t="s">
        <v>14</v>
      </c>
      <c r="F3947">
        <v>5</v>
      </c>
      <c r="G3947">
        <v>1499</v>
      </c>
      <c r="H3947">
        <v>0.15</v>
      </c>
      <c r="I3947" t="s">
        <v>44</v>
      </c>
      <c r="J3947" t="s">
        <v>22</v>
      </c>
      <c r="K3947" t="s">
        <v>17</v>
      </c>
      <c r="L3947">
        <f>F3946*G3946*(1-H3946)</f>
        <v>4999</v>
      </c>
    </row>
    <row r="3948" spans="1:12">
      <c r="A3948" t="s">
        <v>4776</v>
      </c>
      <c r="B3948" s="1">
        <v>46092</v>
      </c>
      <c r="C3948" t="s">
        <v>1582</v>
      </c>
      <c r="D3948" t="s">
        <v>26</v>
      </c>
      <c r="E3948" t="s">
        <v>40</v>
      </c>
      <c r="F3948">
        <v>3</v>
      </c>
      <c r="G3948">
        <v>1499</v>
      </c>
      <c r="H3948">
        <v>0.05</v>
      </c>
      <c r="I3948" t="s">
        <v>32</v>
      </c>
      <c r="J3948" t="s">
        <v>28</v>
      </c>
      <c r="K3948" t="s">
        <v>17</v>
      </c>
      <c r="L3948">
        <f>F3947*G3947*(1-H3947)</f>
        <v>6370.75</v>
      </c>
    </row>
    <row r="3949" spans="1:12">
      <c r="A3949" t="s">
        <v>4777</v>
      </c>
      <c r="B3949" s="1">
        <v>46275</v>
      </c>
      <c r="C3949" t="s">
        <v>711</v>
      </c>
      <c r="D3949" t="s">
        <v>62</v>
      </c>
      <c r="E3949" t="s">
        <v>35</v>
      </c>
      <c r="F3949">
        <v>4</v>
      </c>
      <c r="G3949">
        <v>799</v>
      </c>
      <c r="H3949">
        <v>0</v>
      </c>
      <c r="I3949" t="s">
        <v>44</v>
      </c>
      <c r="J3949" t="s">
        <v>36</v>
      </c>
      <c r="K3949" t="s">
        <v>17</v>
      </c>
      <c r="L3949">
        <f>F3948*G3948*(1-H3948)</f>
        <v>4272.1499999999996</v>
      </c>
    </row>
    <row r="3950" spans="1:12">
      <c r="A3950" t="s">
        <v>4778</v>
      </c>
      <c r="B3950" s="1">
        <v>46276</v>
      </c>
      <c r="C3950" t="s">
        <v>2429</v>
      </c>
      <c r="D3950" t="s">
        <v>13</v>
      </c>
      <c r="E3950" t="s">
        <v>27</v>
      </c>
      <c r="F3950">
        <v>3</v>
      </c>
      <c r="G3950">
        <v>999</v>
      </c>
      <c r="H3950">
        <v>0</v>
      </c>
      <c r="I3950" t="s">
        <v>44</v>
      </c>
      <c r="J3950" t="s">
        <v>36</v>
      </c>
      <c r="K3950" t="s">
        <v>37</v>
      </c>
      <c r="L3950">
        <f>F3949*G3949*(1-H3949)</f>
        <v>3196</v>
      </c>
    </row>
    <row r="3951" spans="1:12">
      <c r="A3951" t="s">
        <v>4779</v>
      </c>
      <c r="B3951" s="1">
        <v>46111</v>
      </c>
      <c r="C3951" t="s">
        <v>113</v>
      </c>
      <c r="D3951" t="s">
        <v>56</v>
      </c>
      <c r="E3951" t="s">
        <v>21</v>
      </c>
      <c r="F3951">
        <v>4</v>
      </c>
      <c r="G3951">
        <v>999</v>
      </c>
      <c r="H3951">
        <v>0</v>
      </c>
      <c r="I3951" t="s">
        <v>44</v>
      </c>
      <c r="J3951" t="s">
        <v>51</v>
      </c>
      <c r="K3951" t="s">
        <v>17</v>
      </c>
      <c r="L3951">
        <f>F3950*G3950*(1-H3950)</f>
        <v>2997</v>
      </c>
    </row>
    <row r="3952" spans="1:12">
      <c r="A3952" t="s">
        <v>4780</v>
      </c>
      <c r="B3952" s="1">
        <v>46083</v>
      </c>
      <c r="C3952" t="s">
        <v>519</v>
      </c>
      <c r="D3952" t="s">
        <v>71</v>
      </c>
      <c r="E3952" t="s">
        <v>14</v>
      </c>
      <c r="F3952">
        <v>5</v>
      </c>
      <c r="G3952">
        <v>1499</v>
      </c>
      <c r="H3952">
        <v>0</v>
      </c>
      <c r="I3952" t="s">
        <v>15</v>
      </c>
      <c r="J3952" t="s">
        <v>28</v>
      </c>
      <c r="K3952" t="s">
        <v>23</v>
      </c>
      <c r="L3952">
        <f>F3951*G3951*(1-H3951)</f>
        <v>3996</v>
      </c>
    </row>
    <row r="3953" spans="1:12">
      <c r="A3953" t="s">
        <v>4781</v>
      </c>
      <c r="B3953" s="1">
        <v>46102</v>
      </c>
      <c r="C3953" t="s">
        <v>893</v>
      </c>
      <c r="D3953" t="s">
        <v>71</v>
      </c>
      <c r="E3953" t="s">
        <v>35</v>
      </c>
      <c r="F3953">
        <v>1</v>
      </c>
      <c r="G3953">
        <v>1499</v>
      </c>
      <c r="H3953">
        <v>0.15</v>
      </c>
      <c r="I3953" t="s">
        <v>44</v>
      </c>
      <c r="J3953" t="s">
        <v>51</v>
      </c>
      <c r="K3953" t="s">
        <v>17</v>
      </c>
      <c r="L3953">
        <f>F3952*G3952*(1-H3952)</f>
        <v>7495</v>
      </c>
    </row>
    <row r="3954" spans="1:12">
      <c r="A3954" t="s">
        <v>4782</v>
      </c>
      <c r="B3954" s="1">
        <v>46048</v>
      </c>
      <c r="C3954" t="s">
        <v>357</v>
      </c>
      <c r="D3954" t="s">
        <v>31</v>
      </c>
      <c r="E3954" t="s">
        <v>14</v>
      </c>
      <c r="F3954">
        <v>3</v>
      </c>
      <c r="G3954">
        <v>999</v>
      </c>
      <c r="H3954">
        <v>0</v>
      </c>
      <c r="I3954" t="s">
        <v>47</v>
      </c>
      <c r="J3954" t="s">
        <v>28</v>
      </c>
      <c r="K3954" t="s">
        <v>17</v>
      </c>
      <c r="L3954">
        <f>F3953*G3953*(1-H3953)</f>
        <v>1274.1499999999999</v>
      </c>
    </row>
    <row r="3955" spans="1:12">
      <c r="A3955" t="s">
        <v>4783</v>
      </c>
      <c r="B3955" s="1">
        <v>46164</v>
      </c>
      <c r="C3955" t="s">
        <v>1448</v>
      </c>
      <c r="D3955" t="s">
        <v>31</v>
      </c>
      <c r="E3955" t="s">
        <v>21</v>
      </c>
      <c r="F3955">
        <v>3</v>
      </c>
      <c r="G3955">
        <v>7999</v>
      </c>
      <c r="H3955">
        <v>0.1</v>
      </c>
      <c r="I3955" t="s">
        <v>50</v>
      </c>
      <c r="J3955" t="s">
        <v>22</v>
      </c>
      <c r="K3955" t="s">
        <v>17</v>
      </c>
      <c r="L3955">
        <f>F3954*G3954*(1-H3954)</f>
        <v>2997</v>
      </c>
    </row>
    <row r="3956" spans="1:12">
      <c r="A3956" t="s">
        <v>4784</v>
      </c>
      <c r="B3956" s="1">
        <v>46286</v>
      </c>
      <c r="C3956" t="s">
        <v>1134</v>
      </c>
      <c r="D3956" t="s">
        <v>62</v>
      </c>
      <c r="E3956" t="s">
        <v>14</v>
      </c>
      <c r="F3956">
        <v>3</v>
      </c>
      <c r="G3956">
        <v>499</v>
      </c>
      <c r="H3956">
        <v>0.15</v>
      </c>
      <c r="I3956" t="s">
        <v>44</v>
      </c>
      <c r="J3956" t="s">
        <v>51</v>
      </c>
      <c r="K3956" t="s">
        <v>17</v>
      </c>
      <c r="L3956">
        <f>F3955*G3955*(1-H3955)</f>
        <v>21597.3</v>
      </c>
    </row>
    <row r="3957" spans="1:12">
      <c r="A3957" t="s">
        <v>4785</v>
      </c>
      <c r="B3957" s="1">
        <v>46234</v>
      </c>
      <c r="C3957" t="s">
        <v>1666</v>
      </c>
      <c r="D3957" t="s">
        <v>62</v>
      </c>
      <c r="E3957" t="s">
        <v>40</v>
      </c>
      <c r="F3957">
        <v>2</v>
      </c>
      <c r="G3957">
        <v>499</v>
      </c>
      <c r="H3957">
        <v>0</v>
      </c>
      <c r="I3957" t="s">
        <v>32</v>
      </c>
      <c r="J3957" t="s">
        <v>16</v>
      </c>
      <c r="K3957" t="s">
        <v>17</v>
      </c>
      <c r="L3957">
        <f>F3956*G3956*(1-H3956)</f>
        <v>1272.45</v>
      </c>
    </row>
    <row r="3958" spans="1:12">
      <c r="A3958" t="s">
        <v>4786</v>
      </c>
      <c r="B3958" s="1">
        <v>46292</v>
      </c>
      <c r="C3958" t="s">
        <v>247</v>
      </c>
      <c r="D3958" t="s">
        <v>31</v>
      </c>
      <c r="E3958" t="s">
        <v>21</v>
      </c>
      <c r="F3958">
        <v>2</v>
      </c>
      <c r="G3958">
        <v>999</v>
      </c>
      <c r="H3958">
        <v>0.1</v>
      </c>
      <c r="I3958" t="s">
        <v>44</v>
      </c>
      <c r="J3958" t="s">
        <v>16</v>
      </c>
      <c r="K3958" t="s">
        <v>17</v>
      </c>
      <c r="L3958">
        <f>F3957*G3957*(1-H3957)</f>
        <v>998</v>
      </c>
    </row>
    <row r="3959" spans="1:12">
      <c r="A3959" t="s">
        <v>4787</v>
      </c>
      <c r="B3959" s="1">
        <v>46035</v>
      </c>
      <c r="C3959" t="s">
        <v>203</v>
      </c>
      <c r="D3959" t="s">
        <v>31</v>
      </c>
      <c r="E3959" t="s">
        <v>40</v>
      </c>
      <c r="F3959">
        <v>1</v>
      </c>
      <c r="G3959">
        <v>4999</v>
      </c>
      <c r="H3959">
        <v>0.1</v>
      </c>
      <c r="I3959" t="s">
        <v>47</v>
      </c>
      <c r="J3959" t="s">
        <v>22</v>
      </c>
      <c r="K3959" t="s">
        <v>23</v>
      </c>
      <c r="L3959">
        <f>F3958*G3958*(1-H3958)</f>
        <v>1798.2</v>
      </c>
    </row>
    <row r="3960" spans="1:12">
      <c r="A3960" t="s">
        <v>4788</v>
      </c>
      <c r="B3960" s="1">
        <v>46268</v>
      </c>
      <c r="C3960" t="s">
        <v>410</v>
      </c>
      <c r="D3960" t="s">
        <v>56</v>
      </c>
      <c r="E3960" t="s">
        <v>21</v>
      </c>
      <c r="F3960">
        <v>2</v>
      </c>
      <c r="G3960">
        <v>7999</v>
      </c>
      <c r="H3960">
        <v>0</v>
      </c>
      <c r="I3960" t="s">
        <v>50</v>
      </c>
      <c r="J3960" t="s">
        <v>28</v>
      </c>
      <c r="K3960" t="s">
        <v>17</v>
      </c>
      <c r="L3960">
        <f>F3959*G3959*(1-H3959)</f>
        <v>4499.1000000000004</v>
      </c>
    </row>
    <row r="3961" spans="1:12">
      <c r="A3961" t="s">
        <v>4789</v>
      </c>
      <c r="B3961" s="1">
        <v>46222</v>
      </c>
      <c r="C3961" t="s">
        <v>329</v>
      </c>
      <c r="D3961" t="s">
        <v>13</v>
      </c>
      <c r="E3961" t="s">
        <v>27</v>
      </c>
      <c r="F3961">
        <v>4</v>
      </c>
      <c r="G3961">
        <v>599</v>
      </c>
      <c r="H3961">
        <v>0.15</v>
      </c>
      <c r="I3961" t="s">
        <v>15</v>
      </c>
      <c r="J3961" t="s">
        <v>51</v>
      </c>
      <c r="K3961" t="s">
        <v>23</v>
      </c>
      <c r="L3961">
        <f>F3960*G3960*(1-H3960)</f>
        <v>15998</v>
      </c>
    </row>
    <row r="3962" spans="1:12">
      <c r="A3962" t="s">
        <v>4790</v>
      </c>
      <c r="B3962" s="1">
        <v>46050</v>
      </c>
      <c r="C3962" t="s">
        <v>320</v>
      </c>
      <c r="D3962" t="s">
        <v>78</v>
      </c>
      <c r="E3962" t="s">
        <v>35</v>
      </c>
      <c r="F3962">
        <v>1</v>
      </c>
      <c r="G3962">
        <v>7999</v>
      </c>
      <c r="H3962">
        <v>0.1</v>
      </c>
      <c r="I3962" t="s">
        <v>44</v>
      </c>
      <c r="J3962" t="s">
        <v>16</v>
      </c>
      <c r="K3962" t="s">
        <v>17</v>
      </c>
      <c r="L3962">
        <f>F3961*G3961*(1-H3961)</f>
        <v>2036.6</v>
      </c>
    </row>
    <row r="3963" spans="1:12">
      <c r="A3963" t="s">
        <v>4791</v>
      </c>
      <c r="B3963" s="1">
        <v>46213</v>
      </c>
      <c r="C3963" t="s">
        <v>1923</v>
      </c>
      <c r="D3963" t="s">
        <v>26</v>
      </c>
      <c r="E3963" t="s">
        <v>14</v>
      </c>
      <c r="F3963">
        <v>5</v>
      </c>
      <c r="G3963">
        <v>7999</v>
      </c>
      <c r="H3963">
        <v>0.05</v>
      </c>
      <c r="I3963" t="s">
        <v>15</v>
      </c>
      <c r="J3963" t="s">
        <v>36</v>
      </c>
      <c r="K3963" t="s">
        <v>23</v>
      </c>
      <c r="L3963">
        <f>F3962*G3962*(1-H3962)</f>
        <v>7199.1</v>
      </c>
    </row>
    <row r="3964" spans="1:12">
      <c r="A3964" t="s">
        <v>4792</v>
      </c>
      <c r="B3964" s="1">
        <v>46280</v>
      </c>
      <c r="C3964" t="s">
        <v>1118</v>
      </c>
      <c r="D3964" t="s">
        <v>31</v>
      </c>
      <c r="E3964" t="s">
        <v>21</v>
      </c>
      <c r="F3964">
        <v>3</v>
      </c>
      <c r="G3964">
        <v>599</v>
      </c>
      <c r="H3964">
        <v>0.15</v>
      </c>
      <c r="I3964" t="s">
        <v>47</v>
      </c>
      <c r="J3964" t="s">
        <v>22</v>
      </c>
      <c r="K3964" t="s">
        <v>17</v>
      </c>
      <c r="L3964">
        <f>F3963*G3963*(1-H3963)</f>
        <v>37995.25</v>
      </c>
    </row>
    <row r="3965" spans="1:12">
      <c r="A3965" t="s">
        <v>4793</v>
      </c>
      <c r="B3965" s="1">
        <v>46038</v>
      </c>
      <c r="C3965" t="s">
        <v>1213</v>
      </c>
      <c r="D3965" t="s">
        <v>78</v>
      </c>
      <c r="E3965" t="s">
        <v>40</v>
      </c>
      <c r="F3965">
        <v>3</v>
      </c>
      <c r="G3965">
        <v>7999</v>
      </c>
      <c r="H3965">
        <v>0.1</v>
      </c>
      <c r="I3965" t="s">
        <v>47</v>
      </c>
      <c r="J3965" t="s">
        <v>51</v>
      </c>
      <c r="K3965" t="s">
        <v>23</v>
      </c>
      <c r="L3965">
        <f>F3964*G3964*(1-H3964)</f>
        <v>1527.45</v>
      </c>
    </row>
    <row r="3966" spans="1:12">
      <c r="A3966" t="s">
        <v>4794</v>
      </c>
      <c r="B3966" s="1">
        <v>46222</v>
      </c>
      <c r="C3966" t="s">
        <v>2463</v>
      </c>
      <c r="D3966" t="s">
        <v>71</v>
      </c>
      <c r="E3966" t="s">
        <v>27</v>
      </c>
      <c r="F3966">
        <v>1</v>
      </c>
      <c r="G3966">
        <v>1499</v>
      </c>
      <c r="H3966">
        <v>0</v>
      </c>
      <c r="I3966" t="s">
        <v>15</v>
      </c>
      <c r="J3966" t="s">
        <v>36</v>
      </c>
      <c r="K3966" t="s">
        <v>23</v>
      </c>
      <c r="L3966">
        <f>F3965*G3965*(1-H3965)</f>
        <v>21597.3</v>
      </c>
    </row>
    <row r="3967" spans="1:12">
      <c r="A3967" t="s">
        <v>4795</v>
      </c>
      <c r="B3967" s="1">
        <v>46234</v>
      </c>
      <c r="C3967" t="s">
        <v>1068</v>
      </c>
      <c r="D3967" t="s">
        <v>71</v>
      </c>
      <c r="E3967" t="s">
        <v>35</v>
      </c>
      <c r="F3967">
        <v>2</v>
      </c>
      <c r="G3967">
        <v>7999</v>
      </c>
      <c r="H3967">
        <v>0</v>
      </c>
      <c r="I3967" t="s">
        <v>44</v>
      </c>
      <c r="J3967" t="s">
        <v>16</v>
      </c>
      <c r="K3967" t="s">
        <v>23</v>
      </c>
      <c r="L3967">
        <f>F3966*G3966*(1-H3966)</f>
        <v>1499</v>
      </c>
    </row>
    <row r="3968" spans="1:12">
      <c r="A3968" t="s">
        <v>4796</v>
      </c>
      <c r="B3968" s="1">
        <v>46060</v>
      </c>
      <c r="C3968" t="s">
        <v>987</v>
      </c>
      <c r="D3968" t="s">
        <v>20</v>
      </c>
      <c r="E3968" t="s">
        <v>27</v>
      </c>
      <c r="F3968">
        <v>1</v>
      </c>
      <c r="G3968">
        <v>1499</v>
      </c>
      <c r="H3968">
        <v>0</v>
      </c>
      <c r="I3968" t="s">
        <v>15</v>
      </c>
      <c r="J3968" t="s">
        <v>16</v>
      </c>
      <c r="K3968" t="s">
        <v>23</v>
      </c>
      <c r="L3968">
        <f>F3967*G3967*(1-H3967)</f>
        <v>15998</v>
      </c>
    </row>
    <row r="3969" spans="1:12">
      <c r="A3969" t="s">
        <v>4797</v>
      </c>
      <c r="B3969" s="1">
        <v>46034</v>
      </c>
      <c r="C3969" t="s">
        <v>247</v>
      </c>
      <c r="D3969" t="s">
        <v>78</v>
      </c>
      <c r="E3969" t="s">
        <v>14</v>
      </c>
      <c r="F3969">
        <v>2</v>
      </c>
      <c r="G3969">
        <v>999</v>
      </c>
      <c r="H3969">
        <v>0.15</v>
      </c>
      <c r="I3969" t="s">
        <v>50</v>
      </c>
      <c r="J3969" t="s">
        <v>51</v>
      </c>
      <c r="K3969" t="s">
        <v>23</v>
      </c>
      <c r="L3969">
        <f>F3968*G3968*(1-H3968)</f>
        <v>1499</v>
      </c>
    </row>
    <row r="3970" spans="1:12">
      <c r="A3970" t="s">
        <v>4798</v>
      </c>
      <c r="B3970" s="1">
        <v>46180</v>
      </c>
      <c r="C3970" t="s">
        <v>3448</v>
      </c>
      <c r="D3970" t="s">
        <v>59</v>
      </c>
      <c r="E3970" t="s">
        <v>35</v>
      </c>
      <c r="F3970">
        <v>3</v>
      </c>
      <c r="G3970">
        <v>499</v>
      </c>
      <c r="H3970">
        <v>0</v>
      </c>
      <c r="I3970" t="s">
        <v>15</v>
      </c>
      <c r="J3970" t="s">
        <v>36</v>
      </c>
      <c r="K3970" t="s">
        <v>37</v>
      </c>
      <c r="L3970">
        <f>F3969*G3969*(1-H3969)</f>
        <v>1698.3</v>
      </c>
    </row>
    <row r="3971" spans="1:12">
      <c r="A3971" t="s">
        <v>4799</v>
      </c>
      <c r="B3971" s="1">
        <v>46254</v>
      </c>
      <c r="C3971" t="s">
        <v>1627</v>
      </c>
      <c r="D3971" t="s">
        <v>26</v>
      </c>
      <c r="E3971" t="s">
        <v>21</v>
      </c>
      <c r="F3971">
        <v>1</v>
      </c>
      <c r="G3971">
        <v>499</v>
      </c>
      <c r="H3971">
        <v>0.1</v>
      </c>
      <c r="I3971" t="s">
        <v>50</v>
      </c>
      <c r="J3971" t="s">
        <v>22</v>
      </c>
      <c r="K3971" t="s">
        <v>37</v>
      </c>
      <c r="L3971">
        <f>F3970*G3970*(1-H3970)</f>
        <v>1497</v>
      </c>
    </row>
    <row r="3972" spans="1:12">
      <c r="A3972" t="s">
        <v>4800</v>
      </c>
      <c r="B3972" s="1">
        <v>46163</v>
      </c>
      <c r="C3972" t="s">
        <v>3317</v>
      </c>
      <c r="D3972" t="s">
        <v>43</v>
      </c>
      <c r="E3972" t="s">
        <v>40</v>
      </c>
      <c r="F3972">
        <v>4</v>
      </c>
      <c r="G3972">
        <v>7999</v>
      </c>
      <c r="H3972">
        <v>0.1</v>
      </c>
      <c r="I3972" t="s">
        <v>50</v>
      </c>
      <c r="J3972" t="s">
        <v>22</v>
      </c>
      <c r="K3972" t="s">
        <v>37</v>
      </c>
      <c r="L3972">
        <f>F3971*G3971*(1-H3971)</f>
        <v>449.1</v>
      </c>
    </row>
    <row r="3973" spans="1:12">
      <c r="A3973" t="s">
        <v>4801</v>
      </c>
      <c r="B3973" s="1">
        <v>46189</v>
      </c>
      <c r="C3973" t="s">
        <v>839</v>
      </c>
      <c r="D3973" t="s">
        <v>13</v>
      </c>
      <c r="E3973" t="s">
        <v>35</v>
      </c>
      <c r="F3973">
        <v>5</v>
      </c>
      <c r="G3973">
        <v>4999</v>
      </c>
      <c r="H3973">
        <v>0</v>
      </c>
      <c r="I3973" t="s">
        <v>15</v>
      </c>
      <c r="J3973" t="s">
        <v>36</v>
      </c>
      <c r="K3973" t="s">
        <v>23</v>
      </c>
      <c r="L3973">
        <f>F3972*G3972*(1-H3972)</f>
        <v>28796.400000000001</v>
      </c>
    </row>
    <row r="3974" spans="1:12">
      <c r="A3974" t="s">
        <v>4802</v>
      </c>
      <c r="B3974" s="1">
        <v>46138</v>
      </c>
      <c r="C3974" t="s">
        <v>1887</v>
      </c>
      <c r="D3974" t="s">
        <v>43</v>
      </c>
      <c r="E3974" t="s">
        <v>27</v>
      </c>
      <c r="F3974">
        <v>2</v>
      </c>
      <c r="G3974">
        <v>7999</v>
      </c>
      <c r="H3974">
        <v>0.05</v>
      </c>
      <c r="I3974" t="s">
        <v>50</v>
      </c>
      <c r="J3974" t="s">
        <v>22</v>
      </c>
      <c r="K3974" t="s">
        <v>37</v>
      </c>
      <c r="L3974">
        <f>F3973*G3973*(1-H3973)</f>
        <v>24995</v>
      </c>
    </row>
    <row r="3975" spans="1:12">
      <c r="A3975" t="s">
        <v>4803</v>
      </c>
      <c r="B3975" s="1">
        <v>46241</v>
      </c>
      <c r="C3975" t="s">
        <v>1167</v>
      </c>
      <c r="D3975" t="s">
        <v>20</v>
      </c>
      <c r="E3975" t="s">
        <v>14</v>
      </c>
      <c r="F3975">
        <v>2</v>
      </c>
      <c r="G3975">
        <v>4999</v>
      </c>
      <c r="H3975">
        <v>0.15</v>
      </c>
      <c r="I3975" t="s">
        <v>32</v>
      </c>
      <c r="J3975" t="s">
        <v>28</v>
      </c>
      <c r="K3975" t="s">
        <v>23</v>
      </c>
      <c r="L3975">
        <f>F3974*G3974*(1-H3974)</f>
        <v>15198.099999999999</v>
      </c>
    </row>
    <row r="3976" spans="1:12">
      <c r="A3976" t="s">
        <v>4804</v>
      </c>
      <c r="B3976" s="1">
        <v>46212</v>
      </c>
      <c r="C3976" t="s">
        <v>1958</v>
      </c>
      <c r="D3976" t="s">
        <v>20</v>
      </c>
      <c r="E3976" t="s">
        <v>35</v>
      </c>
      <c r="F3976">
        <v>1</v>
      </c>
      <c r="G3976">
        <v>1999</v>
      </c>
      <c r="H3976">
        <v>0</v>
      </c>
      <c r="I3976" t="s">
        <v>47</v>
      </c>
      <c r="J3976" t="s">
        <v>22</v>
      </c>
      <c r="K3976" t="s">
        <v>23</v>
      </c>
      <c r="L3976">
        <f>F3975*G3975*(1-H3975)</f>
        <v>8498.2999999999993</v>
      </c>
    </row>
    <row r="3977" spans="1:12">
      <c r="A3977" t="s">
        <v>4805</v>
      </c>
      <c r="B3977" s="1">
        <v>46267</v>
      </c>
      <c r="C3977" t="s">
        <v>1768</v>
      </c>
      <c r="D3977" t="s">
        <v>31</v>
      </c>
      <c r="E3977" t="s">
        <v>35</v>
      </c>
      <c r="F3977">
        <v>5</v>
      </c>
      <c r="G3977">
        <v>2499</v>
      </c>
      <c r="H3977">
        <v>0</v>
      </c>
      <c r="I3977" t="s">
        <v>50</v>
      </c>
      <c r="J3977" t="s">
        <v>28</v>
      </c>
      <c r="K3977" t="s">
        <v>17</v>
      </c>
      <c r="L3977">
        <f>F3976*G3976*(1-H3976)</f>
        <v>1999</v>
      </c>
    </row>
    <row r="3978" spans="1:12">
      <c r="A3978" t="s">
        <v>4806</v>
      </c>
      <c r="B3978" s="1">
        <v>46047</v>
      </c>
      <c r="C3978" t="s">
        <v>3275</v>
      </c>
      <c r="D3978" t="s">
        <v>78</v>
      </c>
      <c r="E3978" t="s">
        <v>35</v>
      </c>
      <c r="F3978">
        <v>4</v>
      </c>
      <c r="G3978">
        <v>599</v>
      </c>
      <c r="H3978">
        <v>0.15</v>
      </c>
      <c r="I3978" t="s">
        <v>44</v>
      </c>
      <c r="J3978" t="s">
        <v>51</v>
      </c>
      <c r="K3978" t="s">
        <v>17</v>
      </c>
      <c r="L3978">
        <f>F3977*G3977*(1-H3977)</f>
        <v>12495</v>
      </c>
    </row>
    <row r="3979" spans="1:12">
      <c r="A3979" t="s">
        <v>4807</v>
      </c>
      <c r="B3979" s="1">
        <v>46217</v>
      </c>
      <c r="C3979" t="s">
        <v>34</v>
      </c>
      <c r="D3979" t="s">
        <v>56</v>
      </c>
      <c r="E3979" t="s">
        <v>40</v>
      </c>
      <c r="F3979">
        <v>1</v>
      </c>
      <c r="G3979">
        <v>999</v>
      </c>
      <c r="H3979">
        <v>0</v>
      </c>
      <c r="I3979" t="s">
        <v>15</v>
      </c>
      <c r="J3979" t="s">
        <v>51</v>
      </c>
      <c r="K3979" t="s">
        <v>23</v>
      </c>
      <c r="L3979">
        <f>F3978*G3978*(1-H3978)</f>
        <v>2036.6</v>
      </c>
    </row>
    <row r="3980" spans="1:12">
      <c r="A3980" t="s">
        <v>4808</v>
      </c>
      <c r="B3980" s="1">
        <v>46279</v>
      </c>
      <c r="C3980" t="s">
        <v>399</v>
      </c>
      <c r="D3980" t="s">
        <v>56</v>
      </c>
      <c r="E3980" t="s">
        <v>35</v>
      </c>
      <c r="F3980">
        <v>1</v>
      </c>
      <c r="G3980">
        <v>999</v>
      </c>
      <c r="H3980">
        <v>0</v>
      </c>
      <c r="I3980" t="s">
        <v>32</v>
      </c>
      <c r="J3980" t="s">
        <v>16</v>
      </c>
      <c r="K3980" t="s">
        <v>17</v>
      </c>
      <c r="L3980">
        <f>F3979*G3979*(1-H3979)</f>
        <v>999</v>
      </c>
    </row>
    <row r="3981" spans="1:12">
      <c r="A3981" t="s">
        <v>4809</v>
      </c>
      <c r="B3981" s="1">
        <v>46077</v>
      </c>
      <c r="C3981" t="s">
        <v>2825</v>
      </c>
      <c r="D3981" t="s">
        <v>43</v>
      </c>
      <c r="E3981" t="s">
        <v>40</v>
      </c>
      <c r="F3981">
        <v>3</v>
      </c>
      <c r="G3981">
        <v>1499</v>
      </c>
      <c r="H3981">
        <v>0</v>
      </c>
      <c r="I3981" t="s">
        <v>15</v>
      </c>
      <c r="J3981" t="s">
        <v>22</v>
      </c>
      <c r="K3981" t="s">
        <v>37</v>
      </c>
      <c r="L3981">
        <f>F3980*G3980*(1-H3980)</f>
        <v>999</v>
      </c>
    </row>
    <row r="3982" spans="1:12">
      <c r="A3982" t="s">
        <v>4810</v>
      </c>
      <c r="B3982" s="1">
        <v>46245</v>
      </c>
      <c r="C3982" t="s">
        <v>253</v>
      </c>
      <c r="D3982" t="s">
        <v>43</v>
      </c>
      <c r="E3982" t="s">
        <v>35</v>
      </c>
      <c r="F3982">
        <v>2</v>
      </c>
      <c r="G3982">
        <v>1999</v>
      </c>
      <c r="H3982">
        <v>0.05</v>
      </c>
      <c r="I3982" t="s">
        <v>32</v>
      </c>
      <c r="J3982" t="s">
        <v>36</v>
      </c>
      <c r="K3982" t="s">
        <v>17</v>
      </c>
      <c r="L3982">
        <f>F3981*G3981*(1-H3981)</f>
        <v>4497</v>
      </c>
    </row>
    <row r="3983" spans="1:12">
      <c r="A3983" t="s">
        <v>4811</v>
      </c>
      <c r="B3983" s="1">
        <v>46217</v>
      </c>
      <c r="C3983" t="s">
        <v>862</v>
      </c>
      <c r="D3983" t="s">
        <v>59</v>
      </c>
      <c r="E3983" t="s">
        <v>27</v>
      </c>
      <c r="F3983">
        <v>3</v>
      </c>
      <c r="G3983">
        <v>599</v>
      </c>
      <c r="H3983">
        <v>0.05</v>
      </c>
      <c r="I3983" t="s">
        <v>47</v>
      </c>
      <c r="J3983" t="s">
        <v>28</v>
      </c>
      <c r="K3983" t="s">
        <v>17</v>
      </c>
      <c r="L3983">
        <f>F3982*G3982*(1-H3982)</f>
        <v>3798.1</v>
      </c>
    </row>
    <row r="3984" spans="1:12">
      <c r="A3984" t="s">
        <v>4812</v>
      </c>
      <c r="B3984" s="1">
        <v>46244</v>
      </c>
      <c r="C3984" t="s">
        <v>1511</v>
      </c>
      <c r="D3984" t="s">
        <v>13</v>
      </c>
      <c r="E3984" t="s">
        <v>21</v>
      </c>
      <c r="F3984">
        <v>5</v>
      </c>
      <c r="G3984">
        <v>599</v>
      </c>
      <c r="H3984">
        <v>0</v>
      </c>
      <c r="I3984" t="s">
        <v>50</v>
      </c>
      <c r="J3984" t="s">
        <v>51</v>
      </c>
      <c r="K3984" t="s">
        <v>23</v>
      </c>
      <c r="L3984">
        <f>F3983*G3983*(1-H3983)</f>
        <v>1707.1499999999999</v>
      </c>
    </row>
    <row r="3985" spans="1:12">
      <c r="A3985" t="s">
        <v>4813</v>
      </c>
      <c r="B3985" s="1">
        <v>46213</v>
      </c>
      <c r="C3985" t="s">
        <v>2261</v>
      </c>
      <c r="D3985" t="s">
        <v>20</v>
      </c>
      <c r="E3985" t="s">
        <v>14</v>
      </c>
      <c r="F3985">
        <v>2</v>
      </c>
      <c r="G3985">
        <v>999</v>
      </c>
      <c r="H3985">
        <v>0.15</v>
      </c>
      <c r="I3985" t="s">
        <v>32</v>
      </c>
      <c r="J3985" t="s">
        <v>16</v>
      </c>
      <c r="K3985" t="s">
        <v>17</v>
      </c>
      <c r="L3985">
        <f>F3984*G3984*(1-H3984)</f>
        <v>2995</v>
      </c>
    </row>
    <row r="3986" spans="1:12">
      <c r="A3986" t="s">
        <v>4814</v>
      </c>
      <c r="B3986" s="1">
        <v>46239</v>
      </c>
      <c r="C3986" t="s">
        <v>361</v>
      </c>
      <c r="D3986" t="s">
        <v>71</v>
      </c>
      <c r="E3986" t="s">
        <v>40</v>
      </c>
      <c r="F3986">
        <v>1</v>
      </c>
      <c r="G3986">
        <v>799</v>
      </c>
      <c r="H3986">
        <v>0.15</v>
      </c>
      <c r="I3986" t="s">
        <v>32</v>
      </c>
      <c r="J3986" t="s">
        <v>28</v>
      </c>
      <c r="K3986" t="s">
        <v>37</v>
      </c>
      <c r="L3986">
        <f>F3985*G3985*(1-H3985)</f>
        <v>1698.3</v>
      </c>
    </row>
    <row r="3987" spans="1:12">
      <c r="A3987" t="s">
        <v>4815</v>
      </c>
      <c r="B3987" s="1">
        <v>46045</v>
      </c>
      <c r="C3987" t="s">
        <v>168</v>
      </c>
      <c r="D3987" t="s">
        <v>71</v>
      </c>
      <c r="E3987" t="s">
        <v>14</v>
      </c>
      <c r="F3987">
        <v>4</v>
      </c>
      <c r="G3987">
        <v>4999</v>
      </c>
      <c r="H3987">
        <v>0</v>
      </c>
      <c r="I3987" t="s">
        <v>15</v>
      </c>
      <c r="J3987" t="s">
        <v>36</v>
      </c>
      <c r="K3987" t="s">
        <v>17</v>
      </c>
      <c r="L3987">
        <f>F3986*G3986*(1-H3986)</f>
        <v>679.15</v>
      </c>
    </row>
    <row r="3988" spans="1:12">
      <c r="A3988" t="s">
        <v>4816</v>
      </c>
      <c r="B3988" s="1">
        <v>46103</v>
      </c>
      <c r="C3988" t="s">
        <v>1218</v>
      </c>
      <c r="D3988" t="s">
        <v>43</v>
      </c>
      <c r="E3988" t="s">
        <v>27</v>
      </c>
      <c r="F3988">
        <v>2</v>
      </c>
      <c r="G3988">
        <v>1999</v>
      </c>
      <c r="H3988">
        <v>0</v>
      </c>
      <c r="I3988" t="s">
        <v>32</v>
      </c>
      <c r="J3988" t="s">
        <v>16</v>
      </c>
      <c r="K3988" t="s">
        <v>37</v>
      </c>
      <c r="L3988">
        <f>F3987*G3987*(1-H3987)</f>
        <v>19996</v>
      </c>
    </row>
    <row r="3989" spans="1:12">
      <c r="A3989" t="s">
        <v>4817</v>
      </c>
      <c r="B3989" s="1">
        <v>46056</v>
      </c>
      <c r="C3989" t="s">
        <v>2443</v>
      </c>
      <c r="D3989" t="s">
        <v>13</v>
      </c>
      <c r="E3989" t="s">
        <v>35</v>
      </c>
      <c r="F3989">
        <v>1</v>
      </c>
      <c r="G3989">
        <v>1499</v>
      </c>
      <c r="H3989">
        <v>0.05</v>
      </c>
      <c r="I3989" t="s">
        <v>15</v>
      </c>
      <c r="J3989" t="s">
        <v>36</v>
      </c>
      <c r="K3989" t="s">
        <v>17</v>
      </c>
      <c r="L3989">
        <f>F3988*G3988*(1-H3988)</f>
        <v>3998</v>
      </c>
    </row>
    <row r="3990" spans="1:12">
      <c r="A3990" t="s">
        <v>4818</v>
      </c>
      <c r="B3990" s="1">
        <v>46250</v>
      </c>
      <c r="C3990" t="s">
        <v>1732</v>
      </c>
      <c r="D3990" t="s">
        <v>20</v>
      </c>
      <c r="E3990" t="s">
        <v>27</v>
      </c>
      <c r="F3990">
        <v>1</v>
      </c>
      <c r="G3990">
        <v>1299</v>
      </c>
      <c r="H3990">
        <v>0</v>
      </c>
      <c r="I3990" t="s">
        <v>47</v>
      </c>
      <c r="J3990" t="s">
        <v>28</v>
      </c>
      <c r="K3990" t="s">
        <v>23</v>
      </c>
      <c r="L3990">
        <f>F3989*G3989*(1-H3989)</f>
        <v>1424.05</v>
      </c>
    </row>
    <row r="3991" spans="1:12">
      <c r="A3991" t="s">
        <v>4819</v>
      </c>
      <c r="B3991" s="1">
        <v>46069</v>
      </c>
      <c r="C3991" t="s">
        <v>2832</v>
      </c>
      <c r="D3991" t="s">
        <v>56</v>
      </c>
      <c r="E3991" t="s">
        <v>40</v>
      </c>
      <c r="F3991">
        <v>2</v>
      </c>
      <c r="G3991">
        <v>4999</v>
      </c>
      <c r="H3991">
        <v>0</v>
      </c>
      <c r="I3991" t="s">
        <v>44</v>
      </c>
      <c r="J3991" t="s">
        <v>28</v>
      </c>
      <c r="K3991" t="s">
        <v>37</v>
      </c>
      <c r="L3991">
        <f>F3990*G3990*(1-H3990)</f>
        <v>1299</v>
      </c>
    </row>
    <row r="3992" spans="1:12">
      <c r="A3992" t="s">
        <v>4820</v>
      </c>
      <c r="B3992" s="1">
        <v>46065</v>
      </c>
      <c r="C3992" t="s">
        <v>3227</v>
      </c>
      <c r="D3992" t="s">
        <v>78</v>
      </c>
      <c r="E3992" t="s">
        <v>40</v>
      </c>
      <c r="F3992">
        <v>3</v>
      </c>
      <c r="G3992">
        <v>7999</v>
      </c>
      <c r="H3992">
        <v>0.1</v>
      </c>
      <c r="I3992" t="s">
        <v>32</v>
      </c>
      <c r="J3992" t="s">
        <v>28</v>
      </c>
      <c r="K3992" t="s">
        <v>17</v>
      </c>
      <c r="L3992">
        <f>F3991*G3991*(1-H3991)</f>
        <v>9998</v>
      </c>
    </row>
    <row r="3993" spans="1:12">
      <c r="A3993" t="s">
        <v>4821</v>
      </c>
      <c r="B3993" s="1">
        <v>46285</v>
      </c>
      <c r="C3993" t="s">
        <v>1495</v>
      </c>
      <c r="D3993" t="s">
        <v>78</v>
      </c>
      <c r="E3993" t="s">
        <v>40</v>
      </c>
      <c r="F3993">
        <v>3</v>
      </c>
      <c r="G3993">
        <v>1499</v>
      </c>
      <c r="H3993">
        <v>0</v>
      </c>
      <c r="I3993" t="s">
        <v>50</v>
      </c>
      <c r="J3993" t="s">
        <v>51</v>
      </c>
      <c r="K3993" t="s">
        <v>17</v>
      </c>
      <c r="L3993">
        <f>F3992*G3992*(1-H3992)</f>
        <v>21597.3</v>
      </c>
    </row>
    <row r="3994" spans="1:12">
      <c r="A3994" t="s">
        <v>4822</v>
      </c>
      <c r="B3994" s="1">
        <v>46139</v>
      </c>
      <c r="C3994" t="s">
        <v>956</v>
      </c>
      <c r="D3994" t="s">
        <v>78</v>
      </c>
      <c r="E3994" t="s">
        <v>35</v>
      </c>
      <c r="F3994">
        <v>1</v>
      </c>
      <c r="G3994">
        <v>999</v>
      </c>
      <c r="H3994">
        <v>0</v>
      </c>
      <c r="I3994" t="s">
        <v>44</v>
      </c>
      <c r="J3994" t="s">
        <v>16</v>
      </c>
      <c r="K3994" t="s">
        <v>37</v>
      </c>
      <c r="L3994">
        <f>F3993*G3993*(1-H3993)</f>
        <v>4497</v>
      </c>
    </row>
    <row r="3995" spans="1:12">
      <c r="A3995" t="s">
        <v>4823</v>
      </c>
      <c r="B3995" s="1">
        <v>46229</v>
      </c>
      <c r="C3995" t="s">
        <v>1038</v>
      </c>
      <c r="D3995" t="s">
        <v>71</v>
      </c>
      <c r="E3995" t="s">
        <v>27</v>
      </c>
      <c r="F3995">
        <v>5</v>
      </c>
      <c r="G3995">
        <v>1499</v>
      </c>
      <c r="H3995">
        <v>0.1</v>
      </c>
      <c r="I3995" t="s">
        <v>15</v>
      </c>
      <c r="J3995" t="s">
        <v>36</v>
      </c>
      <c r="K3995" t="s">
        <v>23</v>
      </c>
      <c r="L3995">
        <f>F3994*G3994*(1-H3994)</f>
        <v>999</v>
      </c>
    </row>
    <row r="3996" spans="1:12">
      <c r="A3996" t="s">
        <v>4824</v>
      </c>
      <c r="B3996" s="1">
        <v>46128</v>
      </c>
      <c r="C3996" t="s">
        <v>743</v>
      </c>
      <c r="D3996" t="s">
        <v>26</v>
      </c>
      <c r="E3996" t="s">
        <v>21</v>
      </c>
      <c r="F3996">
        <v>4</v>
      </c>
      <c r="G3996">
        <v>1499</v>
      </c>
      <c r="H3996">
        <v>0.15</v>
      </c>
      <c r="I3996" t="s">
        <v>50</v>
      </c>
      <c r="J3996" t="s">
        <v>28</v>
      </c>
      <c r="K3996" t="s">
        <v>17</v>
      </c>
      <c r="L3996">
        <f>F3995*G3995*(1-H3995)</f>
        <v>6745.5</v>
      </c>
    </row>
    <row r="3997" spans="1:12">
      <c r="A3997" t="s">
        <v>4825</v>
      </c>
      <c r="B3997" s="1">
        <v>46240</v>
      </c>
      <c r="C3997" t="s">
        <v>586</v>
      </c>
      <c r="D3997" t="s">
        <v>13</v>
      </c>
      <c r="E3997" t="s">
        <v>21</v>
      </c>
      <c r="F3997">
        <v>3</v>
      </c>
      <c r="G3997">
        <v>1499</v>
      </c>
      <c r="H3997">
        <v>0.15</v>
      </c>
      <c r="I3997" t="s">
        <v>50</v>
      </c>
      <c r="J3997" t="s">
        <v>28</v>
      </c>
      <c r="K3997" t="s">
        <v>17</v>
      </c>
      <c r="L3997">
        <f>F3996*G3996*(1-H3996)</f>
        <v>5096.5999999999995</v>
      </c>
    </row>
    <row r="3998" spans="1:12">
      <c r="A3998" t="s">
        <v>4826</v>
      </c>
      <c r="B3998" s="1">
        <v>46196</v>
      </c>
      <c r="C3998" t="s">
        <v>1763</v>
      </c>
      <c r="D3998" t="s">
        <v>43</v>
      </c>
      <c r="E3998" t="s">
        <v>40</v>
      </c>
      <c r="F3998">
        <v>1</v>
      </c>
      <c r="G3998">
        <v>2499</v>
      </c>
      <c r="H3998">
        <v>0</v>
      </c>
      <c r="I3998" t="s">
        <v>50</v>
      </c>
      <c r="J3998" t="s">
        <v>36</v>
      </c>
      <c r="K3998" t="s">
        <v>17</v>
      </c>
      <c r="L3998">
        <f>F3997*G3997*(1-H3997)</f>
        <v>3822.45</v>
      </c>
    </row>
    <row r="3999" spans="1:12">
      <c r="A3999" t="s">
        <v>4827</v>
      </c>
      <c r="B3999" s="1">
        <v>46085</v>
      </c>
      <c r="C3999" t="s">
        <v>948</v>
      </c>
      <c r="D3999" t="s">
        <v>62</v>
      </c>
      <c r="E3999" t="s">
        <v>27</v>
      </c>
      <c r="F3999">
        <v>3</v>
      </c>
      <c r="G3999">
        <v>1999</v>
      </c>
      <c r="H3999">
        <v>0</v>
      </c>
      <c r="I3999" t="s">
        <v>50</v>
      </c>
      <c r="J3999" t="s">
        <v>22</v>
      </c>
      <c r="K3999" t="s">
        <v>17</v>
      </c>
      <c r="L3999">
        <f>F3998*G3998*(1-H3998)</f>
        <v>2499</v>
      </c>
    </row>
    <row r="4000" spans="1:12">
      <c r="A4000" t="s">
        <v>4828</v>
      </c>
      <c r="B4000" s="1">
        <v>46210</v>
      </c>
      <c r="C4000" t="s">
        <v>374</v>
      </c>
      <c r="D4000" t="s">
        <v>59</v>
      </c>
      <c r="E4000" t="s">
        <v>21</v>
      </c>
      <c r="F4000">
        <v>5</v>
      </c>
      <c r="G4000">
        <v>599</v>
      </c>
      <c r="H4000">
        <v>0.05</v>
      </c>
      <c r="I4000" t="s">
        <v>47</v>
      </c>
      <c r="J4000" t="s">
        <v>22</v>
      </c>
      <c r="K4000" t="s">
        <v>37</v>
      </c>
      <c r="L4000">
        <f>F3999*G3999*(1-H3999)</f>
        <v>5997</v>
      </c>
    </row>
    <row r="4001" spans="1:12">
      <c r="A4001" t="s">
        <v>4829</v>
      </c>
      <c r="B4001" s="1">
        <v>46060</v>
      </c>
      <c r="C4001" t="s">
        <v>1353</v>
      </c>
      <c r="D4001" t="s">
        <v>31</v>
      </c>
      <c r="E4001" t="s">
        <v>40</v>
      </c>
      <c r="F4001">
        <v>3</v>
      </c>
      <c r="G4001">
        <v>599</v>
      </c>
      <c r="H4001">
        <v>0.05</v>
      </c>
      <c r="I4001" t="s">
        <v>47</v>
      </c>
      <c r="J4001" t="s">
        <v>16</v>
      </c>
      <c r="K4001" t="s">
        <v>17</v>
      </c>
      <c r="L4001">
        <f>F4000*G4000*(1-H4000)</f>
        <v>2845.25</v>
      </c>
    </row>
    <row r="4002" spans="1:12">
      <c r="A4002" t="s">
        <v>4830</v>
      </c>
      <c r="B4002" s="1">
        <v>46109</v>
      </c>
      <c r="C4002" t="s">
        <v>285</v>
      </c>
      <c r="D4002" t="s">
        <v>31</v>
      </c>
      <c r="E4002" t="s">
        <v>21</v>
      </c>
      <c r="F4002">
        <v>4</v>
      </c>
      <c r="G4002">
        <v>799</v>
      </c>
      <c r="H4002">
        <v>0.15</v>
      </c>
      <c r="I4002" t="s">
        <v>50</v>
      </c>
      <c r="J4002" t="s">
        <v>51</v>
      </c>
      <c r="K4002" t="s">
        <v>17</v>
      </c>
      <c r="L4002">
        <f>F4001*G4001*(1-H4001)</f>
        <v>1707.1499999999999</v>
      </c>
    </row>
    <row r="4003" spans="1:12">
      <c r="A4003" t="s">
        <v>4831</v>
      </c>
      <c r="B4003" s="1">
        <v>46160</v>
      </c>
      <c r="C4003" t="s">
        <v>195</v>
      </c>
      <c r="D4003" t="s">
        <v>62</v>
      </c>
      <c r="E4003" t="s">
        <v>14</v>
      </c>
      <c r="F4003">
        <v>3</v>
      </c>
      <c r="G4003">
        <v>1299</v>
      </c>
      <c r="H4003">
        <v>0.15</v>
      </c>
      <c r="I4003" t="s">
        <v>32</v>
      </c>
      <c r="J4003" t="s">
        <v>51</v>
      </c>
      <c r="K4003" t="s">
        <v>37</v>
      </c>
      <c r="L4003">
        <f>F4002*G4002*(1-H4002)</f>
        <v>2716.6</v>
      </c>
    </row>
    <row r="4004" spans="1:12">
      <c r="A4004" t="s">
        <v>4832</v>
      </c>
      <c r="B4004" s="1">
        <v>46127</v>
      </c>
      <c r="C4004" t="s">
        <v>4833</v>
      </c>
      <c r="D4004" t="s">
        <v>62</v>
      </c>
      <c r="E4004" t="s">
        <v>21</v>
      </c>
      <c r="F4004">
        <v>2</v>
      </c>
      <c r="G4004">
        <v>4999</v>
      </c>
      <c r="H4004">
        <v>0.05</v>
      </c>
      <c r="I4004" t="s">
        <v>44</v>
      </c>
      <c r="J4004" t="s">
        <v>16</v>
      </c>
      <c r="K4004" t="s">
        <v>17</v>
      </c>
      <c r="L4004">
        <f>F4003*G4003*(1-H4003)</f>
        <v>3312.45</v>
      </c>
    </row>
    <row r="4005" spans="1:12">
      <c r="A4005" t="s">
        <v>4834</v>
      </c>
      <c r="B4005" s="1">
        <v>46058</v>
      </c>
      <c r="C4005" t="s">
        <v>265</v>
      </c>
      <c r="D4005" t="s">
        <v>71</v>
      </c>
      <c r="E4005" t="s">
        <v>14</v>
      </c>
      <c r="F4005">
        <v>3</v>
      </c>
      <c r="G4005">
        <v>1299</v>
      </c>
      <c r="H4005">
        <v>0</v>
      </c>
      <c r="I4005" t="s">
        <v>50</v>
      </c>
      <c r="J4005" t="s">
        <v>28</v>
      </c>
      <c r="K4005" t="s">
        <v>17</v>
      </c>
      <c r="L4005">
        <f>F4004*G4004*(1-H4004)</f>
        <v>9498.1</v>
      </c>
    </row>
    <row r="4006" spans="1:12">
      <c r="A4006" t="s">
        <v>4835</v>
      </c>
      <c r="B4006" s="1">
        <v>46113</v>
      </c>
      <c r="C4006" t="s">
        <v>552</v>
      </c>
      <c r="D4006" t="s">
        <v>26</v>
      </c>
      <c r="E4006" t="s">
        <v>40</v>
      </c>
      <c r="F4006">
        <v>5</v>
      </c>
      <c r="G4006">
        <v>7999</v>
      </c>
      <c r="H4006">
        <v>0</v>
      </c>
      <c r="I4006" t="s">
        <v>44</v>
      </c>
      <c r="J4006" t="s">
        <v>16</v>
      </c>
      <c r="K4006" t="s">
        <v>17</v>
      </c>
      <c r="L4006">
        <f>F4005*G4005*(1-H4005)</f>
        <v>3897</v>
      </c>
    </row>
    <row r="4007" spans="1:12">
      <c r="A4007" t="s">
        <v>4836</v>
      </c>
      <c r="B4007" s="1">
        <v>46235</v>
      </c>
      <c r="C4007" t="s">
        <v>610</v>
      </c>
      <c r="D4007" t="s">
        <v>59</v>
      </c>
      <c r="E4007" t="s">
        <v>27</v>
      </c>
      <c r="F4007">
        <v>3</v>
      </c>
      <c r="G4007">
        <v>1299</v>
      </c>
      <c r="H4007">
        <v>0</v>
      </c>
      <c r="I4007" t="s">
        <v>15</v>
      </c>
      <c r="J4007" t="s">
        <v>22</v>
      </c>
      <c r="K4007" t="s">
        <v>17</v>
      </c>
      <c r="L4007">
        <f>F4006*G4006*(1-H4006)</f>
        <v>39995</v>
      </c>
    </row>
    <row r="4008" spans="1:12">
      <c r="A4008" t="s">
        <v>4837</v>
      </c>
      <c r="B4008" s="1">
        <v>46061</v>
      </c>
      <c r="C4008" t="s">
        <v>1634</v>
      </c>
      <c r="D4008" t="s">
        <v>13</v>
      </c>
      <c r="E4008" t="s">
        <v>27</v>
      </c>
      <c r="F4008">
        <v>1</v>
      </c>
      <c r="G4008">
        <v>1299</v>
      </c>
      <c r="H4008">
        <v>0.1</v>
      </c>
      <c r="I4008" t="s">
        <v>15</v>
      </c>
      <c r="J4008" t="s">
        <v>36</v>
      </c>
      <c r="K4008" t="s">
        <v>23</v>
      </c>
      <c r="L4008">
        <f>F4007*G4007*(1-H4007)</f>
        <v>3897</v>
      </c>
    </row>
    <row r="4009" spans="1:12">
      <c r="A4009" t="s">
        <v>4838</v>
      </c>
      <c r="B4009" s="1">
        <v>46278</v>
      </c>
      <c r="C4009" t="s">
        <v>296</v>
      </c>
      <c r="D4009" t="s">
        <v>62</v>
      </c>
      <c r="E4009" t="s">
        <v>35</v>
      </c>
      <c r="F4009">
        <v>3</v>
      </c>
      <c r="G4009">
        <v>799</v>
      </c>
      <c r="H4009">
        <v>0.05</v>
      </c>
      <c r="I4009" t="s">
        <v>44</v>
      </c>
      <c r="J4009" t="s">
        <v>51</v>
      </c>
      <c r="K4009" t="s">
        <v>37</v>
      </c>
      <c r="L4009">
        <f>F4008*G4008*(1-H4008)</f>
        <v>1169.1000000000001</v>
      </c>
    </row>
    <row r="4010" spans="1:12">
      <c r="A4010" t="s">
        <v>4839</v>
      </c>
      <c r="B4010" s="1">
        <v>46111</v>
      </c>
      <c r="C4010" t="s">
        <v>755</v>
      </c>
      <c r="D4010" t="s">
        <v>78</v>
      </c>
      <c r="E4010" t="s">
        <v>27</v>
      </c>
      <c r="F4010">
        <v>2</v>
      </c>
      <c r="G4010">
        <v>2499</v>
      </c>
      <c r="H4010">
        <v>0.05</v>
      </c>
      <c r="I4010" t="s">
        <v>15</v>
      </c>
      <c r="J4010" t="s">
        <v>36</v>
      </c>
      <c r="K4010" t="s">
        <v>17</v>
      </c>
      <c r="L4010">
        <f>F4009*G4009*(1-H4009)</f>
        <v>2277.15</v>
      </c>
    </row>
    <row r="4011" spans="1:12">
      <c r="A4011" t="s">
        <v>4840</v>
      </c>
      <c r="B4011" s="1">
        <v>46060</v>
      </c>
      <c r="C4011" t="s">
        <v>1737</v>
      </c>
      <c r="D4011" t="s">
        <v>43</v>
      </c>
      <c r="E4011" t="s">
        <v>14</v>
      </c>
      <c r="F4011">
        <v>1</v>
      </c>
      <c r="G4011">
        <v>2499</v>
      </c>
      <c r="H4011">
        <v>0.05</v>
      </c>
      <c r="I4011" t="s">
        <v>15</v>
      </c>
      <c r="J4011" t="s">
        <v>36</v>
      </c>
      <c r="K4011" t="s">
        <v>17</v>
      </c>
      <c r="L4011">
        <f>F4010*G4010*(1-H4010)</f>
        <v>4748.0999999999995</v>
      </c>
    </row>
    <row r="4012" spans="1:12">
      <c r="A4012" t="s">
        <v>4841</v>
      </c>
      <c r="B4012" s="1">
        <v>46269</v>
      </c>
      <c r="C4012" t="s">
        <v>3227</v>
      </c>
      <c r="D4012" t="s">
        <v>71</v>
      </c>
      <c r="E4012" t="s">
        <v>14</v>
      </c>
      <c r="F4012">
        <v>2</v>
      </c>
      <c r="G4012">
        <v>599</v>
      </c>
      <c r="H4012">
        <v>0</v>
      </c>
      <c r="I4012" t="s">
        <v>50</v>
      </c>
      <c r="J4012" t="s">
        <v>36</v>
      </c>
      <c r="K4012" t="s">
        <v>17</v>
      </c>
      <c r="L4012">
        <f>F4011*G4011*(1-H4011)</f>
        <v>2374.0499999999997</v>
      </c>
    </row>
    <row r="4013" spans="1:12">
      <c r="A4013" t="s">
        <v>4842</v>
      </c>
      <c r="B4013" s="1">
        <v>46237</v>
      </c>
      <c r="C4013" t="s">
        <v>893</v>
      </c>
      <c r="D4013" t="s">
        <v>59</v>
      </c>
      <c r="E4013" t="s">
        <v>21</v>
      </c>
      <c r="F4013">
        <v>2</v>
      </c>
      <c r="G4013">
        <v>4999</v>
      </c>
      <c r="H4013">
        <v>0.15</v>
      </c>
      <c r="I4013" t="s">
        <v>50</v>
      </c>
      <c r="J4013" t="s">
        <v>28</v>
      </c>
      <c r="K4013" t="s">
        <v>23</v>
      </c>
      <c r="L4013">
        <f>F4012*G4012*(1-H4012)</f>
        <v>1198</v>
      </c>
    </row>
    <row r="4014" spans="1:12">
      <c r="A4014" t="s">
        <v>4843</v>
      </c>
      <c r="B4014" s="1">
        <v>46026</v>
      </c>
      <c r="C4014" t="s">
        <v>667</v>
      </c>
      <c r="D4014" t="s">
        <v>43</v>
      </c>
      <c r="E4014" t="s">
        <v>27</v>
      </c>
      <c r="F4014">
        <v>5</v>
      </c>
      <c r="G4014">
        <v>4999</v>
      </c>
      <c r="H4014">
        <v>0</v>
      </c>
      <c r="I4014" t="s">
        <v>44</v>
      </c>
      <c r="J4014" t="s">
        <v>36</v>
      </c>
      <c r="K4014" t="s">
        <v>37</v>
      </c>
      <c r="L4014">
        <f>F4013*G4013*(1-H4013)</f>
        <v>8498.2999999999993</v>
      </c>
    </row>
    <row r="4015" spans="1:12">
      <c r="A4015" t="s">
        <v>4844</v>
      </c>
      <c r="B4015" s="1">
        <v>46183</v>
      </c>
      <c r="C4015" t="s">
        <v>1213</v>
      </c>
      <c r="D4015" t="s">
        <v>56</v>
      </c>
      <c r="E4015" t="s">
        <v>35</v>
      </c>
      <c r="F4015">
        <v>1</v>
      </c>
      <c r="G4015">
        <v>1499</v>
      </c>
      <c r="H4015">
        <v>0.15</v>
      </c>
      <c r="I4015" t="s">
        <v>47</v>
      </c>
      <c r="J4015" t="s">
        <v>22</v>
      </c>
      <c r="K4015" t="s">
        <v>17</v>
      </c>
      <c r="L4015">
        <f>F4014*G4014*(1-H4014)</f>
        <v>24995</v>
      </c>
    </row>
    <row r="4016" spans="1:12">
      <c r="A4016" t="s">
        <v>4845</v>
      </c>
      <c r="B4016" s="1">
        <v>46192</v>
      </c>
      <c r="C4016" t="s">
        <v>2207</v>
      </c>
      <c r="D4016" t="s">
        <v>62</v>
      </c>
      <c r="E4016" t="s">
        <v>27</v>
      </c>
      <c r="F4016">
        <v>3</v>
      </c>
      <c r="G4016">
        <v>499</v>
      </c>
      <c r="H4016">
        <v>0</v>
      </c>
      <c r="I4016" t="s">
        <v>44</v>
      </c>
      <c r="J4016" t="s">
        <v>16</v>
      </c>
      <c r="K4016" t="s">
        <v>17</v>
      </c>
      <c r="L4016">
        <f>F4015*G4015*(1-H4015)</f>
        <v>1274.1499999999999</v>
      </c>
    </row>
    <row r="4017" spans="1:12">
      <c r="A4017" t="s">
        <v>4846</v>
      </c>
      <c r="B4017" s="1">
        <v>46071</v>
      </c>
      <c r="C4017" t="s">
        <v>401</v>
      </c>
      <c r="D4017" t="s">
        <v>20</v>
      </c>
      <c r="E4017" t="s">
        <v>35</v>
      </c>
      <c r="F4017">
        <v>4</v>
      </c>
      <c r="G4017">
        <v>1999</v>
      </c>
      <c r="H4017">
        <v>0.05</v>
      </c>
      <c r="I4017" t="s">
        <v>15</v>
      </c>
      <c r="J4017" t="s">
        <v>28</v>
      </c>
      <c r="K4017" t="s">
        <v>17</v>
      </c>
      <c r="L4017">
        <f>F4016*G4016*(1-H4016)</f>
        <v>1497</v>
      </c>
    </row>
    <row r="4018" spans="1:12">
      <c r="A4018" t="s">
        <v>4847</v>
      </c>
      <c r="B4018" s="1">
        <v>46108</v>
      </c>
      <c r="C4018" t="s">
        <v>743</v>
      </c>
      <c r="D4018" t="s">
        <v>43</v>
      </c>
      <c r="E4018" t="s">
        <v>27</v>
      </c>
      <c r="F4018">
        <v>3</v>
      </c>
      <c r="G4018">
        <v>999</v>
      </c>
      <c r="H4018">
        <v>0</v>
      </c>
      <c r="I4018" t="s">
        <v>15</v>
      </c>
      <c r="J4018" t="s">
        <v>51</v>
      </c>
      <c r="K4018" t="s">
        <v>17</v>
      </c>
      <c r="L4018">
        <f>F4017*G4017*(1-H4017)</f>
        <v>7596.2</v>
      </c>
    </row>
    <row r="4019" spans="1:12">
      <c r="A4019" t="s">
        <v>4848</v>
      </c>
      <c r="B4019" s="1">
        <v>46117</v>
      </c>
      <c r="C4019" t="s">
        <v>1280</v>
      </c>
      <c r="D4019" t="s">
        <v>20</v>
      </c>
      <c r="E4019" t="s">
        <v>40</v>
      </c>
      <c r="F4019">
        <v>2</v>
      </c>
      <c r="G4019">
        <v>799</v>
      </c>
      <c r="H4019">
        <v>0</v>
      </c>
      <c r="I4019" t="s">
        <v>47</v>
      </c>
      <c r="J4019" t="s">
        <v>28</v>
      </c>
      <c r="K4019" t="s">
        <v>17</v>
      </c>
      <c r="L4019">
        <f>F4018*G4018*(1-H4018)</f>
        <v>2997</v>
      </c>
    </row>
    <row r="4020" spans="1:12">
      <c r="A4020" t="s">
        <v>4849</v>
      </c>
      <c r="B4020" s="1">
        <v>46107</v>
      </c>
      <c r="C4020" t="s">
        <v>1357</v>
      </c>
      <c r="D4020" t="s">
        <v>43</v>
      </c>
      <c r="E4020" t="s">
        <v>27</v>
      </c>
      <c r="F4020">
        <v>5</v>
      </c>
      <c r="G4020">
        <v>4999</v>
      </c>
      <c r="H4020">
        <v>0.15</v>
      </c>
      <c r="I4020" t="s">
        <v>50</v>
      </c>
      <c r="J4020" t="s">
        <v>28</v>
      </c>
      <c r="K4020" t="s">
        <v>17</v>
      </c>
      <c r="L4020">
        <f>F4019*G4019*(1-H4019)</f>
        <v>1598</v>
      </c>
    </row>
    <row r="4021" spans="1:12">
      <c r="A4021" t="s">
        <v>4850</v>
      </c>
      <c r="B4021" s="1">
        <v>46203</v>
      </c>
      <c r="C4021" t="s">
        <v>1643</v>
      </c>
      <c r="D4021" t="s">
        <v>43</v>
      </c>
      <c r="E4021" t="s">
        <v>14</v>
      </c>
      <c r="F4021">
        <v>2</v>
      </c>
      <c r="G4021">
        <v>1999</v>
      </c>
      <c r="H4021">
        <v>0.05</v>
      </c>
      <c r="I4021" t="s">
        <v>50</v>
      </c>
      <c r="J4021" t="s">
        <v>36</v>
      </c>
      <c r="K4021" t="s">
        <v>23</v>
      </c>
      <c r="L4021">
        <f>F4020*G4020*(1-H4020)</f>
        <v>21245.75</v>
      </c>
    </row>
    <row r="4022" spans="1:12">
      <c r="A4022" t="s">
        <v>4851</v>
      </c>
      <c r="B4022" s="1">
        <v>46242</v>
      </c>
      <c r="C4022" t="s">
        <v>1132</v>
      </c>
      <c r="D4022" t="s">
        <v>13</v>
      </c>
      <c r="E4022" t="s">
        <v>40</v>
      </c>
      <c r="F4022">
        <v>1</v>
      </c>
      <c r="G4022">
        <v>999</v>
      </c>
      <c r="H4022">
        <v>0.15</v>
      </c>
      <c r="I4022" t="s">
        <v>47</v>
      </c>
      <c r="J4022" t="s">
        <v>51</v>
      </c>
      <c r="K4022" t="s">
        <v>23</v>
      </c>
      <c r="L4022">
        <f>F4021*G4021*(1-H4021)</f>
        <v>3798.1</v>
      </c>
    </row>
    <row r="4023" spans="1:12">
      <c r="A4023" t="s">
        <v>4852</v>
      </c>
      <c r="B4023" s="1">
        <v>46279</v>
      </c>
      <c r="C4023" t="s">
        <v>1163</v>
      </c>
      <c r="D4023" t="s">
        <v>56</v>
      </c>
      <c r="E4023" t="s">
        <v>40</v>
      </c>
      <c r="F4023">
        <v>1</v>
      </c>
      <c r="G4023">
        <v>999</v>
      </c>
      <c r="H4023">
        <v>0</v>
      </c>
      <c r="I4023" t="s">
        <v>44</v>
      </c>
      <c r="J4023" t="s">
        <v>16</v>
      </c>
      <c r="K4023" t="s">
        <v>17</v>
      </c>
      <c r="L4023">
        <f>F4022*G4022*(1-H4022)</f>
        <v>849.15</v>
      </c>
    </row>
    <row r="4024" spans="1:12">
      <c r="A4024" t="s">
        <v>4853</v>
      </c>
      <c r="B4024" s="1">
        <v>46162</v>
      </c>
      <c r="C4024" t="s">
        <v>2115</v>
      </c>
      <c r="D4024" t="s">
        <v>56</v>
      </c>
      <c r="E4024" t="s">
        <v>27</v>
      </c>
      <c r="F4024">
        <v>2</v>
      </c>
      <c r="G4024">
        <v>799</v>
      </c>
      <c r="H4024">
        <v>0.15</v>
      </c>
      <c r="I4024" t="s">
        <v>50</v>
      </c>
      <c r="J4024" t="s">
        <v>51</v>
      </c>
      <c r="K4024" t="s">
        <v>17</v>
      </c>
      <c r="L4024">
        <f>F4023*G4023*(1-H4023)</f>
        <v>999</v>
      </c>
    </row>
    <row r="4025" spans="1:12">
      <c r="A4025" t="s">
        <v>4854</v>
      </c>
      <c r="B4025" s="1">
        <v>46095</v>
      </c>
      <c r="C4025" t="s">
        <v>3934</v>
      </c>
      <c r="D4025" t="s">
        <v>43</v>
      </c>
      <c r="E4025" t="s">
        <v>35</v>
      </c>
      <c r="F4025">
        <v>2</v>
      </c>
      <c r="G4025">
        <v>2499</v>
      </c>
      <c r="H4025">
        <v>0</v>
      </c>
      <c r="I4025" t="s">
        <v>15</v>
      </c>
      <c r="J4025" t="s">
        <v>36</v>
      </c>
      <c r="K4025" t="s">
        <v>23</v>
      </c>
      <c r="L4025">
        <f>F4024*G4024*(1-H4024)</f>
        <v>1358.3</v>
      </c>
    </row>
    <row r="4026" spans="1:12">
      <c r="A4026" t="s">
        <v>4855</v>
      </c>
      <c r="B4026" s="1">
        <v>46276</v>
      </c>
      <c r="C4026" t="s">
        <v>727</v>
      </c>
      <c r="D4026" t="s">
        <v>20</v>
      </c>
      <c r="E4026" t="s">
        <v>14</v>
      </c>
      <c r="F4026">
        <v>5</v>
      </c>
      <c r="G4026">
        <v>499</v>
      </c>
      <c r="H4026">
        <v>0</v>
      </c>
      <c r="I4026" t="s">
        <v>44</v>
      </c>
      <c r="J4026" t="s">
        <v>51</v>
      </c>
      <c r="K4026" t="s">
        <v>17</v>
      </c>
      <c r="L4026">
        <f>F4025*G4025*(1-H4025)</f>
        <v>4998</v>
      </c>
    </row>
    <row r="4027" spans="1:12">
      <c r="A4027" t="s">
        <v>4856</v>
      </c>
      <c r="B4027" s="1">
        <v>46210</v>
      </c>
      <c r="C4027" t="s">
        <v>1465</v>
      </c>
      <c r="D4027" t="s">
        <v>31</v>
      </c>
      <c r="E4027" t="s">
        <v>35</v>
      </c>
      <c r="F4027">
        <v>4</v>
      </c>
      <c r="G4027">
        <v>799</v>
      </c>
      <c r="H4027">
        <v>0</v>
      </c>
      <c r="I4027" t="s">
        <v>44</v>
      </c>
      <c r="J4027" t="s">
        <v>51</v>
      </c>
      <c r="K4027" t="s">
        <v>17</v>
      </c>
      <c r="L4027">
        <f>F4026*G4026*(1-H4026)</f>
        <v>2495</v>
      </c>
    </row>
    <row r="4028" spans="1:12">
      <c r="A4028" t="s">
        <v>4857</v>
      </c>
      <c r="B4028" s="1">
        <v>46082</v>
      </c>
      <c r="C4028" t="s">
        <v>2036</v>
      </c>
      <c r="D4028" t="s">
        <v>71</v>
      </c>
      <c r="E4028" t="s">
        <v>21</v>
      </c>
      <c r="F4028">
        <v>3</v>
      </c>
      <c r="G4028">
        <v>599</v>
      </c>
      <c r="H4028">
        <v>0.15</v>
      </c>
      <c r="I4028" t="s">
        <v>44</v>
      </c>
      <c r="J4028" t="s">
        <v>36</v>
      </c>
      <c r="K4028" t="s">
        <v>37</v>
      </c>
      <c r="L4028">
        <f>F4027*G4027*(1-H4027)</f>
        <v>3196</v>
      </c>
    </row>
    <row r="4029" spans="1:12">
      <c r="A4029" t="s">
        <v>4858</v>
      </c>
      <c r="B4029" s="1">
        <v>46120</v>
      </c>
      <c r="C4029" t="s">
        <v>919</v>
      </c>
      <c r="D4029" t="s">
        <v>20</v>
      </c>
      <c r="E4029" t="s">
        <v>27</v>
      </c>
      <c r="F4029">
        <v>1</v>
      </c>
      <c r="G4029">
        <v>1299</v>
      </c>
      <c r="H4029">
        <v>0</v>
      </c>
      <c r="I4029" t="s">
        <v>32</v>
      </c>
      <c r="J4029" t="s">
        <v>16</v>
      </c>
      <c r="K4029" t="s">
        <v>23</v>
      </c>
      <c r="L4029">
        <f>F4028*G4028*(1-H4028)</f>
        <v>1527.45</v>
      </c>
    </row>
    <row r="4030" spans="1:12">
      <c r="A4030" t="s">
        <v>4859</v>
      </c>
      <c r="B4030" s="1">
        <v>46077</v>
      </c>
      <c r="C4030" t="s">
        <v>1861</v>
      </c>
      <c r="D4030" t="s">
        <v>56</v>
      </c>
      <c r="E4030" t="s">
        <v>27</v>
      </c>
      <c r="F4030">
        <v>4</v>
      </c>
      <c r="G4030">
        <v>1299</v>
      </c>
      <c r="H4030">
        <v>0.15</v>
      </c>
      <c r="I4030" t="s">
        <v>50</v>
      </c>
      <c r="J4030" t="s">
        <v>51</v>
      </c>
      <c r="K4030" t="s">
        <v>37</v>
      </c>
      <c r="L4030">
        <f>F4029*G4029*(1-H4029)</f>
        <v>1299</v>
      </c>
    </row>
    <row r="4031" spans="1:12">
      <c r="A4031" t="s">
        <v>4860</v>
      </c>
      <c r="B4031" s="1">
        <v>46242</v>
      </c>
      <c r="C4031" t="s">
        <v>1090</v>
      </c>
      <c r="D4031" t="s">
        <v>56</v>
      </c>
      <c r="E4031" t="s">
        <v>40</v>
      </c>
      <c r="F4031">
        <v>5</v>
      </c>
      <c r="G4031">
        <v>1299</v>
      </c>
      <c r="H4031">
        <v>0.1</v>
      </c>
      <c r="I4031" t="s">
        <v>47</v>
      </c>
      <c r="J4031" t="s">
        <v>16</v>
      </c>
      <c r="K4031" t="s">
        <v>17</v>
      </c>
      <c r="L4031">
        <f>F4030*G4030*(1-H4030)</f>
        <v>4416.5999999999995</v>
      </c>
    </row>
    <row r="4032" spans="1:12">
      <c r="A4032" t="s">
        <v>4861</v>
      </c>
      <c r="B4032" s="1">
        <v>46141</v>
      </c>
      <c r="C4032" t="s">
        <v>1812</v>
      </c>
      <c r="D4032" t="s">
        <v>59</v>
      </c>
      <c r="E4032" t="s">
        <v>14</v>
      </c>
      <c r="F4032">
        <v>5</v>
      </c>
      <c r="G4032">
        <v>2499</v>
      </c>
      <c r="H4032">
        <v>0.1</v>
      </c>
      <c r="I4032" t="s">
        <v>15</v>
      </c>
      <c r="J4032" t="s">
        <v>16</v>
      </c>
      <c r="K4032" t="s">
        <v>23</v>
      </c>
      <c r="L4032">
        <f>F4031*G4031*(1-H4031)</f>
        <v>5845.5</v>
      </c>
    </row>
    <row r="4033" spans="1:12">
      <c r="A4033" t="s">
        <v>4862</v>
      </c>
      <c r="B4033" s="1">
        <v>46033</v>
      </c>
      <c r="C4033" t="s">
        <v>550</v>
      </c>
      <c r="D4033" t="s">
        <v>26</v>
      </c>
      <c r="E4033" t="s">
        <v>14</v>
      </c>
      <c r="F4033">
        <v>2</v>
      </c>
      <c r="G4033">
        <v>1499</v>
      </c>
      <c r="H4033">
        <v>0</v>
      </c>
      <c r="I4033" t="s">
        <v>50</v>
      </c>
      <c r="J4033" t="s">
        <v>28</v>
      </c>
      <c r="K4033" t="s">
        <v>17</v>
      </c>
      <c r="L4033">
        <f>F4032*G4032*(1-H4032)</f>
        <v>11245.5</v>
      </c>
    </row>
    <row r="4034" spans="1:12">
      <c r="A4034" t="s">
        <v>4863</v>
      </c>
      <c r="B4034" s="1">
        <v>46260</v>
      </c>
      <c r="C4034" t="s">
        <v>2096</v>
      </c>
      <c r="D4034" t="s">
        <v>26</v>
      </c>
      <c r="E4034" t="s">
        <v>27</v>
      </c>
      <c r="F4034">
        <v>1</v>
      </c>
      <c r="G4034">
        <v>7999</v>
      </c>
      <c r="H4034">
        <v>0.05</v>
      </c>
      <c r="I4034" t="s">
        <v>32</v>
      </c>
      <c r="J4034" t="s">
        <v>51</v>
      </c>
      <c r="K4034" t="s">
        <v>17</v>
      </c>
      <c r="L4034">
        <f>F4033*G4033*(1-H4033)</f>
        <v>2998</v>
      </c>
    </row>
    <row r="4035" spans="1:12">
      <c r="A4035" t="s">
        <v>4864</v>
      </c>
      <c r="B4035" s="1">
        <v>46031</v>
      </c>
      <c r="C4035" t="s">
        <v>699</v>
      </c>
      <c r="D4035" t="s">
        <v>20</v>
      </c>
      <c r="E4035" t="s">
        <v>35</v>
      </c>
      <c r="F4035">
        <v>1</v>
      </c>
      <c r="G4035">
        <v>4999</v>
      </c>
      <c r="H4035">
        <v>0.1</v>
      </c>
      <c r="I4035" t="s">
        <v>50</v>
      </c>
      <c r="J4035" t="s">
        <v>36</v>
      </c>
      <c r="K4035" t="s">
        <v>23</v>
      </c>
      <c r="L4035">
        <f>F4034*G4034*(1-H4034)</f>
        <v>7599.0499999999993</v>
      </c>
    </row>
    <row r="4036" spans="1:12">
      <c r="A4036" t="s">
        <v>4865</v>
      </c>
      <c r="B4036" s="1">
        <v>46122</v>
      </c>
      <c r="C4036" t="s">
        <v>1646</v>
      </c>
      <c r="D4036" t="s">
        <v>71</v>
      </c>
      <c r="E4036" t="s">
        <v>40</v>
      </c>
      <c r="F4036">
        <v>3</v>
      </c>
      <c r="G4036">
        <v>1299</v>
      </c>
      <c r="H4036">
        <v>0</v>
      </c>
      <c r="I4036" t="s">
        <v>15</v>
      </c>
      <c r="J4036" t="s">
        <v>36</v>
      </c>
      <c r="K4036" t="s">
        <v>17</v>
      </c>
      <c r="L4036">
        <f>F4035*G4035*(1-H4035)</f>
        <v>4499.1000000000004</v>
      </c>
    </row>
    <row r="4037" spans="1:12">
      <c r="A4037" t="s">
        <v>4866</v>
      </c>
      <c r="B4037" s="1">
        <v>46290</v>
      </c>
      <c r="C4037" t="s">
        <v>521</v>
      </c>
      <c r="D4037" t="s">
        <v>20</v>
      </c>
      <c r="E4037" t="s">
        <v>40</v>
      </c>
      <c r="F4037">
        <v>5</v>
      </c>
      <c r="G4037">
        <v>1499</v>
      </c>
      <c r="H4037">
        <v>0</v>
      </c>
      <c r="I4037" t="s">
        <v>32</v>
      </c>
      <c r="J4037" t="s">
        <v>22</v>
      </c>
      <c r="K4037" t="s">
        <v>37</v>
      </c>
      <c r="L4037">
        <f>F4036*G4036*(1-H4036)</f>
        <v>3897</v>
      </c>
    </row>
    <row r="4038" spans="1:12">
      <c r="A4038" t="s">
        <v>4867</v>
      </c>
      <c r="B4038" s="1">
        <v>46065</v>
      </c>
      <c r="C4038" t="s">
        <v>2306</v>
      </c>
      <c r="D4038" t="s">
        <v>78</v>
      </c>
      <c r="E4038" t="s">
        <v>14</v>
      </c>
      <c r="F4038">
        <v>1</v>
      </c>
      <c r="G4038">
        <v>1299</v>
      </c>
      <c r="H4038">
        <v>0</v>
      </c>
      <c r="I4038" t="s">
        <v>32</v>
      </c>
      <c r="J4038" t="s">
        <v>16</v>
      </c>
      <c r="K4038" t="s">
        <v>17</v>
      </c>
      <c r="L4038">
        <f>F4037*G4037*(1-H4037)</f>
        <v>7495</v>
      </c>
    </row>
    <row r="4039" spans="1:12">
      <c r="A4039" t="s">
        <v>4868</v>
      </c>
      <c r="B4039" s="1">
        <v>46107</v>
      </c>
      <c r="C4039" t="s">
        <v>2701</v>
      </c>
      <c r="D4039" t="s">
        <v>62</v>
      </c>
      <c r="E4039" t="s">
        <v>14</v>
      </c>
      <c r="F4039">
        <v>4</v>
      </c>
      <c r="G4039">
        <v>4999</v>
      </c>
      <c r="H4039">
        <v>0</v>
      </c>
      <c r="I4039" t="s">
        <v>44</v>
      </c>
      <c r="J4039" t="s">
        <v>36</v>
      </c>
      <c r="K4039" t="s">
        <v>17</v>
      </c>
      <c r="L4039">
        <f>F4038*G4038*(1-H4038)</f>
        <v>1299</v>
      </c>
    </row>
    <row r="4040" spans="1:12">
      <c r="A4040" t="s">
        <v>4869</v>
      </c>
      <c r="B4040" s="1">
        <v>46153</v>
      </c>
      <c r="C4040" t="s">
        <v>261</v>
      </c>
      <c r="D4040" t="s">
        <v>20</v>
      </c>
      <c r="E4040" t="s">
        <v>35</v>
      </c>
      <c r="F4040">
        <v>1</v>
      </c>
      <c r="G4040">
        <v>7999</v>
      </c>
      <c r="H4040">
        <v>0.1</v>
      </c>
      <c r="I4040" t="s">
        <v>44</v>
      </c>
      <c r="J4040" t="s">
        <v>16</v>
      </c>
      <c r="K4040" t="s">
        <v>23</v>
      </c>
      <c r="L4040">
        <f>F4039*G4039*(1-H4039)</f>
        <v>19996</v>
      </c>
    </row>
    <row r="4041" spans="1:12">
      <c r="A4041" t="s">
        <v>4870</v>
      </c>
      <c r="B4041" s="1">
        <v>46051</v>
      </c>
      <c r="C4041" t="s">
        <v>462</v>
      </c>
      <c r="D4041" t="s">
        <v>56</v>
      </c>
      <c r="E4041" t="s">
        <v>27</v>
      </c>
      <c r="F4041">
        <v>4</v>
      </c>
      <c r="G4041">
        <v>599</v>
      </c>
      <c r="H4041">
        <v>0</v>
      </c>
      <c r="I4041" t="s">
        <v>15</v>
      </c>
      <c r="J4041" t="s">
        <v>36</v>
      </c>
      <c r="K4041" t="s">
        <v>17</v>
      </c>
      <c r="L4041">
        <f>F4040*G4040*(1-H4040)</f>
        <v>7199.1</v>
      </c>
    </row>
    <row r="4042" spans="1:12">
      <c r="A4042" t="s">
        <v>4871</v>
      </c>
      <c r="B4042" s="1">
        <v>46160</v>
      </c>
      <c r="C4042" t="s">
        <v>2987</v>
      </c>
      <c r="D4042" t="s">
        <v>71</v>
      </c>
      <c r="E4042" t="s">
        <v>40</v>
      </c>
      <c r="F4042">
        <v>4</v>
      </c>
      <c r="G4042">
        <v>7999</v>
      </c>
      <c r="H4042">
        <v>0.05</v>
      </c>
      <c r="I4042" t="s">
        <v>47</v>
      </c>
      <c r="J4042" t="s">
        <v>36</v>
      </c>
      <c r="K4042" t="s">
        <v>17</v>
      </c>
      <c r="L4042">
        <f>F4041*G4041*(1-H4041)</f>
        <v>2396</v>
      </c>
    </row>
    <row r="4043" spans="1:12">
      <c r="A4043" t="s">
        <v>4872</v>
      </c>
      <c r="B4043" s="1">
        <v>46262</v>
      </c>
      <c r="C4043" t="s">
        <v>1302</v>
      </c>
      <c r="D4043" t="s">
        <v>56</v>
      </c>
      <c r="E4043" t="s">
        <v>40</v>
      </c>
      <c r="F4043">
        <v>3</v>
      </c>
      <c r="G4043">
        <v>499</v>
      </c>
      <c r="H4043">
        <v>0.15</v>
      </c>
      <c r="I4043" t="s">
        <v>15</v>
      </c>
      <c r="J4043" t="s">
        <v>36</v>
      </c>
      <c r="K4043" t="s">
        <v>23</v>
      </c>
      <c r="L4043">
        <f>F4042*G4042*(1-H4042)</f>
        <v>30396.199999999997</v>
      </c>
    </row>
    <row r="4044" spans="1:12">
      <c r="A4044" t="s">
        <v>4873</v>
      </c>
      <c r="B4044" s="1">
        <v>46265</v>
      </c>
      <c r="C4044" t="s">
        <v>590</v>
      </c>
      <c r="D4044" t="s">
        <v>26</v>
      </c>
      <c r="E4044" t="s">
        <v>40</v>
      </c>
      <c r="F4044">
        <v>5</v>
      </c>
      <c r="G4044">
        <v>799</v>
      </c>
      <c r="H4044">
        <v>0</v>
      </c>
      <c r="I4044" t="s">
        <v>47</v>
      </c>
      <c r="J4044" t="s">
        <v>36</v>
      </c>
      <c r="K4044" t="s">
        <v>37</v>
      </c>
      <c r="L4044">
        <f>F4043*G4043*(1-H4043)</f>
        <v>1272.45</v>
      </c>
    </row>
    <row r="4045" spans="1:12">
      <c r="A4045" t="s">
        <v>4874</v>
      </c>
      <c r="B4045" s="1">
        <v>46283</v>
      </c>
      <c r="C4045" t="s">
        <v>2374</v>
      </c>
      <c r="D4045" t="s">
        <v>13</v>
      </c>
      <c r="E4045" t="s">
        <v>35</v>
      </c>
      <c r="F4045">
        <v>5</v>
      </c>
      <c r="G4045">
        <v>599</v>
      </c>
      <c r="H4045">
        <v>0.1</v>
      </c>
      <c r="I4045" t="s">
        <v>50</v>
      </c>
      <c r="J4045" t="s">
        <v>22</v>
      </c>
      <c r="K4045" t="s">
        <v>23</v>
      </c>
      <c r="L4045">
        <f>F4044*G4044*(1-H4044)</f>
        <v>3995</v>
      </c>
    </row>
    <row r="4046" spans="1:12">
      <c r="A4046" t="s">
        <v>4875</v>
      </c>
      <c r="B4046" s="1">
        <v>46294</v>
      </c>
      <c r="C4046" t="s">
        <v>2915</v>
      </c>
      <c r="D4046" t="s">
        <v>13</v>
      </c>
      <c r="E4046" t="s">
        <v>14</v>
      </c>
      <c r="F4046">
        <v>5</v>
      </c>
      <c r="G4046">
        <v>7999</v>
      </c>
      <c r="H4046">
        <v>0</v>
      </c>
      <c r="I4046" t="s">
        <v>50</v>
      </c>
      <c r="J4046" t="s">
        <v>28</v>
      </c>
      <c r="K4046" t="s">
        <v>17</v>
      </c>
      <c r="L4046">
        <f>F4045*G4045*(1-H4045)</f>
        <v>2695.5</v>
      </c>
    </row>
    <row r="4047" spans="1:12">
      <c r="A4047" t="s">
        <v>4876</v>
      </c>
      <c r="B4047" s="1">
        <v>46045</v>
      </c>
      <c r="C4047" t="s">
        <v>1821</v>
      </c>
      <c r="D4047" t="s">
        <v>78</v>
      </c>
      <c r="E4047" t="s">
        <v>27</v>
      </c>
      <c r="F4047">
        <v>1</v>
      </c>
      <c r="G4047">
        <v>499</v>
      </c>
      <c r="H4047">
        <v>0.05</v>
      </c>
      <c r="I4047" t="s">
        <v>47</v>
      </c>
      <c r="J4047" t="s">
        <v>22</v>
      </c>
      <c r="K4047" t="s">
        <v>17</v>
      </c>
      <c r="L4047">
        <f>F4046*G4046*(1-H4046)</f>
        <v>39995</v>
      </c>
    </row>
    <row r="4048" spans="1:12">
      <c r="A4048" t="s">
        <v>4877</v>
      </c>
      <c r="B4048" s="1">
        <v>46136</v>
      </c>
      <c r="C4048" t="s">
        <v>709</v>
      </c>
      <c r="D4048" t="s">
        <v>20</v>
      </c>
      <c r="E4048" t="s">
        <v>27</v>
      </c>
      <c r="F4048">
        <v>5</v>
      </c>
      <c r="G4048">
        <v>799</v>
      </c>
      <c r="H4048">
        <v>0</v>
      </c>
      <c r="I4048" t="s">
        <v>44</v>
      </c>
      <c r="J4048" t="s">
        <v>51</v>
      </c>
      <c r="K4048" t="s">
        <v>17</v>
      </c>
      <c r="L4048">
        <f>F4047*G4047*(1-H4047)</f>
        <v>474.04999999999995</v>
      </c>
    </row>
    <row r="4049" spans="1:12">
      <c r="A4049" t="s">
        <v>4878</v>
      </c>
      <c r="B4049" s="1">
        <v>46148</v>
      </c>
      <c r="C4049" t="s">
        <v>1017</v>
      </c>
      <c r="D4049" t="s">
        <v>78</v>
      </c>
      <c r="E4049" t="s">
        <v>14</v>
      </c>
      <c r="F4049">
        <v>4</v>
      </c>
      <c r="G4049">
        <v>499</v>
      </c>
      <c r="H4049">
        <v>0.15</v>
      </c>
      <c r="I4049" t="s">
        <v>50</v>
      </c>
      <c r="J4049" t="s">
        <v>22</v>
      </c>
      <c r="K4049" t="s">
        <v>17</v>
      </c>
      <c r="L4049">
        <f>F4048*G4048*(1-H4048)</f>
        <v>3995</v>
      </c>
    </row>
    <row r="4050" spans="1:12">
      <c r="A4050" t="s">
        <v>4879</v>
      </c>
      <c r="B4050" s="1">
        <v>46130</v>
      </c>
      <c r="C4050" t="s">
        <v>1387</v>
      </c>
      <c r="D4050" t="s">
        <v>31</v>
      </c>
      <c r="E4050" t="s">
        <v>35</v>
      </c>
      <c r="F4050">
        <v>4</v>
      </c>
      <c r="G4050">
        <v>1999</v>
      </c>
      <c r="H4050">
        <v>0</v>
      </c>
      <c r="I4050" t="s">
        <v>47</v>
      </c>
      <c r="J4050" t="s">
        <v>36</v>
      </c>
      <c r="K4050" t="s">
        <v>17</v>
      </c>
      <c r="L4050">
        <f>F4049*G4049*(1-H4049)</f>
        <v>1696.6</v>
      </c>
    </row>
    <row r="4051" spans="1:12">
      <c r="A4051" t="s">
        <v>4880</v>
      </c>
      <c r="B4051" s="1">
        <v>46117</v>
      </c>
      <c r="C4051" t="s">
        <v>2247</v>
      </c>
      <c r="D4051" t="s">
        <v>78</v>
      </c>
      <c r="E4051" t="s">
        <v>21</v>
      </c>
      <c r="F4051">
        <v>5</v>
      </c>
      <c r="G4051">
        <v>7999</v>
      </c>
      <c r="H4051">
        <v>0.1</v>
      </c>
      <c r="I4051" t="s">
        <v>47</v>
      </c>
      <c r="J4051" t="s">
        <v>36</v>
      </c>
      <c r="K4051" t="s">
        <v>17</v>
      </c>
      <c r="L4051">
        <f>F4050*G4050*(1-H4050)</f>
        <v>7996</v>
      </c>
    </row>
    <row r="4052" spans="1:12">
      <c r="A4052" t="s">
        <v>4881</v>
      </c>
      <c r="B4052" s="1">
        <v>46113</v>
      </c>
      <c r="C4052" t="s">
        <v>1856</v>
      </c>
      <c r="D4052" t="s">
        <v>59</v>
      </c>
      <c r="E4052" t="s">
        <v>27</v>
      </c>
      <c r="F4052">
        <v>4</v>
      </c>
      <c r="G4052">
        <v>799</v>
      </c>
      <c r="H4052">
        <v>0.1</v>
      </c>
      <c r="I4052" t="s">
        <v>44</v>
      </c>
      <c r="J4052" t="s">
        <v>36</v>
      </c>
      <c r="K4052" t="s">
        <v>23</v>
      </c>
      <c r="L4052">
        <f>F4051*G4051*(1-H4051)</f>
        <v>35995.5</v>
      </c>
    </row>
    <row r="4053" spans="1:12">
      <c r="A4053" t="s">
        <v>4882</v>
      </c>
      <c r="B4053" s="1">
        <v>46066</v>
      </c>
      <c r="C4053" t="s">
        <v>361</v>
      </c>
      <c r="D4053" t="s">
        <v>31</v>
      </c>
      <c r="E4053" t="s">
        <v>35</v>
      </c>
      <c r="F4053">
        <v>2</v>
      </c>
      <c r="G4053">
        <v>4999</v>
      </c>
      <c r="H4053">
        <v>0</v>
      </c>
      <c r="I4053" t="s">
        <v>50</v>
      </c>
      <c r="J4053" t="s">
        <v>16</v>
      </c>
      <c r="K4053" t="s">
        <v>37</v>
      </c>
      <c r="L4053">
        <f>F4052*G4052*(1-H4052)</f>
        <v>2876.4</v>
      </c>
    </row>
    <row r="4054" spans="1:12">
      <c r="A4054" t="s">
        <v>4883</v>
      </c>
      <c r="B4054" s="1">
        <v>46213</v>
      </c>
      <c r="C4054" t="s">
        <v>751</v>
      </c>
      <c r="D4054" t="s">
        <v>26</v>
      </c>
      <c r="E4054" t="s">
        <v>40</v>
      </c>
      <c r="F4054">
        <v>2</v>
      </c>
      <c r="G4054">
        <v>999</v>
      </c>
      <c r="H4054">
        <v>0.05</v>
      </c>
      <c r="I4054" t="s">
        <v>32</v>
      </c>
      <c r="J4054" t="s">
        <v>22</v>
      </c>
      <c r="K4054" t="s">
        <v>17</v>
      </c>
      <c r="L4054">
        <f>F4053*G4053*(1-H4053)</f>
        <v>9998</v>
      </c>
    </row>
    <row r="4055" spans="1:12">
      <c r="A4055" t="s">
        <v>4884</v>
      </c>
      <c r="B4055" s="1">
        <v>46182</v>
      </c>
      <c r="C4055" t="s">
        <v>221</v>
      </c>
      <c r="D4055" t="s">
        <v>43</v>
      </c>
      <c r="E4055" t="s">
        <v>14</v>
      </c>
      <c r="F4055">
        <v>2</v>
      </c>
      <c r="G4055">
        <v>1299</v>
      </c>
      <c r="H4055">
        <v>0.15</v>
      </c>
      <c r="I4055" t="s">
        <v>47</v>
      </c>
      <c r="J4055" t="s">
        <v>16</v>
      </c>
      <c r="K4055" t="s">
        <v>23</v>
      </c>
      <c r="L4055">
        <f>F4054*G4054*(1-H4054)</f>
        <v>1898.1</v>
      </c>
    </row>
    <row r="4056" spans="1:12">
      <c r="A4056" t="s">
        <v>4885</v>
      </c>
      <c r="B4056" s="1">
        <v>46187</v>
      </c>
      <c r="C4056" t="s">
        <v>88</v>
      </c>
      <c r="D4056" t="s">
        <v>31</v>
      </c>
      <c r="E4056" t="s">
        <v>35</v>
      </c>
      <c r="F4056">
        <v>1</v>
      </c>
      <c r="G4056">
        <v>999</v>
      </c>
      <c r="H4056">
        <v>0.05</v>
      </c>
      <c r="I4056" t="s">
        <v>47</v>
      </c>
      <c r="J4056" t="s">
        <v>28</v>
      </c>
      <c r="K4056" t="s">
        <v>17</v>
      </c>
      <c r="L4056">
        <f>F4055*G4055*(1-H4055)</f>
        <v>2208.2999999999997</v>
      </c>
    </row>
    <row r="4057" spans="1:12">
      <c r="A4057" t="s">
        <v>4886</v>
      </c>
      <c r="B4057" s="1">
        <v>46061</v>
      </c>
      <c r="C4057" t="s">
        <v>541</v>
      </c>
      <c r="D4057" t="s">
        <v>13</v>
      </c>
      <c r="E4057" t="s">
        <v>21</v>
      </c>
      <c r="F4057">
        <v>5</v>
      </c>
      <c r="G4057">
        <v>799</v>
      </c>
      <c r="H4057">
        <v>0.1</v>
      </c>
      <c r="I4057" t="s">
        <v>47</v>
      </c>
      <c r="J4057" t="s">
        <v>22</v>
      </c>
      <c r="K4057" t="s">
        <v>37</v>
      </c>
      <c r="L4057">
        <f>F4056*G4056*(1-H4056)</f>
        <v>949.05</v>
      </c>
    </row>
    <row r="4058" spans="1:12">
      <c r="A4058" t="s">
        <v>4887</v>
      </c>
      <c r="B4058" s="1">
        <v>46110</v>
      </c>
      <c r="C4058" t="s">
        <v>2603</v>
      </c>
      <c r="D4058" t="s">
        <v>31</v>
      </c>
      <c r="E4058" t="s">
        <v>14</v>
      </c>
      <c r="F4058">
        <v>1</v>
      </c>
      <c r="G4058">
        <v>4999</v>
      </c>
      <c r="H4058">
        <v>0.15</v>
      </c>
      <c r="I4058" t="s">
        <v>47</v>
      </c>
      <c r="J4058" t="s">
        <v>51</v>
      </c>
      <c r="K4058" t="s">
        <v>17</v>
      </c>
      <c r="L4058">
        <f>F4057*G4057*(1-H4057)</f>
        <v>3595.5</v>
      </c>
    </row>
    <row r="4059" spans="1:12">
      <c r="A4059" t="s">
        <v>4888</v>
      </c>
      <c r="B4059" s="1">
        <v>46119</v>
      </c>
      <c r="C4059" t="s">
        <v>1211</v>
      </c>
      <c r="D4059" t="s">
        <v>78</v>
      </c>
      <c r="E4059" t="s">
        <v>35</v>
      </c>
      <c r="F4059">
        <v>4</v>
      </c>
      <c r="G4059">
        <v>1999</v>
      </c>
      <c r="H4059">
        <v>0</v>
      </c>
      <c r="I4059" t="s">
        <v>50</v>
      </c>
      <c r="J4059" t="s">
        <v>28</v>
      </c>
      <c r="K4059" t="s">
        <v>17</v>
      </c>
      <c r="L4059">
        <f>F4058*G4058*(1-H4058)</f>
        <v>4249.1499999999996</v>
      </c>
    </row>
    <row r="4060" spans="1:12">
      <c r="A4060" t="s">
        <v>4889</v>
      </c>
      <c r="B4060" s="1">
        <v>46220</v>
      </c>
      <c r="C4060" t="s">
        <v>1954</v>
      </c>
      <c r="D4060" t="s">
        <v>71</v>
      </c>
      <c r="E4060" t="s">
        <v>14</v>
      </c>
      <c r="F4060">
        <v>3</v>
      </c>
      <c r="G4060">
        <v>799</v>
      </c>
      <c r="H4060">
        <v>0.1</v>
      </c>
      <c r="I4060" t="s">
        <v>15</v>
      </c>
      <c r="J4060" t="s">
        <v>51</v>
      </c>
      <c r="K4060" t="s">
        <v>17</v>
      </c>
      <c r="L4060">
        <f>F4059*G4059*(1-H4059)</f>
        <v>7996</v>
      </c>
    </row>
    <row r="4061" spans="1:12">
      <c r="A4061" t="s">
        <v>4890</v>
      </c>
      <c r="B4061" s="1">
        <v>46247</v>
      </c>
      <c r="C4061" t="s">
        <v>450</v>
      </c>
      <c r="D4061" t="s">
        <v>62</v>
      </c>
      <c r="E4061" t="s">
        <v>40</v>
      </c>
      <c r="F4061">
        <v>3</v>
      </c>
      <c r="G4061">
        <v>1499</v>
      </c>
      <c r="H4061">
        <v>0</v>
      </c>
      <c r="I4061" t="s">
        <v>50</v>
      </c>
      <c r="J4061" t="s">
        <v>22</v>
      </c>
      <c r="K4061" t="s">
        <v>23</v>
      </c>
      <c r="L4061">
        <f>F4060*G4060*(1-H4060)</f>
        <v>2157.3000000000002</v>
      </c>
    </row>
    <row r="4062" spans="1:12">
      <c r="A4062" t="s">
        <v>4891</v>
      </c>
      <c r="B4062" s="1">
        <v>46073</v>
      </c>
      <c r="C4062" t="s">
        <v>4179</v>
      </c>
      <c r="D4062" t="s">
        <v>56</v>
      </c>
      <c r="E4062" t="s">
        <v>21</v>
      </c>
      <c r="F4062">
        <v>5</v>
      </c>
      <c r="G4062">
        <v>4999</v>
      </c>
      <c r="H4062">
        <v>0</v>
      </c>
      <c r="I4062" t="s">
        <v>47</v>
      </c>
      <c r="J4062" t="s">
        <v>28</v>
      </c>
      <c r="K4062" t="s">
        <v>17</v>
      </c>
      <c r="L4062">
        <f>F4061*G4061*(1-H4061)</f>
        <v>4497</v>
      </c>
    </row>
    <row r="4063" spans="1:12">
      <c r="A4063" t="s">
        <v>4892</v>
      </c>
      <c r="B4063" s="1">
        <v>46163</v>
      </c>
      <c r="C4063" t="s">
        <v>1239</v>
      </c>
      <c r="D4063" t="s">
        <v>13</v>
      </c>
      <c r="E4063" t="s">
        <v>27</v>
      </c>
      <c r="F4063">
        <v>5</v>
      </c>
      <c r="G4063">
        <v>799</v>
      </c>
      <c r="H4063">
        <v>0</v>
      </c>
      <c r="I4063" t="s">
        <v>50</v>
      </c>
      <c r="J4063" t="s">
        <v>28</v>
      </c>
      <c r="K4063" t="s">
        <v>23</v>
      </c>
      <c r="L4063">
        <f>F4062*G4062*(1-H4062)</f>
        <v>24995</v>
      </c>
    </row>
    <row r="4064" spans="1:12">
      <c r="A4064" t="s">
        <v>4893</v>
      </c>
      <c r="B4064" s="1">
        <v>46042</v>
      </c>
      <c r="C4064" t="s">
        <v>711</v>
      </c>
      <c r="D4064" t="s">
        <v>62</v>
      </c>
      <c r="E4064" t="s">
        <v>40</v>
      </c>
      <c r="F4064">
        <v>2</v>
      </c>
      <c r="G4064">
        <v>1999</v>
      </c>
      <c r="H4064">
        <v>0</v>
      </c>
      <c r="I4064" t="s">
        <v>44</v>
      </c>
      <c r="J4064" t="s">
        <v>51</v>
      </c>
      <c r="K4064" t="s">
        <v>17</v>
      </c>
      <c r="L4064">
        <f>F4063*G4063*(1-H4063)</f>
        <v>3995</v>
      </c>
    </row>
    <row r="4065" spans="1:12">
      <c r="A4065" t="s">
        <v>4894</v>
      </c>
      <c r="B4065" s="1">
        <v>46046</v>
      </c>
      <c r="C4065" t="s">
        <v>1105</v>
      </c>
      <c r="D4065" t="s">
        <v>13</v>
      </c>
      <c r="E4065" t="s">
        <v>27</v>
      </c>
      <c r="F4065">
        <v>5</v>
      </c>
      <c r="G4065">
        <v>499</v>
      </c>
      <c r="H4065">
        <v>0</v>
      </c>
      <c r="I4065" t="s">
        <v>50</v>
      </c>
      <c r="J4065" t="s">
        <v>36</v>
      </c>
      <c r="K4065" t="s">
        <v>17</v>
      </c>
      <c r="L4065">
        <f>F4064*G4064*(1-H4064)</f>
        <v>3998</v>
      </c>
    </row>
    <row r="4066" spans="1:12">
      <c r="A4066" t="s">
        <v>4895</v>
      </c>
      <c r="B4066" s="1">
        <v>46032</v>
      </c>
      <c r="C4066" t="s">
        <v>61</v>
      </c>
      <c r="D4066" t="s">
        <v>71</v>
      </c>
      <c r="E4066" t="s">
        <v>35</v>
      </c>
      <c r="F4066">
        <v>4</v>
      </c>
      <c r="G4066">
        <v>2499</v>
      </c>
      <c r="H4066">
        <v>0</v>
      </c>
      <c r="I4066" t="s">
        <v>32</v>
      </c>
      <c r="J4066" t="s">
        <v>28</v>
      </c>
      <c r="K4066" t="s">
        <v>17</v>
      </c>
      <c r="L4066">
        <f>F4065*G4065*(1-H4065)</f>
        <v>2495</v>
      </c>
    </row>
    <row r="4067" spans="1:12">
      <c r="A4067" t="s">
        <v>4896</v>
      </c>
      <c r="B4067" s="1">
        <v>46057</v>
      </c>
      <c r="C4067" t="s">
        <v>1636</v>
      </c>
      <c r="D4067" t="s">
        <v>62</v>
      </c>
      <c r="E4067" t="s">
        <v>21</v>
      </c>
      <c r="F4067">
        <v>2</v>
      </c>
      <c r="G4067">
        <v>1999</v>
      </c>
      <c r="H4067">
        <v>0</v>
      </c>
      <c r="I4067" t="s">
        <v>15</v>
      </c>
      <c r="J4067" t="s">
        <v>16</v>
      </c>
      <c r="K4067" t="s">
        <v>17</v>
      </c>
      <c r="L4067">
        <f>F4066*G4066*(1-H4066)</f>
        <v>9996</v>
      </c>
    </row>
    <row r="4068" spans="1:12">
      <c r="A4068" t="s">
        <v>4897</v>
      </c>
      <c r="B4068" s="1">
        <v>46281</v>
      </c>
      <c r="C4068" t="s">
        <v>709</v>
      </c>
      <c r="D4068" t="s">
        <v>59</v>
      </c>
      <c r="E4068" t="s">
        <v>35</v>
      </c>
      <c r="F4068">
        <v>1</v>
      </c>
      <c r="G4068">
        <v>999</v>
      </c>
      <c r="H4068">
        <v>0</v>
      </c>
      <c r="I4068" t="s">
        <v>47</v>
      </c>
      <c r="J4068" t="s">
        <v>22</v>
      </c>
      <c r="K4068" t="s">
        <v>17</v>
      </c>
      <c r="L4068">
        <f>F4067*G4067*(1-H4067)</f>
        <v>3998</v>
      </c>
    </row>
    <row r="4069" spans="1:12">
      <c r="A4069" t="s">
        <v>4898</v>
      </c>
      <c r="B4069" s="1">
        <v>46247</v>
      </c>
      <c r="C4069" t="s">
        <v>64</v>
      </c>
      <c r="D4069" t="s">
        <v>71</v>
      </c>
      <c r="E4069" t="s">
        <v>27</v>
      </c>
      <c r="F4069">
        <v>2</v>
      </c>
      <c r="G4069">
        <v>2499</v>
      </c>
      <c r="H4069">
        <v>0.1</v>
      </c>
      <c r="I4069" t="s">
        <v>44</v>
      </c>
      <c r="J4069" t="s">
        <v>51</v>
      </c>
      <c r="K4069" t="s">
        <v>17</v>
      </c>
      <c r="L4069">
        <f>F4068*G4068*(1-H4068)</f>
        <v>999</v>
      </c>
    </row>
    <row r="4070" spans="1:12">
      <c r="A4070" t="s">
        <v>4899</v>
      </c>
      <c r="B4070" s="1">
        <v>46223</v>
      </c>
      <c r="C4070" t="s">
        <v>152</v>
      </c>
      <c r="D4070" t="s">
        <v>62</v>
      </c>
      <c r="E4070" t="s">
        <v>40</v>
      </c>
      <c r="F4070">
        <v>2</v>
      </c>
      <c r="G4070">
        <v>2499</v>
      </c>
      <c r="H4070">
        <v>0.05</v>
      </c>
      <c r="I4070" t="s">
        <v>50</v>
      </c>
      <c r="J4070" t="s">
        <v>36</v>
      </c>
      <c r="K4070" t="s">
        <v>17</v>
      </c>
      <c r="L4070">
        <f>F4069*G4069*(1-H4069)</f>
        <v>4498.2</v>
      </c>
    </row>
    <row r="4071" spans="1:12">
      <c r="A4071" t="s">
        <v>4900</v>
      </c>
      <c r="B4071" s="1">
        <v>46034</v>
      </c>
      <c r="C4071" t="s">
        <v>331</v>
      </c>
      <c r="D4071" t="s">
        <v>13</v>
      </c>
      <c r="E4071" t="s">
        <v>21</v>
      </c>
      <c r="F4071">
        <v>1</v>
      </c>
      <c r="G4071">
        <v>999</v>
      </c>
      <c r="H4071">
        <v>0.1</v>
      </c>
      <c r="I4071" t="s">
        <v>47</v>
      </c>
      <c r="J4071" t="s">
        <v>28</v>
      </c>
      <c r="K4071" t="s">
        <v>37</v>
      </c>
      <c r="L4071">
        <f>F4070*G4070*(1-H4070)</f>
        <v>4748.0999999999995</v>
      </c>
    </row>
    <row r="4072" spans="1:12">
      <c r="A4072" t="s">
        <v>4901</v>
      </c>
      <c r="B4072" s="1">
        <v>46211</v>
      </c>
      <c r="C4072" t="s">
        <v>608</v>
      </c>
      <c r="D4072" t="s">
        <v>78</v>
      </c>
      <c r="E4072" t="s">
        <v>27</v>
      </c>
      <c r="F4072">
        <v>2</v>
      </c>
      <c r="G4072">
        <v>2499</v>
      </c>
      <c r="H4072">
        <v>0.05</v>
      </c>
      <c r="I4072" t="s">
        <v>50</v>
      </c>
      <c r="J4072" t="s">
        <v>28</v>
      </c>
      <c r="K4072" t="s">
        <v>17</v>
      </c>
      <c r="L4072">
        <f>F4071*G4071*(1-H4071)</f>
        <v>899.1</v>
      </c>
    </row>
    <row r="4073" spans="1:12">
      <c r="A4073" t="s">
        <v>4902</v>
      </c>
      <c r="B4073" s="1">
        <v>46243</v>
      </c>
      <c r="C4073" t="s">
        <v>176</v>
      </c>
      <c r="D4073" t="s">
        <v>78</v>
      </c>
      <c r="E4073" t="s">
        <v>40</v>
      </c>
      <c r="F4073">
        <v>1</v>
      </c>
      <c r="G4073">
        <v>1999</v>
      </c>
      <c r="H4073">
        <v>0</v>
      </c>
      <c r="I4073" t="s">
        <v>15</v>
      </c>
      <c r="J4073" t="s">
        <v>16</v>
      </c>
      <c r="K4073" t="s">
        <v>17</v>
      </c>
      <c r="L4073">
        <f>F4072*G4072*(1-H4072)</f>
        <v>4748.0999999999995</v>
      </c>
    </row>
    <row r="4074" spans="1:12">
      <c r="A4074" t="s">
        <v>4903</v>
      </c>
      <c r="B4074" s="1">
        <v>46272</v>
      </c>
      <c r="C4074" t="s">
        <v>2320</v>
      </c>
      <c r="D4074" t="s">
        <v>78</v>
      </c>
      <c r="E4074" t="s">
        <v>14</v>
      </c>
      <c r="F4074">
        <v>5</v>
      </c>
      <c r="G4074">
        <v>999</v>
      </c>
      <c r="H4074">
        <v>0.05</v>
      </c>
      <c r="I4074" t="s">
        <v>47</v>
      </c>
      <c r="J4074" t="s">
        <v>22</v>
      </c>
      <c r="K4074" t="s">
        <v>23</v>
      </c>
      <c r="L4074">
        <f>F4073*G4073*(1-H4073)</f>
        <v>1999</v>
      </c>
    </row>
    <row r="4075" spans="1:12">
      <c r="A4075" t="s">
        <v>4904</v>
      </c>
      <c r="B4075" s="1">
        <v>46030</v>
      </c>
      <c r="C4075" t="s">
        <v>3238</v>
      </c>
      <c r="D4075" t="s">
        <v>59</v>
      </c>
      <c r="E4075" t="s">
        <v>27</v>
      </c>
      <c r="F4075">
        <v>3</v>
      </c>
      <c r="G4075">
        <v>7999</v>
      </c>
      <c r="H4075">
        <v>0</v>
      </c>
      <c r="I4075" t="s">
        <v>50</v>
      </c>
      <c r="J4075" t="s">
        <v>22</v>
      </c>
      <c r="K4075" t="s">
        <v>37</v>
      </c>
      <c r="L4075">
        <f>F4074*G4074*(1-H4074)</f>
        <v>4745.25</v>
      </c>
    </row>
    <row r="4076" spans="1:12">
      <c r="A4076" t="s">
        <v>4905</v>
      </c>
      <c r="B4076" s="1">
        <v>46080</v>
      </c>
      <c r="C4076" t="s">
        <v>1080</v>
      </c>
      <c r="D4076" t="s">
        <v>59</v>
      </c>
      <c r="E4076" t="s">
        <v>21</v>
      </c>
      <c r="F4076">
        <v>1</v>
      </c>
      <c r="G4076">
        <v>1999</v>
      </c>
      <c r="H4076">
        <v>0.1</v>
      </c>
      <c r="I4076" t="s">
        <v>15</v>
      </c>
      <c r="J4076" t="s">
        <v>22</v>
      </c>
      <c r="K4076" t="s">
        <v>17</v>
      </c>
      <c r="L4076">
        <f>F4075*G4075*(1-H4075)</f>
        <v>23997</v>
      </c>
    </row>
    <row r="4077" spans="1:12">
      <c r="A4077" t="s">
        <v>4906</v>
      </c>
      <c r="B4077" s="1">
        <v>46078</v>
      </c>
      <c r="C4077" t="s">
        <v>651</v>
      </c>
      <c r="D4077" t="s">
        <v>78</v>
      </c>
      <c r="E4077" t="s">
        <v>40</v>
      </c>
      <c r="F4077">
        <v>5</v>
      </c>
      <c r="G4077">
        <v>799</v>
      </c>
      <c r="H4077">
        <v>0.1</v>
      </c>
      <c r="I4077" t="s">
        <v>44</v>
      </c>
      <c r="J4077" t="s">
        <v>22</v>
      </c>
      <c r="K4077" t="s">
        <v>23</v>
      </c>
      <c r="L4077">
        <f>F4076*G4076*(1-H4076)</f>
        <v>1799.1000000000001</v>
      </c>
    </row>
    <row r="4078" spans="1:12">
      <c r="A4078" t="s">
        <v>4907</v>
      </c>
      <c r="B4078" s="1">
        <v>46032</v>
      </c>
      <c r="C4078" t="s">
        <v>302</v>
      </c>
      <c r="D4078" t="s">
        <v>20</v>
      </c>
      <c r="E4078" t="s">
        <v>21</v>
      </c>
      <c r="F4078">
        <v>5</v>
      </c>
      <c r="G4078">
        <v>7999</v>
      </c>
      <c r="H4078">
        <v>0.05</v>
      </c>
      <c r="I4078" t="s">
        <v>50</v>
      </c>
      <c r="J4078" t="s">
        <v>16</v>
      </c>
      <c r="K4078" t="s">
        <v>17</v>
      </c>
      <c r="L4078">
        <f>F4077*G4077*(1-H4077)</f>
        <v>3595.5</v>
      </c>
    </row>
    <row r="4079" spans="1:12">
      <c r="A4079" t="s">
        <v>4908</v>
      </c>
      <c r="B4079" s="1">
        <v>46278</v>
      </c>
      <c r="C4079" t="s">
        <v>496</v>
      </c>
      <c r="D4079" t="s">
        <v>26</v>
      </c>
      <c r="E4079" t="s">
        <v>27</v>
      </c>
      <c r="F4079">
        <v>4</v>
      </c>
      <c r="G4079">
        <v>599</v>
      </c>
      <c r="H4079">
        <v>0.1</v>
      </c>
      <c r="I4079" t="s">
        <v>47</v>
      </c>
      <c r="J4079" t="s">
        <v>36</v>
      </c>
      <c r="K4079" t="s">
        <v>17</v>
      </c>
      <c r="L4079">
        <f>F4078*G4078*(1-H4078)</f>
        <v>37995.25</v>
      </c>
    </row>
    <row r="4080" spans="1:12">
      <c r="A4080" t="s">
        <v>4909</v>
      </c>
      <c r="B4080" s="1">
        <v>46217</v>
      </c>
      <c r="C4080" t="s">
        <v>3672</v>
      </c>
      <c r="D4080" t="s">
        <v>43</v>
      </c>
      <c r="E4080" t="s">
        <v>27</v>
      </c>
      <c r="F4080">
        <v>5</v>
      </c>
      <c r="G4080">
        <v>1499</v>
      </c>
      <c r="H4080">
        <v>0</v>
      </c>
      <c r="I4080" t="s">
        <v>47</v>
      </c>
      <c r="J4080" t="s">
        <v>36</v>
      </c>
      <c r="K4080" t="s">
        <v>17</v>
      </c>
      <c r="L4080">
        <f>F4079*G4079*(1-H4079)</f>
        <v>2156.4</v>
      </c>
    </row>
    <row r="4081" spans="1:12">
      <c r="A4081" t="s">
        <v>4910</v>
      </c>
      <c r="B4081" s="1">
        <v>46062</v>
      </c>
      <c r="C4081" t="s">
        <v>364</v>
      </c>
      <c r="D4081" t="s">
        <v>13</v>
      </c>
      <c r="E4081" t="s">
        <v>14</v>
      </c>
      <c r="F4081">
        <v>2</v>
      </c>
      <c r="G4081">
        <v>1299</v>
      </c>
      <c r="H4081">
        <v>0</v>
      </c>
      <c r="I4081" t="s">
        <v>15</v>
      </c>
      <c r="J4081" t="s">
        <v>22</v>
      </c>
      <c r="K4081" t="s">
        <v>23</v>
      </c>
      <c r="L4081">
        <f>F4080*G4080*(1-H4080)</f>
        <v>7495</v>
      </c>
    </row>
    <row r="4082" spans="1:12">
      <c r="A4082" t="s">
        <v>4911</v>
      </c>
      <c r="B4082" s="1">
        <v>46115</v>
      </c>
      <c r="C4082" t="s">
        <v>287</v>
      </c>
      <c r="D4082" t="s">
        <v>59</v>
      </c>
      <c r="E4082" t="s">
        <v>21</v>
      </c>
      <c r="F4082">
        <v>5</v>
      </c>
      <c r="G4082">
        <v>1499</v>
      </c>
      <c r="H4082">
        <v>0.1</v>
      </c>
      <c r="I4082" t="s">
        <v>32</v>
      </c>
      <c r="J4082" t="s">
        <v>28</v>
      </c>
      <c r="K4082" t="s">
        <v>37</v>
      </c>
      <c r="L4082">
        <f>F4081*G4081*(1-H4081)</f>
        <v>2598</v>
      </c>
    </row>
    <row r="4083" spans="1:12">
      <c r="A4083" t="s">
        <v>4912</v>
      </c>
      <c r="B4083" s="1">
        <v>46166</v>
      </c>
      <c r="C4083" t="s">
        <v>241</v>
      </c>
      <c r="D4083" t="s">
        <v>78</v>
      </c>
      <c r="E4083" t="s">
        <v>40</v>
      </c>
      <c r="F4083">
        <v>4</v>
      </c>
      <c r="G4083">
        <v>2499</v>
      </c>
      <c r="H4083">
        <v>0.1</v>
      </c>
      <c r="I4083" t="s">
        <v>15</v>
      </c>
      <c r="J4083" t="s">
        <v>28</v>
      </c>
      <c r="K4083" t="s">
        <v>17</v>
      </c>
      <c r="L4083">
        <f>F4082*G4082*(1-H4082)</f>
        <v>6745.5</v>
      </c>
    </row>
    <row r="4084" spans="1:12">
      <c r="A4084" t="s">
        <v>4913</v>
      </c>
      <c r="B4084" s="1">
        <v>46184</v>
      </c>
      <c r="C4084" t="s">
        <v>4914</v>
      </c>
      <c r="D4084" t="s">
        <v>31</v>
      </c>
      <c r="E4084" t="s">
        <v>40</v>
      </c>
      <c r="F4084">
        <v>1</v>
      </c>
      <c r="G4084">
        <v>1999</v>
      </c>
      <c r="H4084">
        <v>0.15</v>
      </c>
      <c r="I4084" t="s">
        <v>15</v>
      </c>
      <c r="J4084" t="s">
        <v>16</v>
      </c>
      <c r="K4084" t="s">
        <v>17</v>
      </c>
      <c r="L4084">
        <f>F4083*G4083*(1-H4083)</f>
        <v>8996.4</v>
      </c>
    </row>
    <row r="4085" spans="1:12">
      <c r="A4085" t="s">
        <v>4915</v>
      </c>
      <c r="B4085" s="1">
        <v>46207</v>
      </c>
      <c r="C4085" t="s">
        <v>952</v>
      </c>
      <c r="D4085" t="s">
        <v>31</v>
      </c>
      <c r="E4085" t="s">
        <v>35</v>
      </c>
      <c r="F4085">
        <v>4</v>
      </c>
      <c r="G4085">
        <v>599</v>
      </c>
      <c r="H4085">
        <v>0.1</v>
      </c>
      <c r="I4085" t="s">
        <v>15</v>
      </c>
      <c r="J4085" t="s">
        <v>51</v>
      </c>
      <c r="K4085" t="s">
        <v>17</v>
      </c>
      <c r="L4085">
        <f>F4084*G4084*(1-H4084)</f>
        <v>1699.1499999999999</v>
      </c>
    </row>
    <row r="4086" spans="1:12">
      <c r="A4086" t="s">
        <v>4916</v>
      </c>
      <c r="B4086" s="1">
        <v>46074</v>
      </c>
      <c r="C4086" t="s">
        <v>2987</v>
      </c>
      <c r="D4086" t="s">
        <v>43</v>
      </c>
      <c r="E4086" t="s">
        <v>35</v>
      </c>
      <c r="F4086">
        <v>1</v>
      </c>
      <c r="G4086">
        <v>499</v>
      </c>
      <c r="H4086">
        <v>0.05</v>
      </c>
      <c r="I4086" t="s">
        <v>50</v>
      </c>
      <c r="J4086" t="s">
        <v>51</v>
      </c>
      <c r="K4086" t="s">
        <v>37</v>
      </c>
      <c r="L4086">
        <f>F4085*G4085*(1-H4085)</f>
        <v>2156.4</v>
      </c>
    </row>
    <row r="4087" spans="1:12">
      <c r="A4087" t="s">
        <v>4917</v>
      </c>
      <c r="B4087" s="1">
        <v>46277</v>
      </c>
      <c r="C4087" t="s">
        <v>4192</v>
      </c>
      <c r="D4087" t="s">
        <v>78</v>
      </c>
      <c r="E4087" t="s">
        <v>27</v>
      </c>
      <c r="F4087">
        <v>1</v>
      </c>
      <c r="G4087">
        <v>4999</v>
      </c>
      <c r="H4087">
        <v>0.15</v>
      </c>
      <c r="I4087" t="s">
        <v>15</v>
      </c>
      <c r="J4087" t="s">
        <v>28</v>
      </c>
      <c r="K4087" t="s">
        <v>37</v>
      </c>
      <c r="L4087">
        <f>F4086*G4086*(1-H4086)</f>
        <v>474.04999999999995</v>
      </c>
    </row>
    <row r="4088" spans="1:12">
      <c r="A4088" t="s">
        <v>4918</v>
      </c>
      <c r="B4088" s="1">
        <v>46060</v>
      </c>
      <c r="C4088" t="s">
        <v>456</v>
      </c>
      <c r="D4088" t="s">
        <v>26</v>
      </c>
      <c r="E4088" t="s">
        <v>35</v>
      </c>
      <c r="F4088">
        <v>4</v>
      </c>
      <c r="G4088">
        <v>7999</v>
      </c>
      <c r="H4088">
        <v>0.1</v>
      </c>
      <c r="I4088" t="s">
        <v>50</v>
      </c>
      <c r="J4088" t="s">
        <v>28</v>
      </c>
      <c r="K4088" t="s">
        <v>23</v>
      </c>
      <c r="L4088">
        <f>F4087*G4087*(1-H4087)</f>
        <v>4249.1499999999996</v>
      </c>
    </row>
    <row r="4089" spans="1:12">
      <c r="A4089" t="s">
        <v>4919</v>
      </c>
      <c r="B4089" s="1">
        <v>46195</v>
      </c>
      <c r="C4089" t="s">
        <v>1454</v>
      </c>
      <c r="D4089" t="s">
        <v>13</v>
      </c>
      <c r="E4089" t="s">
        <v>35</v>
      </c>
      <c r="F4089">
        <v>3</v>
      </c>
      <c r="G4089">
        <v>7999</v>
      </c>
      <c r="H4089">
        <v>0.05</v>
      </c>
      <c r="I4089" t="s">
        <v>15</v>
      </c>
      <c r="J4089" t="s">
        <v>28</v>
      </c>
      <c r="K4089" t="s">
        <v>37</v>
      </c>
      <c r="L4089">
        <f>F4088*G4088*(1-H4088)</f>
        <v>28796.400000000001</v>
      </c>
    </row>
    <row r="4090" spans="1:12">
      <c r="A4090" t="s">
        <v>4920</v>
      </c>
      <c r="B4090" s="1">
        <v>46031</v>
      </c>
      <c r="C4090" t="s">
        <v>720</v>
      </c>
      <c r="D4090" t="s">
        <v>43</v>
      </c>
      <c r="E4090" t="s">
        <v>21</v>
      </c>
      <c r="F4090">
        <v>3</v>
      </c>
      <c r="G4090">
        <v>1299</v>
      </c>
      <c r="H4090">
        <v>0.1</v>
      </c>
      <c r="I4090" t="s">
        <v>32</v>
      </c>
      <c r="J4090" t="s">
        <v>51</v>
      </c>
      <c r="K4090" t="s">
        <v>17</v>
      </c>
      <c r="L4090">
        <f>F4089*G4089*(1-H4089)</f>
        <v>22797.149999999998</v>
      </c>
    </row>
    <row r="4091" spans="1:12">
      <c r="A4091" t="s">
        <v>4921</v>
      </c>
      <c r="B4091" s="1">
        <v>46277</v>
      </c>
      <c r="C4091" t="s">
        <v>136</v>
      </c>
      <c r="D4091" t="s">
        <v>78</v>
      </c>
      <c r="E4091" t="s">
        <v>40</v>
      </c>
      <c r="F4091">
        <v>5</v>
      </c>
      <c r="G4091">
        <v>1999</v>
      </c>
      <c r="H4091">
        <v>0</v>
      </c>
      <c r="I4091" t="s">
        <v>50</v>
      </c>
      <c r="J4091" t="s">
        <v>51</v>
      </c>
      <c r="K4091" t="s">
        <v>17</v>
      </c>
      <c r="L4091">
        <f>F4090*G4090*(1-H4090)</f>
        <v>3507.3</v>
      </c>
    </row>
    <row r="4092" spans="1:12">
      <c r="A4092" t="s">
        <v>4922</v>
      </c>
      <c r="B4092" s="1">
        <v>46063</v>
      </c>
      <c r="C4092" t="s">
        <v>763</v>
      </c>
      <c r="D4092" t="s">
        <v>31</v>
      </c>
      <c r="E4092" t="s">
        <v>27</v>
      </c>
      <c r="F4092">
        <v>3</v>
      </c>
      <c r="G4092">
        <v>4999</v>
      </c>
      <c r="H4092">
        <v>0</v>
      </c>
      <c r="I4092" t="s">
        <v>32</v>
      </c>
      <c r="J4092" t="s">
        <v>22</v>
      </c>
      <c r="K4092" t="s">
        <v>17</v>
      </c>
      <c r="L4092">
        <f>F4091*G4091*(1-H4091)</f>
        <v>9995</v>
      </c>
    </row>
    <row r="4093" spans="1:12">
      <c r="A4093" t="s">
        <v>4923</v>
      </c>
      <c r="B4093" s="1">
        <v>46071</v>
      </c>
      <c r="C4093" t="s">
        <v>4533</v>
      </c>
      <c r="D4093" t="s">
        <v>20</v>
      </c>
      <c r="E4093" t="s">
        <v>21</v>
      </c>
      <c r="F4093">
        <v>4</v>
      </c>
      <c r="G4093">
        <v>1999</v>
      </c>
      <c r="H4093">
        <v>0</v>
      </c>
      <c r="I4093" t="s">
        <v>44</v>
      </c>
      <c r="J4093" t="s">
        <v>28</v>
      </c>
      <c r="K4093" t="s">
        <v>23</v>
      </c>
      <c r="L4093">
        <f>F4092*G4092*(1-H4092)</f>
        <v>14997</v>
      </c>
    </row>
    <row r="4094" spans="1:12">
      <c r="A4094" t="s">
        <v>4924</v>
      </c>
      <c r="B4094" s="1">
        <v>46030</v>
      </c>
      <c r="C4094" t="s">
        <v>82</v>
      </c>
      <c r="D4094" t="s">
        <v>13</v>
      </c>
      <c r="E4094" t="s">
        <v>14</v>
      </c>
      <c r="F4094">
        <v>3</v>
      </c>
      <c r="G4094">
        <v>499</v>
      </c>
      <c r="H4094">
        <v>0</v>
      </c>
      <c r="I4094" t="s">
        <v>32</v>
      </c>
      <c r="J4094" t="s">
        <v>28</v>
      </c>
      <c r="K4094" t="s">
        <v>23</v>
      </c>
      <c r="L4094">
        <f>F4093*G4093*(1-H4093)</f>
        <v>7996</v>
      </c>
    </row>
    <row r="4095" spans="1:12">
      <c r="A4095" t="s">
        <v>4925</v>
      </c>
      <c r="B4095" s="1">
        <v>46204</v>
      </c>
      <c r="C4095" t="s">
        <v>2751</v>
      </c>
      <c r="D4095" t="s">
        <v>56</v>
      </c>
      <c r="E4095" t="s">
        <v>14</v>
      </c>
      <c r="F4095">
        <v>1</v>
      </c>
      <c r="G4095">
        <v>1299</v>
      </c>
      <c r="H4095">
        <v>0</v>
      </c>
      <c r="I4095" t="s">
        <v>15</v>
      </c>
      <c r="J4095" t="s">
        <v>16</v>
      </c>
      <c r="K4095" t="s">
        <v>37</v>
      </c>
      <c r="L4095">
        <f>F4094*G4094*(1-H4094)</f>
        <v>1497</v>
      </c>
    </row>
    <row r="4096" spans="1:12">
      <c r="A4096" t="s">
        <v>4926</v>
      </c>
      <c r="B4096" s="1">
        <v>46034</v>
      </c>
      <c r="C4096" t="s">
        <v>1469</v>
      </c>
      <c r="D4096" t="s">
        <v>71</v>
      </c>
      <c r="E4096" t="s">
        <v>27</v>
      </c>
      <c r="F4096">
        <v>3</v>
      </c>
      <c r="G4096">
        <v>499</v>
      </c>
      <c r="H4096">
        <v>0</v>
      </c>
      <c r="I4096" t="s">
        <v>47</v>
      </c>
      <c r="J4096" t="s">
        <v>36</v>
      </c>
      <c r="K4096" t="s">
        <v>17</v>
      </c>
      <c r="L4096">
        <f>F4095*G4095*(1-H4095)</f>
        <v>1299</v>
      </c>
    </row>
    <row r="4097" spans="1:12">
      <c r="A4097" t="s">
        <v>4927</v>
      </c>
      <c r="B4097" s="1">
        <v>46205</v>
      </c>
      <c r="C4097" t="s">
        <v>2094</v>
      </c>
      <c r="D4097" t="s">
        <v>26</v>
      </c>
      <c r="E4097" t="s">
        <v>40</v>
      </c>
      <c r="F4097">
        <v>2</v>
      </c>
      <c r="G4097">
        <v>799</v>
      </c>
      <c r="H4097">
        <v>0.05</v>
      </c>
      <c r="I4097" t="s">
        <v>32</v>
      </c>
      <c r="J4097" t="s">
        <v>22</v>
      </c>
      <c r="K4097" t="s">
        <v>23</v>
      </c>
      <c r="L4097">
        <f>F4096*G4096*(1-H4096)</f>
        <v>1497</v>
      </c>
    </row>
    <row r="4098" spans="1:12">
      <c r="A4098" t="s">
        <v>4928</v>
      </c>
      <c r="B4098" s="1">
        <v>46200</v>
      </c>
      <c r="C4098" t="s">
        <v>251</v>
      </c>
      <c r="D4098" t="s">
        <v>13</v>
      </c>
      <c r="E4098" t="s">
        <v>35</v>
      </c>
      <c r="F4098">
        <v>4</v>
      </c>
      <c r="G4098">
        <v>2499</v>
      </c>
      <c r="H4098">
        <v>0.1</v>
      </c>
      <c r="I4098" t="s">
        <v>15</v>
      </c>
      <c r="J4098" t="s">
        <v>16</v>
      </c>
      <c r="K4098" t="s">
        <v>17</v>
      </c>
      <c r="L4098">
        <f>F4097*G4097*(1-H4097)</f>
        <v>1518.1</v>
      </c>
    </row>
    <row r="4099" spans="1:12">
      <c r="A4099" t="s">
        <v>4929</v>
      </c>
      <c r="B4099" s="1">
        <v>46250</v>
      </c>
      <c r="C4099" t="s">
        <v>1621</v>
      </c>
      <c r="D4099" t="s">
        <v>56</v>
      </c>
      <c r="E4099" t="s">
        <v>40</v>
      </c>
      <c r="F4099">
        <v>1</v>
      </c>
      <c r="G4099">
        <v>2499</v>
      </c>
      <c r="H4099">
        <v>0</v>
      </c>
      <c r="I4099" t="s">
        <v>32</v>
      </c>
      <c r="J4099" t="s">
        <v>36</v>
      </c>
      <c r="K4099" t="s">
        <v>17</v>
      </c>
      <c r="L4099">
        <f>F4098*G4098*(1-H4098)</f>
        <v>8996.4</v>
      </c>
    </row>
    <row r="4100" spans="1:12">
      <c r="A4100" t="s">
        <v>4930</v>
      </c>
      <c r="B4100" s="1">
        <v>46054</v>
      </c>
      <c r="C4100" t="s">
        <v>327</v>
      </c>
      <c r="D4100" t="s">
        <v>43</v>
      </c>
      <c r="E4100" t="s">
        <v>14</v>
      </c>
      <c r="F4100">
        <v>1</v>
      </c>
      <c r="G4100">
        <v>1299</v>
      </c>
      <c r="H4100">
        <v>0.1</v>
      </c>
      <c r="I4100" t="s">
        <v>44</v>
      </c>
      <c r="J4100" t="s">
        <v>36</v>
      </c>
      <c r="K4100" t="s">
        <v>17</v>
      </c>
      <c r="L4100">
        <f>F4099*G4099*(1-H4099)</f>
        <v>2499</v>
      </c>
    </row>
    <row r="4101" spans="1:12">
      <c r="A4101" t="s">
        <v>4931</v>
      </c>
      <c r="B4101" s="1">
        <v>46081</v>
      </c>
      <c r="C4101" t="s">
        <v>2701</v>
      </c>
      <c r="D4101" t="s">
        <v>78</v>
      </c>
      <c r="E4101" t="s">
        <v>35</v>
      </c>
      <c r="F4101">
        <v>4</v>
      </c>
      <c r="G4101">
        <v>999</v>
      </c>
      <c r="H4101">
        <v>0.05</v>
      </c>
      <c r="I4101" t="s">
        <v>32</v>
      </c>
      <c r="J4101" t="s">
        <v>22</v>
      </c>
      <c r="K4101" t="s">
        <v>17</v>
      </c>
      <c r="L4101">
        <f>F4100*G4100*(1-H4100)</f>
        <v>1169.1000000000001</v>
      </c>
    </row>
    <row r="4102" spans="1:12">
      <c r="A4102" t="s">
        <v>4932</v>
      </c>
      <c r="B4102" s="1">
        <v>46221</v>
      </c>
      <c r="C4102" t="s">
        <v>933</v>
      </c>
      <c r="D4102" t="s">
        <v>13</v>
      </c>
      <c r="E4102" t="s">
        <v>27</v>
      </c>
      <c r="F4102">
        <v>4</v>
      </c>
      <c r="G4102">
        <v>599</v>
      </c>
      <c r="H4102">
        <v>0.1</v>
      </c>
      <c r="I4102" t="s">
        <v>50</v>
      </c>
      <c r="J4102" t="s">
        <v>36</v>
      </c>
      <c r="K4102" t="s">
        <v>17</v>
      </c>
      <c r="L4102">
        <f>F4101*G4101*(1-H4101)</f>
        <v>3796.2</v>
      </c>
    </row>
    <row r="4103" spans="1:12">
      <c r="A4103" t="s">
        <v>4933</v>
      </c>
      <c r="B4103" s="1">
        <v>46140</v>
      </c>
      <c r="C4103" t="s">
        <v>665</v>
      </c>
      <c r="D4103" t="s">
        <v>31</v>
      </c>
      <c r="E4103" t="s">
        <v>21</v>
      </c>
      <c r="F4103">
        <v>2</v>
      </c>
      <c r="G4103">
        <v>2499</v>
      </c>
      <c r="H4103">
        <v>0.1</v>
      </c>
      <c r="I4103" t="s">
        <v>47</v>
      </c>
      <c r="J4103" t="s">
        <v>16</v>
      </c>
      <c r="K4103" t="s">
        <v>23</v>
      </c>
      <c r="L4103">
        <f>F4102*G4102*(1-H4102)</f>
        <v>2156.4</v>
      </c>
    </row>
    <row r="4104" spans="1:12">
      <c r="A4104" t="s">
        <v>4934</v>
      </c>
      <c r="B4104" s="1">
        <v>46071</v>
      </c>
      <c r="C4104" t="s">
        <v>96</v>
      </c>
      <c r="D4104" t="s">
        <v>78</v>
      </c>
      <c r="E4104" t="s">
        <v>40</v>
      </c>
      <c r="F4104">
        <v>3</v>
      </c>
      <c r="G4104">
        <v>1299</v>
      </c>
      <c r="H4104">
        <v>0</v>
      </c>
      <c r="I4104" t="s">
        <v>47</v>
      </c>
      <c r="J4104" t="s">
        <v>28</v>
      </c>
      <c r="K4104" t="s">
        <v>23</v>
      </c>
      <c r="L4104">
        <f>F4103*G4103*(1-H4103)</f>
        <v>4498.2</v>
      </c>
    </row>
    <row r="4105" spans="1:12">
      <c r="A4105" t="s">
        <v>4935</v>
      </c>
      <c r="B4105" s="1">
        <v>46088</v>
      </c>
      <c r="C4105" t="s">
        <v>42</v>
      </c>
      <c r="D4105" t="s">
        <v>62</v>
      </c>
      <c r="E4105" t="s">
        <v>27</v>
      </c>
      <c r="F4105">
        <v>1</v>
      </c>
      <c r="G4105">
        <v>599</v>
      </c>
      <c r="H4105">
        <v>0.15</v>
      </c>
      <c r="I4105" t="s">
        <v>32</v>
      </c>
      <c r="J4105" t="s">
        <v>22</v>
      </c>
      <c r="K4105" t="s">
        <v>37</v>
      </c>
      <c r="L4105">
        <f>F4104*G4104*(1-H4104)</f>
        <v>3897</v>
      </c>
    </row>
    <row r="4106" spans="1:12">
      <c r="A4106" t="s">
        <v>4936</v>
      </c>
      <c r="B4106" s="1">
        <v>46029</v>
      </c>
      <c r="C4106" t="s">
        <v>513</v>
      </c>
      <c r="D4106" t="s">
        <v>26</v>
      </c>
      <c r="E4106" t="s">
        <v>35</v>
      </c>
      <c r="F4106">
        <v>3</v>
      </c>
      <c r="G4106">
        <v>4999</v>
      </c>
      <c r="H4106">
        <v>0</v>
      </c>
      <c r="I4106" t="s">
        <v>50</v>
      </c>
      <c r="J4106" t="s">
        <v>51</v>
      </c>
      <c r="K4106" t="s">
        <v>17</v>
      </c>
      <c r="L4106">
        <f>F4105*G4105*(1-H4105)</f>
        <v>509.15</v>
      </c>
    </row>
    <row r="4107" spans="1:12">
      <c r="A4107" t="s">
        <v>4937</v>
      </c>
      <c r="B4107" s="1">
        <v>46181</v>
      </c>
      <c r="C4107" t="s">
        <v>1695</v>
      </c>
      <c r="D4107" t="s">
        <v>59</v>
      </c>
      <c r="E4107" t="s">
        <v>40</v>
      </c>
      <c r="F4107">
        <v>5</v>
      </c>
      <c r="G4107">
        <v>2499</v>
      </c>
      <c r="H4107">
        <v>0.15</v>
      </c>
      <c r="I4107" t="s">
        <v>44</v>
      </c>
      <c r="J4107" t="s">
        <v>28</v>
      </c>
      <c r="K4107" t="s">
        <v>17</v>
      </c>
      <c r="L4107">
        <f>F4106*G4106*(1-H4106)</f>
        <v>14997</v>
      </c>
    </row>
    <row r="4108" spans="1:12">
      <c r="A4108" t="s">
        <v>4938</v>
      </c>
      <c r="B4108" s="1">
        <v>46270</v>
      </c>
      <c r="C4108" t="s">
        <v>839</v>
      </c>
      <c r="D4108" t="s">
        <v>31</v>
      </c>
      <c r="E4108" t="s">
        <v>14</v>
      </c>
      <c r="F4108">
        <v>2</v>
      </c>
      <c r="G4108">
        <v>2499</v>
      </c>
      <c r="H4108">
        <v>0</v>
      </c>
      <c r="I4108" t="s">
        <v>15</v>
      </c>
      <c r="J4108" t="s">
        <v>28</v>
      </c>
      <c r="K4108" t="s">
        <v>37</v>
      </c>
      <c r="L4108">
        <f>F4107*G4107*(1-H4107)</f>
        <v>10620.75</v>
      </c>
    </row>
    <row r="4109" spans="1:12">
      <c r="A4109" t="s">
        <v>4939</v>
      </c>
      <c r="B4109" s="1">
        <v>46035</v>
      </c>
      <c r="C4109" t="s">
        <v>3858</v>
      </c>
      <c r="D4109" t="s">
        <v>56</v>
      </c>
      <c r="E4109" t="s">
        <v>27</v>
      </c>
      <c r="F4109">
        <v>3</v>
      </c>
      <c r="G4109">
        <v>1499</v>
      </c>
      <c r="H4109">
        <v>0.05</v>
      </c>
      <c r="I4109" t="s">
        <v>15</v>
      </c>
      <c r="J4109" t="s">
        <v>22</v>
      </c>
      <c r="K4109" t="s">
        <v>17</v>
      </c>
      <c r="L4109">
        <f>F4108*G4108*(1-H4108)</f>
        <v>4998</v>
      </c>
    </row>
    <row r="4110" spans="1:12">
      <c r="A4110" t="s">
        <v>4940</v>
      </c>
      <c r="B4110" s="1">
        <v>46082</v>
      </c>
      <c r="C4110" t="s">
        <v>1130</v>
      </c>
      <c r="D4110" t="s">
        <v>56</v>
      </c>
      <c r="E4110" t="s">
        <v>35</v>
      </c>
      <c r="F4110">
        <v>5</v>
      </c>
      <c r="G4110">
        <v>1999</v>
      </c>
      <c r="H4110">
        <v>0.1</v>
      </c>
      <c r="I4110" t="s">
        <v>44</v>
      </c>
      <c r="J4110" t="s">
        <v>28</v>
      </c>
      <c r="K4110" t="s">
        <v>37</v>
      </c>
      <c r="L4110">
        <f>F4109*G4109*(1-H4109)</f>
        <v>4272.1499999999996</v>
      </c>
    </row>
    <row r="4111" spans="1:12">
      <c r="A4111" t="s">
        <v>4941</v>
      </c>
      <c r="B4111" s="1">
        <v>46079</v>
      </c>
      <c r="C4111" t="s">
        <v>919</v>
      </c>
      <c r="D4111" t="s">
        <v>59</v>
      </c>
      <c r="E4111" t="s">
        <v>14</v>
      </c>
      <c r="F4111">
        <v>5</v>
      </c>
      <c r="G4111">
        <v>7999</v>
      </c>
      <c r="H4111">
        <v>0.05</v>
      </c>
      <c r="I4111" t="s">
        <v>50</v>
      </c>
      <c r="J4111" t="s">
        <v>36</v>
      </c>
      <c r="K4111" t="s">
        <v>37</v>
      </c>
      <c r="L4111">
        <f>F4110*G4110*(1-H4110)</f>
        <v>8995.5</v>
      </c>
    </row>
    <row r="4112" spans="1:12">
      <c r="A4112" t="s">
        <v>4942</v>
      </c>
      <c r="B4112" s="1">
        <v>46170</v>
      </c>
      <c r="C4112" t="s">
        <v>255</v>
      </c>
      <c r="D4112" t="s">
        <v>71</v>
      </c>
      <c r="E4112" t="s">
        <v>27</v>
      </c>
      <c r="F4112">
        <v>1</v>
      </c>
      <c r="G4112">
        <v>1999</v>
      </c>
      <c r="H4112">
        <v>0.15</v>
      </c>
      <c r="I4112" t="s">
        <v>50</v>
      </c>
      <c r="J4112" t="s">
        <v>22</v>
      </c>
      <c r="K4112" t="s">
        <v>37</v>
      </c>
      <c r="L4112">
        <f>F4111*G4111*(1-H4111)</f>
        <v>37995.25</v>
      </c>
    </row>
    <row r="4113" spans="1:12">
      <c r="A4113" t="s">
        <v>4943</v>
      </c>
      <c r="B4113" s="1">
        <v>46111</v>
      </c>
      <c r="C4113" t="s">
        <v>1760</v>
      </c>
      <c r="D4113" t="s">
        <v>20</v>
      </c>
      <c r="E4113" t="s">
        <v>35</v>
      </c>
      <c r="F4113">
        <v>1</v>
      </c>
      <c r="G4113">
        <v>799</v>
      </c>
      <c r="H4113">
        <v>0.15</v>
      </c>
      <c r="I4113" t="s">
        <v>47</v>
      </c>
      <c r="J4113" t="s">
        <v>51</v>
      </c>
      <c r="K4113" t="s">
        <v>17</v>
      </c>
      <c r="L4113">
        <f>F4112*G4112*(1-H4112)</f>
        <v>1699.1499999999999</v>
      </c>
    </row>
    <row r="4114" spans="1:12">
      <c r="A4114" t="s">
        <v>4944</v>
      </c>
      <c r="B4114" s="1">
        <v>46101</v>
      </c>
      <c r="C4114" t="s">
        <v>180</v>
      </c>
      <c r="D4114" t="s">
        <v>59</v>
      </c>
      <c r="E4114" t="s">
        <v>14</v>
      </c>
      <c r="F4114">
        <v>5</v>
      </c>
      <c r="G4114">
        <v>999</v>
      </c>
      <c r="H4114">
        <v>0.05</v>
      </c>
      <c r="I4114" t="s">
        <v>32</v>
      </c>
      <c r="J4114" t="s">
        <v>28</v>
      </c>
      <c r="K4114" t="s">
        <v>17</v>
      </c>
      <c r="L4114">
        <f>F4113*G4113*(1-H4113)</f>
        <v>679.15</v>
      </c>
    </row>
    <row r="4115" spans="1:12">
      <c r="A4115" t="s">
        <v>4945</v>
      </c>
      <c r="B4115" s="1">
        <v>46081</v>
      </c>
      <c r="C4115" t="s">
        <v>590</v>
      </c>
      <c r="D4115" t="s">
        <v>20</v>
      </c>
      <c r="E4115" t="s">
        <v>27</v>
      </c>
      <c r="F4115">
        <v>2</v>
      </c>
      <c r="G4115">
        <v>2499</v>
      </c>
      <c r="H4115">
        <v>0</v>
      </c>
      <c r="I4115" t="s">
        <v>15</v>
      </c>
      <c r="J4115" t="s">
        <v>22</v>
      </c>
      <c r="K4115" t="s">
        <v>37</v>
      </c>
      <c r="L4115">
        <f>F4114*G4114*(1-H4114)</f>
        <v>4745.25</v>
      </c>
    </row>
    <row r="4116" spans="1:12">
      <c r="A4116" t="s">
        <v>4946</v>
      </c>
      <c r="B4116" s="1">
        <v>46231</v>
      </c>
      <c r="C4116" t="s">
        <v>333</v>
      </c>
      <c r="D4116" t="s">
        <v>26</v>
      </c>
      <c r="E4116" t="s">
        <v>27</v>
      </c>
      <c r="F4116">
        <v>2</v>
      </c>
      <c r="G4116">
        <v>599</v>
      </c>
      <c r="H4116">
        <v>0.15</v>
      </c>
      <c r="I4116" t="s">
        <v>32</v>
      </c>
      <c r="J4116" t="s">
        <v>22</v>
      </c>
      <c r="K4116" t="s">
        <v>17</v>
      </c>
      <c r="L4116">
        <f>F4115*G4115*(1-H4115)</f>
        <v>4998</v>
      </c>
    </row>
    <row r="4117" spans="1:12">
      <c r="A4117" t="s">
        <v>4947</v>
      </c>
      <c r="B4117" s="1">
        <v>46261</v>
      </c>
      <c r="C4117" t="s">
        <v>958</v>
      </c>
      <c r="D4117" t="s">
        <v>13</v>
      </c>
      <c r="E4117" t="s">
        <v>40</v>
      </c>
      <c r="F4117">
        <v>2</v>
      </c>
      <c r="G4117">
        <v>1999</v>
      </c>
      <c r="H4117">
        <v>0.15</v>
      </c>
      <c r="I4117" t="s">
        <v>15</v>
      </c>
      <c r="J4117" t="s">
        <v>36</v>
      </c>
      <c r="K4117" t="s">
        <v>23</v>
      </c>
      <c r="L4117">
        <f>F4116*G4116*(1-H4116)</f>
        <v>1018.3</v>
      </c>
    </row>
    <row r="4118" spans="1:12">
      <c r="A4118" t="s">
        <v>4948</v>
      </c>
      <c r="B4118" s="1">
        <v>46111</v>
      </c>
      <c r="C4118" t="s">
        <v>255</v>
      </c>
      <c r="D4118" t="s">
        <v>59</v>
      </c>
      <c r="E4118" t="s">
        <v>21</v>
      </c>
      <c r="F4118">
        <v>4</v>
      </c>
      <c r="G4118">
        <v>4999</v>
      </c>
      <c r="H4118">
        <v>0</v>
      </c>
      <c r="I4118" t="s">
        <v>44</v>
      </c>
      <c r="J4118" t="s">
        <v>51</v>
      </c>
      <c r="K4118" t="s">
        <v>17</v>
      </c>
      <c r="L4118">
        <f>F4117*G4117*(1-H4117)</f>
        <v>3398.2999999999997</v>
      </c>
    </row>
    <row r="4119" spans="1:12">
      <c r="A4119" t="s">
        <v>4949</v>
      </c>
      <c r="B4119" s="1">
        <v>46184</v>
      </c>
      <c r="C4119" t="s">
        <v>1533</v>
      </c>
      <c r="D4119" t="s">
        <v>43</v>
      </c>
      <c r="E4119" t="s">
        <v>21</v>
      </c>
      <c r="F4119">
        <v>1</v>
      </c>
      <c r="G4119">
        <v>599</v>
      </c>
      <c r="H4119">
        <v>0.15</v>
      </c>
      <c r="I4119" t="s">
        <v>15</v>
      </c>
      <c r="J4119" t="s">
        <v>28</v>
      </c>
      <c r="K4119" t="s">
        <v>23</v>
      </c>
      <c r="L4119">
        <f>F4118*G4118*(1-H4118)</f>
        <v>19996</v>
      </c>
    </row>
    <row r="4120" spans="1:12">
      <c r="A4120" t="s">
        <v>4950</v>
      </c>
      <c r="B4120" s="1">
        <v>46048</v>
      </c>
      <c r="C4120" t="s">
        <v>1561</v>
      </c>
      <c r="D4120" t="s">
        <v>62</v>
      </c>
      <c r="E4120" t="s">
        <v>21</v>
      </c>
      <c r="F4120">
        <v>3</v>
      </c>
      <c r="G4120">
        <v>2499</v>
      </c>
      <c r="H4120">
        <v>0.15</v>
      </c>
      <c r="I4120" t="s">
        <v>44</v>
      </c>
      <c r="J4120" t="s">
        <v>28</v>
      </c>
      <c r="K4120" t="s">
        <v>17</v>
      </c>
      <c r="L4120">
        <f>F4119*G4119*(1-H4119)</f>
        <v>509.15</v>
      </c>
    </row>
    <row r="4121" spans="1:12">
      <c r="A4121" t="s">
        <v>4951</v>
      </c>
      <c r="B4121" s="1">
        <v>46078</v>
      </c>
      <c r="C4121" t="s">
        <v>211</v>
      </c>
      <c r="D4121" t="s">
        <v>43</v>
      </c>
      <c r="E4121" t="s">
        <v>27</v>
      </c>
      <c r="F4121">
        <v>3</v>
      </c>
      <c r="G4121">
        <v>799</v>
      </c>
      <c r="H4121">
        <v>0.1</v>
      </c>
      <c r="I4121" t="s">
        <v>32</v>
      </c>
      <c r="J4121" t="s">
        <v>28</v>
      </c>
      <c r="K4121" t="s">
        <v>17</v>
      </c>
      <c r="L4121">
        <f>F4120*G4120*(1-H4120)</f>
        <v>6372.45</v>
      </c>
    </row>
    <row r="4122" spans="1:12">
      <c r="A4122" t="s">
        <v>4952</v>
      </c>
      <c r="B4122" s="1">
        <v>46068</v>
      </c>
      <c r="C4122" t="s">
        <v>261</v>
      </c>
      <c r="D4122" t="s">
        <v>59</v>
      </c>
      <c r="E4122" t="s">
        <v>35</v>
      </c>
      <c r="F4122">
        <v>1</v>
      </c>
      <c r="G4122">
        <v>2499</v>
      </c>
      <c r="H4122">
        <v>0</v>
      </c>
      <c r="I4122" t="s">
        <v>44</v>
      </c>
      <c r="J4122" t="s">
        <v>28</v>
      </c>
      <c r="K4122" t="s">
        <v>37</v>
      </c>
      <c r="L4122">
        <f>F4121*G4121*(1-H4121)</f>
        <v>2157.3000000000002</v>
      </c>
    </row>
    <row r="4123" spans="1:12">
      <c r="A4123" t="s">
        <v>4953</v>
      </c>
      <c r="B4123" s="1">
        <v>46130</v>
      </c>
      <c r="C4123" t="s">
        <v>2111</v>
      </c>
      <c r="D4123" t="s">
        <v>13</v>
      </c>
      <c r="E4123" t="s">
        <v>35</v>
      </c>
      <c r="F4123">
        <v>3</v>
      </c>
      <c r="G4123">
        <v>1499</v>
      </c>
      <c r="H4123">
        <v>0.1</v>
      </c>
      <c r="I4123" t="s">
        <v>50</v>
      </c>
      <c r="J4123" t="s">
        <v>16</v>
      </c>
      <c r="K4123" t="s">
        <v>37</v>
      </c>
      <c r="L4123">
        <f>F4122*G4122*(1-H4122)</f>
        <v>2499</v>
      </c>
    </row>
    <row r="4124" spans="1:12">
      <c r="A4124" t="s">
        <v>4954</v>
      </c>
      <c r="B4124" s="1">
        <v>46096</v>
      </c>
      <c r="C4124" t="s">
        <v>2777</v>
      </c>
      <c r="D4124" t="s">
        <v>62</v>
      </c>
      <c r="E4124" t="s">
        <v>14</v>
      </c>
      <c r="F4124">
        <v>1</v>
      </c>
      <c r="G4124">
        <v>999</v>
      </c>
      <c r="H4124">
        <v>0</v>
      </c>
      <c r="I4124" t="s">
        <v>44</v>
      </c>
      <c r="J4124" t="s">
        <v>22</v>
      </c>
      <c r="K4124" t="s">
        <v>23</v>
      </c>
      <c r="L4124">
        <f>F4123*G4123*(1-H4123)</f>
        <v>4047.3</v>
      </c>
    </row>
    <row r="4125" spans="1:12">
      <c r="A4125" t="s">
        <v>4955</v>
      </c>
      <c r="B4125" s="1">
        <v>46269</v>
      </c>
      <c r="C4125" t="s">
        <v>180</v>
      </c>
      <c r="D4125" t="s">
        <v>43</v>
      </c>
      <c r="E4125" t="s">
        <v>35</v>
      </c>
      <c r="F4125">
        <v>1</v>
      </c>
      <c r="G4125">
        <v>1499</v>
      </c>
      <c r="H4125">
        <v>0.05</v>
      </c>
      <c r="I4125" t="s">
        <v>50</v>
      </c>
      <c r="J4125" t="s">
        <v>36</v>
      </c>
      <c r="K4125" t="s">
        <v>17</v>
      </c>
      <c r="L4125">
        <f>F4124*G4124*(1-H4124)</f>
        <v>999</v>
      </c>
    </row>
    <row r="4126" spans="1:12">
      <c r="A4126" t="s">
        <v>4956</v>
      </c>
      <c r="B4126" s="1">
        <v>46132</v>
      </c>
      <c r="C4126" t="s">
        <v>464</v>
      </c>
      <c r="D4126" t="s">
        <v>13</v>
      </c>
      <c r="E4126" t="s">
        <v>35</v>
      </c>
      <c r="F4126">
        <v>3</v>
      </c>
      <c r="G4126">
        <v>4999</v>
      </c>
      <c r="H4126">
        <v>0.15</v>
      </c>
      <c r="I4126" t="s">
        <v>15</v>
      </c>
      <c r="J4126" t="s">
        <v>51</v>
      </c>
      <c r="K4126" t="s">
        <v>17</v>
      </c>
      <c r="L4126">
        <f>F4125*G4125*(1-H4125)</f>
        <v>1424.05</v>
      </c>
    </row>
    <row r="4127" spans="1:12">
      <c r="A4127" t="s">
        <v>4957</v>
      </c>
      <c r="B4127" s="1">
        <v>46232</v>
      </c>
      <c r="C4127" t="s">
        <v>432</v>
      </c>
      <c r="D4127" t="s">
        <v>43</v>
      </c>
      <c r="E4127" t="s">
        <v>40</v>
      </c>
      <c r="F4127">
        <v>4</v>
      </c>
      <c r="G4127">
        <v>1499</v>
      </c>
      <c r="H4127">
        <v>0</v>
      </c>
      <c r="I4127" t="s">
        <v>44</v>
      </c>
      <c r="J4127" t="s">
        <v>51</v>
      </c>
      <c r="K4127" t="s">
        <v>23</v>
      </c>
      <c r="L4127">
        <f>F4126*G4126*(1-H4126)</f>
        <v>12747.449999999999</v>
      </c>
    </row>
    <row r="4128" spans="1:12">
      <c r="A4128" t="s">
        <v>4958</v>
      </c>
      <c r="B4128" s="1">
        <v>46116</v>
      </c>
      <c r="C4128" t="s">
        <v>1291</v>
      </c>
      <c r="D4128" t="s">
        <v>31</v>
      </c>
      <c r="E4128" t="s">
        <v>40</v>
      </c>
      <c r="F4128">
        <v>5</v>
      </c>
      <c r="G4128">
        <v>7999</v>
      </c>
      <c r="H4128">
        <v>0</v>
      </c>
      <c r="I4128" t="s">
        <v>50</v>
      </c>
      <c r="J4128" t="s">
        <v>16</v>
      </c>
      <c r="K4128" t="s">
        <v>17</v>
      </c>
      <c r="L4128">
        <f>F4127*G4127*(1-H4127)</f>
        <v>5996</v>
      </c>
    </row>
    <row r="4129" spans="1:12">
      <c r="A4129" t="s">
        <v>4959</v>
      </c>
      <c r="B4129" s="1">
        <v>46124</v>
      </c>
      <c r="C4129" t="s">
        <v>199</v>
      </c>
      <c r="D4129" t="s">
        <v>20</v>
      </c>
      <c r="E4129" t="s">
        <v>40</v>
      </c>
      <c r="F4129">
        <v>5</v>
      </c>
      <c r="G4129">
        <v>7999</v>
      </c>
      <c r="H4129">
        <v>0.15</v>
      </c>
      <c r="I4129" t="s">
        <v>15</v>
      </c>
      <c r="J4129" t="s">
        <v>22</v>
      </c>
      <c r="K4129" t="s">
        <v>17</v>
      </c>
      <c r="L4129">
        <f>F4128*G4128*(1-H4128)</f>
        <v>39995</v>
      </c>
    </row>
    <row r="4130" spans="1:12">
      <c r="A4130" t="s">
        <v>4960</v>
      </c>
      <c r="B4130" s="1">
        <v>46209</v>
      </c>
      <c r="C4130" t="s">
        <v>361</v>
      </c>
      <c r="D4130" t="s">
        <v>31</v>
      </c>
      <c r="E4130" t="s">
        <v>21</v>
      </c>
      <c r="F4130">
        <v>1</v>
      </c>
      <c r="G4130">
        <v>1999</v>
      </c>
      <c r="H4130">
        <v>0.05</v>
      </c>
      <c r="I4130" t="s">
        <v>47</v>
      </c>
      <c r="J4130" t="s">
        <v>28</v>
      </c>
      <c r="K4130" t="s">
        <v>17</v>
      </c>
      <c r="L4130">
        <f>F4129*G4129*(1-H4129)</f>
        <v>33995.75</v>
      </c>
    </row>
    <row r="4131" spans="1:12">
      <c r="A4131" t="s">
        <v>4961</v>
      </c>
      <c r="B4131" s="1">
        <v>46145</v>
      </c>
      <c r="C4131" t="s">
        <v>1737</v>
      </c>
      <c r="D4131" t="s">
        <v>31</v>
      </c>
      <c r="E4131" t="s">
        <v>14</v>
      </c>
      <c r="F4131">
        <v>4</v>
      </c>
      <c r="G4131">
        <v>2499</v>
      </c>
      <c r="H4131">
        <v>0.1</v>
      </c>
      <c r="I4131" t="s">
        <v>44</v>
      </c>
      <c r="J4131" t="s">
        <v>22</v>
      </c>
      <c r="K4131" t="s">
        <v>17</v>
      </c>
      <c r="L4131">
        <f>F4130*G4130*(1-H4130)</f>
        <v>1899.05</v>
      </c>
    </row>
    <row r="4132" spans="1:12">
      <c r="A4132" t="s">
        <v>4962</v>
      </c>
      <c r="B4132" s="1">
        <v>46177</v>
      </c>
      <c r="C4132" t="s">
        <v>3672</v>
      </c>
      <c r="D4132" t="s">
        <v>43</v>
      </c>
      <c r="E4132" t="s">
        <v>40</v>
      </c>
      <c r="F4132">
        <v>1</v>
      </c>
      <c r="G4132">
        <v>1499</v>
      </c>
      <c r="H4132">
        <v>0</v>
      </c>
      <c r="I4132" t="s">
        <v>47</v>
      </c>
      <c r="J4132" t="s">
        <v>22</v>
      </c>
      <c r="K4132" t="s">
        <v>17</v>
      </c>
      <c r="L4132">
        <f>F4131*G4131*(1-H4131)</f>
        <v>8996.4</v>
      </c>
    </row>
    <row r="4133" spans="1:12">
      <c r="A4133" t="s">
        <v>4963</v>
      </c>
      <c r="B4133" s="1">
        <v>46241</v>
      </c>
      <c r="C4133" t="s">
        <v>1530</v>
      </c>
      <c r="D4133" t="s">
        <v>26</v>
      </c>
      <c r="E4133" t="s">
        <v>35</v>
      </c>
      <c r="F4133">
        <v>1</v>
      </c>
      <c r="G4133">
        <v>4999</v>
      </c>
      <c r="H4133">
        <v>0</v>
      </c>
      <c r="I4133" t="s">
        <v>15</v>
      </c>
      <c r="J4133" t="s">
        <v>16</v>
      </c>
      <c r="K4133" t="s">
        <v>17</v>
      </c>
      <c r="L4133">
        <f>F4132*G4132*(1-H4132)</f>
        <v>1499</v>
      </c>
    </row>
    <row r="4134" spans="1:12">
      <c r="A4134" t="s">
        <v>4964</v>
      </c>
      <c r="B4134" s="1">
        <v>46165</v>
      </c>
      <c r="C4134" t="s">
        <v>336</v>
      </c>
      <c r="D4134" t="s">
        <v>71</v>
      </c>
      <c r="E4134" t="s">
        <v>27</v>
      </c>
      <c r="F4134">
        <v>5</v>
      </c>
      <c r="G4134">
        <v>4999</v>
      </c>
      <c r="H4134">
        <v>0</v>
      </c>
      <c r="I4134" t="s">
        <v>15</v>
      </c>
      <c r="J4134" t="s">
        <v>36</v>
      </c>
      <c r="K4134" t="s">
        <v>17</v>
      </c>
      <c r="L4134">
        <f>F4133*G4133*(1-H4133)</f>
        <v>4999</v>
      </c>
    </row>
    <row r="4135" spans="1:12">
      <c r="A4135" t="s">
        <v>4965</v>
      </c>
      <c r="B4135" s="1">
        <v>46106</v>
      </c>
      <c r="C4135" t="s">
        <v>1324</v>
      </c>
      <c r="D4135" t="s">
        <v>71</v>
      </c>
      <c r="E4135" t="s">
        <v>21</v>
      </c>
      <c r="F4135">
        <v>2</v>
      </c>
      <c r="G4135">
        <v>4999</v>
      </c>
      <c r="H4135">
        <v>0.05</v>
      </c>
      <c r="I4135" t="s">
        <v>50</v>
      </c>
      <c r="J4135" t="s">
        <v>22</v>
      </c>
      <c r="K4135" t="s">
        <v>23</v>
      </c>
      <c r="L4135">
        <f>F4134*G4134*(1-H4134)</f>
        <v>24995</v>
      </c>
    </row>
    <row r="4136" spans="1:12">
      <c r="A4136" t="s">
        <v>4966</v>
      </c>
      <c r="B4136" s="1">
        <v>46170</v>
      </c>
      <c r="C4136" t="s">
        <v>1444</v>
      </c>
      <c r="D4136" t="s">
        <v>20</v>
      </c>
      <c r="E4136" t="s">
        <v>27</v>
      </c>
      <c r="F4136">
        <v>5</v>
      </c>
      <c r="G4136">
        <v>4999</v>
      </c>
      <c r="H4136">
        <v>0</v>
      </c>
      <c r="I4136" t="s">
        <v>47</v>
      </c>
      <c r="J4136" t="s">
        <v>28</v>
      </c>
      <c r="K4136" t="s">
        <v>17</v>
      </c>
      <c r="L4136">
        <f>F4135*G4135*(1-H4135)</f>
        <v>9498.1</v>
      </c>
    </row>
    <row r="4137" spans="1:12">
      <c r="A4137" t="s">
        <v>4967</v>
      </c>
      <c r="B4137" s="1">
        <v>46079</v>
      </c>
      <c r="C4137" t="s">
        <v>1566</v>
      </c>
      <c r="D4137" t="s">
        <v>26</v>
      </c>
      <c r="E4137" t="s">
        <v>40</v>
      </c>
      <c r="F4137">
        <v>1</v>
      </c>
      <c r="G4137">
        <v>1299</v>
      </c>
      <c r="H4137">
        <v>0.1</v>
      </c>
      <c r="I4137" t="s">
        <v>50</v>
      </c>
      <c r="J4137" t="s">
        <v>22</v>
      </c>
      <c r="K4137" t="s">
        <v>23</v>
      </c>
      <c r="L4137">
        <f>F4136*G4136*(1-H4136)</f>
        <v>24995</v>
      </c>
    </row>
    <row r="4138" spans="1:12">
      <c r="A4138" t="s">
        <v>4968</v>
      </c>
      <c r="B4138" s="1">
        <v>46130</v>
      </c>
      <c r="C4138" t="s">
        <v>277</v>
      </c>
      <c r="D4138" t="s">
        <v>43</v>
      </c>
      <c r="E4138" t="s">
        <v>40</v>
      </c>
      <c r="F4138">
        <v>4</v>
      </c>
      <c r="G4138">
        <v>599</v>
      </c>
      <c r="H4138">
        <v>0.1</v>
      </c>
      <c r="I4138" t="s">
        <v>15</v>
      </c>
      <c r="J4138" t="s">
        <v>36</v>
      </c>
      <c r="K4138" t="s">
        <v>17</v>
      </c>
      <c r="L4138">
        <f>F4137*G4137*(1-H4137)</f>
        <v>1169.1000000000001</v>
      </c>
    </row>
    <row r="4139" spans="1:12">
      <c r="A4139" t="s">
        <v>4969</v>
      </c>
      <c r="B4139" s="1">
        <v>46165</v>
      </c>
      <c r="C4139" t="s">
        <v>1112</v>
      </c>
      <c r="D4139" t="s">
        <v>31</v>
      </c>
      <c r="E4139" t="s">
        <v>21</v>
      </c>
      <c r="F4139">
        <v>5</v>
      </c>
      <c r="G4139">
        <v>499</v>
      </c>
      <c r="H4139">
        <v>0.05</v>
      </c>
      <c r="I4139" t="s">
        <v>32</v>
      </c>
      <c r="J4139" t="s">
        <v>36</v>
      </c>
      <c r="K4139" t="s">
        <v>37</v>
      </c>
      <c r="L4139">
        <f>F4138*G4138*(1-H4138)</f>
        <v>2156.4</v>
      </c>
    </row>
    <row r="4140" spans="1:12">
      <c r="A4140" t="s">
        <v>4970</v>
      </c>
      <c r="B4140" s="1">
        <v>46100</v>
      </c>
      <c r="C4140" t="s">
        <v>1898</v>
      </c>
      <c r="D4140" t="s">
        <v>26</v>
      </c>
      <c r="E4140" t="s">
        <v>21</v>
      </c>
      <c r="F4140">
        <v>5</v>
      </c>
      <c r="G4140">
        <v>999</v>
      </c>
      <c r="H4140">
        <v>0.15</v>
      </c>
      <c r="I4140" t="s">
        <v>50</v>
      </c>
      <c r="J4140" t="s">
        <v>16</v>
      </c>
      <c r="K4140" t="s">
        <v>17</v>
      </c>
      <c r="L4140">
        <f>F4139*G4139*(1-H4139)</f>
        <v>2370.25</v>
      </c>
    </row>
    <row r="4141" spans="1:12">
      <c r="A4141" t="s">
        <v>4971</v>
      </c>
      <c r="B4141" s="1">
        <v>46210</v>
      </c>
      <c r="C4141" t="s">
        <v>1136</v>
      </c>
      <c r="D4141" t="s">
        <v>56</v>
      </c>
      <c r="E4141" t="s">
        <v>21</v>
      </c>
      <c r="F4141">
        <v>4</v>
      </c>
      <c r="G4141">
        <v>4999</v>
      </c>
      <c r="H4141">
        <v>0</v>
      </c>
      <c r="I4141" t="s">
        <v>47</v>
      </c>
      <c r="J4141" t="s">
        <v>28</v>
      </c>
      <c r="K4141" t="s">
        <v>17</v>
      </c>
      <c r="L4141">
        <f>F4140*G4140*(1-H4140)</f>
        <v>4245.75</v>
      </c>
    </row>
    <row r="4142" spans="1:12">
      <c r="A4142" t="s">
        <v>4972</v>
      </c>
      <c r="B4142" s="1">
        <v>46256</v>
      </c>
      <c r="C4142" t="s">
        <v>1903</v>
      </c>
      <c r="D4142" t="s">
        <v>62</v>
      </c>
      <c r="E4142" t="s">
        <v>27</v>
      </c>
      <c r="F4142">
        <v>4</v>
      </c>
      <c r="G4142">
        <v>2499</v>
      </c>
      <c r="H4142">
        <v>0</v>
      </c>
      <c r="I4142" t="s">
        <v>50</v>
      </c>
      <c r="J4142" t="s">
        <v>16</v>
      </c>
      <c r="K4142" t="s">
        <v>17</v>
      </c>
      <c r="L4142">
        <f>F4141*G4141*(1-H4141)</f>
        <v>19996</v>
      </c>
    </row>
    <row r="4143" spans="1:12">
      <c r="A4143" t="s">
        <v>4973</v>
      </c>
      <c r="B4143" s="1">
        <v>46148</v>
      </c>
      <c r="C4143" t="s">
        <v>3734</v>
      </c>
      <c r="D4143" t="s">
        <v>13</v>
      </c>
      <c r="E4143" t="s">
        <v>27</v>
      </c>
      <c r="F4143">
        <v>2</v>
      </c>
      <c r="G4143">
        <v>799</v>
      </c>
      <c r="H4143">
        <v>0.1</v>
      </c>
      <c r="I4143" t="s">
        <v>32</v>
      </c>
      <c r="J4143" t="s">
        <v>51</v>
      </c>
      <c r="K4143" t="s">
        <v>23</v>
      </c>
      <c r="L4143">
        <f>F4142*G4142*(1-H4142)</f>
        <v>9996</v>
      </c>
    </row>
    <row r="4144" spans="1:12">
      <c r="A4144" t="s">
        <v>4974</v>
      </c>
      <c r="B4144" s="1">
        <v>46121</v>
      </c>
      <c r="C4144" t="s">
        <v>1316</v>
      </c>
      <c r="D4144" t="s">
        <v>43</v>
      </c>
      <c r="E4144" t="s">
        <v>40</v>
      </c>
      <c r="F4144">
        <v>1</v>
      </c>
      <c r="G4144">
        <v>4999</v>
      </c>
      <c r="H4144">
        <v>0.15</v>
      </c>
      <c r="I4144" t="s">
        <v>32</v>
      </c>
      <c r="J4144" t="s">
        <v>16</v>
      </c>
      <c r="K4144" t="s">
        <v>17</v>
      </c>
      <c r="L4144">
        <f>F4143*G4143*(1-H4143)</f>
        <v>1438.2</v>
      </c>
    </row>
    <row r="4145" spans="1:12">
      <c r="A4145" t="s">
        <v>4975</v>
      </c>
      <c r="B4145" s="1">
        <v>46280</v>
      </c>
      <c r="C4145" t="s">
        <v>2277</v>
      </c>
      <c r="D4145" t="s">
        <v>31</v>
      </c>
      <c r="E4145" t="s">
        <v>40</v>
      </c>
      <c r="F4145">
        <v>5</v>
      </c>
      <c r="G4145">
        <v>1999</v>
      </c>
      <c r="H4145">
        <v>0.15</v>
      </c>
      <c r="I4145" t="s">
        <v>47</v>
      </c>
      <c r="J4145" t="s">
        <v>16</v>
      </c>
      <c r="K4145" t="s">
        <v>37</v>
      </c>
      <c r="L4145">
        <f>F4144*G4144*(1-H4144)</f>
        <v>4249.1499999999996</v>
      </c>
    </row>
    <row r="4146" spans="1:12">
      <c r="A4146" t="s">
        <v>4976</v>
      </c>
      <c r="B4146" s="1">
        <v>46059</v>
      </c>
      <c r="C4146" t="s">
        <v>1244</v>
      </c>
      <c r="D4146" t="s">
        <v>62</v>
      </c>
      <c r="E4146" t="s">
        <v>21</v>
      </c>
      <c r="F4146">
        <v>1</v>
      </c>
      <c r="G4146">
        <v>499</v>
      </c>
      <c r="H4146">
        <v>0.05</v>
      </c>
      <c r="I4146" t="s">
        <v>32</v>
      </c>
      <c r="J4146" t="s">
        <v>36</v>
      </c>
      <c r="K4146" t="s">
        <v>17</v>
      </c>
      <c r="L4146">
        <f>F4145*G4145*(1-H4145)</f>
        <v>8495.75</v>
      </c>
    </row>
    <row r="4147" spans="1:12">
      <c r="A4147" t="s">
        <v>4977</v>
      </c>
      <c r="B4147" s="1">
        <v>46208</v>
      </c>
      <c r="C4147" t="s">
        <v>1968</v>
      </c>
      <c r="D4147" t="s">
        <v>13</v>
      </c>
      <c r="E4147" t="s">
        <v>40</v>
      </c>
      <c r="F4147">
        <v>1</v>
      </c>
      <c r="G4147">
        <v>499</v>
      </c>
      <c r="H4147">
        <v>0.05</v>
      </c>
      <c r="I4147" t="s">
        <v>50</v>
      </c>
      <c r="J4147" t="s">
        <v>51</v>
      </c>
      <c r="K4147" t="s">
        <v>37</v>
      </c>
      <c r="L4147">
        <f>F4146*G4146*(1-H4146)</f>
        <v>474.04999999999995</v>
      </c>
    </row>
    <row r="4148" spans="1:12">
      <c r="A4148" t="s">
        <v>4978</v>
      </c>
      <c r="B4148" s="1">
        <v>46219</v>
      </c>
      <c r="C4148" t="s">
        <v>1196</v>
      </c>
      <c r="D4148" t="s">
        <v>26</v>
      </c>
      <c r="E4148" t="s">
        <v>14</v>
      </c>
      <c r="F4148">
        <v>1</v>
      </c>
      <c r="G4148">
        <v>1999</v>
      </c>
      <c r="H4148">
        <v>0</v>
      </c>
      <c r="I4148" t="s">
        <v>44</v>
      </c>
      <c r="J4148" t="s">
        <v>28</v>
      </c>
      <c r="K4148" t="s">
        <v>17</v>
      </c>
      <c r="L4148">
        <f>F4147*G4147*(1-H4147)</f>
        <v>474.04999999999995</v>
      </c>
    </row>
    <row r="4149" spans="1:12">
      <c r="A4149" t="s">
        <v>4979</v>
      </c>
      <c r="B4149" s="1">
        <v>46203</v>
      </c>
      <c r="C4149" t="s">
        <v>498</v>
      </c>
      <c r="D4149" t="s">
        <v>71</v>
      </c>
      <c r="E4149" t="s">
        <v>40</v>
      </c>
      <c r="F4149">
        <v>3</v>
      </c>
      <c r="G4149">
        <v>499</v>
      </c>
      <c r="H4149">
        <v>0.15</v>
      </c>
      <c r="I4149" t="s">
        <v>50</v>
      </c>
      <c r="J4149" t="s">
        <v>36</v>
      </c>
      <c r="K4149" t="s">
        <v>17</v>
      </c>
      <c r="L4149">
        <f>F4148*G4148*(1-H4148)</f>
        <v>1999</v>
      </c>
    </row>
    <row r="4150" spans="1:12">
      <c r="A4150" t="s">
        <v>4980</v>
      </c>
      <c r="B4150" s="1">
        <v>46076</v>
      </c>
      <c r="C4150" t="s">
        <v>1167</v>
      </c>
      <c r="D4150" t="s">
        <v>20</v>
      </c>
      <c r="E4150" t="s">
        <v>35</v>
      </c>
      <c r="F4150">
        <v>1</v>
      </c>
      <c r="G4150">
        <v>799</v>
      </c>
      <c r="H4150">
        <v>0.15</v>
      </c>
      <c r="I4150" t="s">
        <v>47</v>
      </c>
      <c r="J4150" t="s">
        <v>28</v>
      </c>
      <c r="K4150" t="s">
        <v>17</v>
      </c>
      <c r="L4150">
        <f>F4149*G4149*(1-H4149)</f>
        <v>1272.45</v>
      </c>
    </row>
    <row r="4151" spans="1:12">
      <c r="A4151" t="s">
        <v>4981</v>
      </c>
      <c r="B4151" s="1">
        <v>46108</v>
      </c>
      <c r="C4151" t="s">
        <v>1169</v>
      </c>
      <c r="D4151" t="s">
        <v>71</v>
      </c>
      <c r="E4151" t="s">
        <v>21</v>
      </c>
      <c r="F4151">
        <v>5</v>
      </c>
      <c r="G4151">
        <v>1999</v>
      </c>
      <c r="H4151">
        <v>0.05</v>
      </c>
      <c r="I4151" t="s">
        <v>32</v>
      </c>
      <c r="J4151" t="s">
        <v>22</v>
      </c>
      <c r="K4151" t="s">
        <v>37</v>
      </c>
      <c r="L4151">
        <f>F4150*G4150*(1-H4150)</f>
        <v>679.15</v>
      </c>
    </row>
    <row r="4152" spans="1:12">
      <c r="A4152" t="s">
        <v>4982</v>
      </c>
      <c r="B4152" s="1">
        <v>46279</v>
      </c>
      <c r="C4152" t="s">
        <v>1497</v>
      </c>
      <c r="D4152" t="s">
        <v>31</v>
      </c>
      <c r="E4152" t="s">
        <v>40</v>
      </c>
      <c r="F4152">
        <v>5</v>
      </c>
      <c r="G4152">
        <v>799</v>
      </c>
      <c r="H4152">
        <v>0</v>
      </c>
      <c r="I4152" t="s">
        <v>15</v>
      </c>
      <c r="J4152" t="s">
        <v>36</v>
      </c>
      <c r="K4152" t="s">
        <v>23</v>
      </c>
      <c r="L4152">
        <f>F4151*G4151*(1-H4151)</f>
        <v>9495.25</v>
      </c>
    </row>
    <row r="4153" spans="1:12">
      <c r="A4153" t="s">
        <v>4983</v>
      </c>
      <c r="B4153" s="1">
        <v>46091</v>
      </c>
      <c r="C4153" t="s">
        <v>1110</v>
      </c>
      <c r="D4153" t="s">
        <v>13</v>
      </c>
      <c r="E4153" t="s">
        <v>35</v>
      </c>
      <c r="F4153">
        <v>2</v>
      </c>
      <c r="G4153">
        <v>7999</v>
      </c>
      <c r="H4153">
        <v>0.05</v>
      </c>
      <c r="I4153" t="s">
        <v>32</v>
      </c>
      <c r="J4153" t="s">
        <v>36</v>
      </c>
      <c r="K4153" t="s">
        <v>17</v>
      </c>
      <c r="L4153">
        <f>F4152*G4152*(1-H4152)</f>
        <v>3995</v>
      </c>
    </row>
    <row r="4154" spans="1:12">
      <c r="A4154" t="s">
        <v>4984</v>
      </c>
      <c r="B4154" s="1">
        <v>46189</v>
      </c>
      <c r="C4154" t="s">
        <v>1218</v>
      </c>
      <c r="D4154" t="s">
        <v>13</v>
      </c>
      <c r="E4154" t="s">
        <v>14</v>
      </c>
      <c r="F4154">
        <v>2</v>
      </c>
      <c r="G4154">
        <v>1299</v>
      </c>
      <c r="H4154">
        <v>0.15</v>
      </c>
      <c r="I4154" t="s">
        <v>47</v>
      </c>
      <c r="J4154" t="s">
        <v>16</v>
      </c>
      <c r="K4154" t="s">
        <v>17</v>
      </c>
      <c r="L4154">
        <f>F4153*G4153*(1-H4153)</f>
        <v>15198.099999999999</v>
      </c>
    </row>
    <row r="4155" spans="1:12">
      <c r="A4155" t="s">
        <v>4985</v>
      </c>
      <c r="B4155" s="1">
        <v>46193</v>
      </c>
      <c r="C4155" t="s">
        <v>1042</v>
      </c>
      <c r="D4155" t="s">
        <v>78</v>
      </c>
      <c r="E4155" t="s">
        <v>27</v>
      </c>
      <c r="F4155">
        <v>1</v>
      </c>
      <c r="G4155">
        <v>1299</v>
      </c>
      <c r="H4155">
        <v>0</v>
      </c>
      <c r="I4155" t="s">
        <v>44</v>
      </c>
      <c r="J4155" t="s">
        <v>51</v>
      </c>
      <c r="K4155" t="s">
        <v>23</v>
      </c>
      <c r="L4155">
        <f>F4154*G4154*(1-H4154)</f>
        <v>2208.2999999999997</v>
      </c>
    </row>
    <row r="4156" spans="1:12">
      <c r="A4156" t="s">
        <v>4986</v>
      </c>
      <c r="B4156" s="1">
        <v>46214</v>
      </c>
      <c r="C4156" t="s">
        <v>1887</v>
      </c>
      <c r="D4156" t="s">
        <v>62</v>
      </c>
      <c r="E4156" t="s">
        <v>21</v>
      </c>
      <c r="F4156">
        <v>3</v>
      </c>
      <c r="G4156">
        <v>1999</v>
      </c>
      <c r="H4156">
        <v>0.05</v>
      </c>
      <c r="I4156" t="s">
        <v>50</v>
      </c>
      <c r="J4156" t="s">
        <v>36</v>
      </c>
      <c r="K4156" t="s">
        <v>23</v>
      </c>
      <c r="L4156">
        <f>F4155*G4155*(1-H4155)</f>
        <v>1299</v>
      </c>
    </row>
    <row r="4157" spans="1:12">
      <c r="A4157" t="s">
        <v>4987</v>
      </c>
      <c r="B4157" s="1">
        <v>46163</v>
      </c>
      <c r="C4157" t="s">
        <v>1627</v>
      </c>
      <c r="D4157" t="s">
        <v>13</v>
      </c>
      <c r="E4157" t="s">
        <v>27</v>
      </c>
      <c r="F4157">
        <v>4</v>
      </c>
      <c r="G4157">
        <v>2499</v>
      </c>
      <c r="H4157">
        <v>0.1</v>
      </c>
      <c r="I4157" t="s">
        <v>32</v>
      </c>
      <c r="J4157" t="s">
        <v>22</v>
      </c>
      <c r="K4157" t="s">
        <v>17</v>
      </c>
      <c r="L4157">
        <f>F4156*G4156*(1-H4156)</f>
        <v>5697.15</v>
      </c>
    </row>
    <row r="4158" spans="1:12">
      <c r="A4158" t="s">
        <v>4988</v>
      </c>
      <c r="B4158" s="1">
        <v>46206</v>
      </c>
      <c r="C4158" t="s">
        <v>1372</v>
      </c>
      <c r="D4158" t="s">
        <v>31</v>
      </c>
      <c r="E4158" t="s">
        <v>40</v>
      </c>
      <c r="F4158">
        <v>4</v>
      </c>
      <c r="G4158">
        <v>1299</v>
      </c>
      <c r="H4158">
        <v>0</v>
      </c>
      <c r="I4158" t="s">
        <v>44</v>
      </c>
      <c r="J4158" t="s">
        <v>16</v>
      </c>
      <c r="K4158" t="s">
        <v>37</v>
      </c>
      <c r="L4158">
        <f>F4157*G4157*(1-H4157)</f>
        <v>8996.4</v>
      </c>
    </row>
    <row r="4159" spans="1:12">
      <c r="A4159" t="s">
        <v>4989</v>
      </c>
      <c r="B4159" s="1">
        <v>46133</v>
      </c>
      <c r="C4159" t="s">
        <v>2032</v>
      </c>
      <c r="D4159" t="s">
        <v>20</v>
      </c>
      <c r="E4159" t="s">
        <v>14</v>
      </c>
      <c r="F4159">
        <v>5</v>
      </c>
      <c r="G4159">
        <v>599</v>
      </c>
      <c r="H4159">
        <v>0.05</v>
      </c>
      <c r="I4159" t="s">
        <v>47</v>
      </c>
      <c r="J4159" t="s">
        <v>36</v>
      </c>
      <c r="K4159" t="s">
        <v>17</v>
      </c>
      <c r="L4159">
        <f>F4158*G4158*(1-H4158)</f>
        <v>5196</v>
      </c>
    </row>
    <row r="4160" spans="1:12">
      <c r="A4160" t="s">
        <v>4990</v>
      </c>
      <c r="B4160" s="1">
        <v>46217</v>
      </c>
      <c r="C4160" t="s">
        <v>415</v>
      </c>
      <c r="D4160" t="s">
        <v>43</v>
      </c>
      <c r="E4160" t="s">
        <v>35</v>
      </c>
      <c r="F4160">
        <v>4</v>
      </c>
      <c r="G4160">
        <v>7999</v>
      </c>
      <c r="H4160">
        <v>0</v>
      </c>
      <c r="I4160" t="s">
        <v>15</v>
      </c>
      <c r="J4160" t="s">
        <v>22</v>
      </c>
      <c r="K4160" t="s">
        <v>17</v>
      </c>
      <c r="L4160">
        <f>F4159*G4159*(1-H4159)</f>
        <v>2845.25</v>
      </c>
    </row>
    <row r="4161" spans="1:12">
      <c r="A4161" t="s">
        <v>4991</v>
      </c>
      <c r="B4161" s="1">
        <v>46134</v>
      </c>
      <c r="C4161" t="s">
        <v>826</v>
      </c>
      <c r="D4161" t="s">
        <v>62</v>
      </c>
      <c r="E4161" t="s">
        <v>40</v>
      </c>
      <c r="F4161">
        <v>4</v>
      </c>
      <c r="G4161">
        <v>499</v>
      </c>
      <c r="H4161">
        <v>0.1</v>
      </c>
      <c r="I4161" t="s">
        <v>32</v>
      </c>
      <c r="J4161" t="s">
        <v>28</v>
      </c>
      <c r="K4161" t="s">
        <v>17</v>
      </c>
      <c r="L4161">
        <f>F4160*G4160*(1-H4160)</f>
        <v>31996</v>
      </c>
    </row>
    <row r="4162" spans="1:12">
      <c r="A4162" t="s">
        <v>4992</v>
      </c>
      <c r="B4162" s="1">
        <v>46155</v>
      </c>
      <c r="C4162" t="s">
        <v>1128</v>
      </c>
      <c r="D4162" t="s">
        <v>13</v>
      </c>
      <c r="E4162" t="s">
        <v>21</v>
      </c>
      <c r="F4162">
        <v>5</v>
      </c>
      <c r="G4162">
        <v>1299</v>
      </c>
      <c r="H4162">
        <v>0.05</v>
      </c>
      <c r="I4162" t="s">
        <v>32</v>
      </c>
      <c r="J4162" t="s">
        <v>28</v>
      </c>
      <c r="K4162" t="s">
        <v>17</v>
      </c>
      <c r="L4162">
        <f>F4161*G4161*(1-H4161)</f>
        <v>1796.4</v>
      </c>
    </row>
    <row r="4163" spans="1:12">
      <c r="A4163" t="s">
        <v>4993</v>
      </c>
      <c r="B4163" s="1">
        <v>46154</v>
      </c>
      <c r="C4163" t="s">
        <v>646</v>
      </c>
      <c r="D4163" t="s">
        <v>71</v>
      </c>
      <c r="E4163" t="s">
        <v>40</v>
      </c>
      <c r="F4163">
        <v>3</v>
      </c>
      <c r="G4163">
        <v>799</v>
      </c>
      <c r="H4163">
        <v>0</v>
      </c>
      <c r="I4163" t="s">
        <v>50</v>
      </c>
      <c r="J4163" t="s">
        <v>22</v>
      </c>
      <c r="K4163" t="s">
        <v>17</v>
      </c>
      <c r="L4163">
        <f>F4162*G4162*(1-H4162)</f>
        <v>6170.25</v>
      </c>
    </row>
    <row r="4164" spans="1:12">
      <c r="A4164" t="s">
        <v>4994</v>
      </c>
      <c r="B4164" s="1">
        <v>46158</v>
      </c>
      <c r="C4164" t="s">
        <v>2603</v>
      </c>
      <c r="D4164" t="s">
        <v>59</v>
      </c>
      <c r="E4164" t="s">
        <v>21</v>
      </c>
      <c r="F4164">
        <v>5</v>
      </c>
      <c r="G4164">
        <v>1499</v>
      </c>
      <c r="H4164">
        <v>0</v>
      </c>
      <c r="I4164" t="s">
        <v>15</v>
      </c>
      <c r="J4164" t="s">
        <v>36</v>
      </c>
      <c r="K4164" t="s">
        <v>17</v>
      </c>
      <c r="L4164">
        <f>F4163*G4163*(1-H4163)</f>
        <v>2397</v>
      </c>
    </row>
    <row r="4165" spans="1:12">
      <c r="A4165" t="s">
        <v>4995</v>
      </c>
      <c r="B4165" s="1">
        <v>46153</v>
      </c>
      <c r="C4165" t="s">
        <v>92</v>
      </c>
      <c r="D4165" t="s">
        <v>26</v>
      </c>
      <c r="E4165" t="s">
        <v>35</v>
      </c>
      <c r="F4165">
        <v>2</v>
      </c>
      <c r="G4165">
        <v>499</v>
      </c>
      <c r="H4165">
        <v>0.15</v>
      </c>
      <c r="I4165" t="s">
        <v>47</v>
      </c>
      <c r="J4165" t="s">
        <v>51</v>
      </c>
      <c r="K4165" t="s">
        <v>17</v>
      </c>
      <c r="L4165">
        <f>F4164*G4164*(1-H4164)</f>
        <v>7495</v>
      </c>
    </row>
    <row r="4166" spans="1:12">
      <c r="A4166" t="s">
        <v>4996</v>
      </c>
      <c r="B4166" s="1">
        <v>46283</v>
      </c>
      <c r="C4166" t="s">
        <v>1066</v>
      </c>
      <c r="D4166" t="s">
        <v>13</v>
      </c>
      <c r="E4166" t="s">
        <v>27</v>
      </c>
      <c r="F4166">
        <v>4</v>
      </c>
      <c r="G4166">
        <v>1499</v>
      </c>
      <c r="H4166">
        <v>0</v>
      </c>
      <c r="I4166" t="s">
        <v>50</v>
      </c>
      <c r="J4166" t="s">
        <v>22</v>
      </c>
      <c r="K4166" t="s">
        <v>23</v>
      </c>
      <c r="L4166">
        <f>F4165*G4165*(1-H4165)</f>
        <v>848.3</v>
      </c>
    </row>
    <row r="4167" spans="1:12">
      <c r="A4167" t="s">
        <v>4997</v>
      </c>
      <c r="B4167" s="1">
        <v>46095</v>
      </c>
      <c r="C4167" t="s">
        <v>703</v>
      </c>
      <c r="D4167" t="s">
        <v>71</v>
      </c>
      <c r="E4167" t="s">
        <v>40</v>
      </c>
      <c r="F4167">
        <v>3</v>
      </c>
      <c r="G4167">
        <v>1999</v>
      </c>
      <c r="H4167">
        <v>0</v>
      </c>
      <c r="I4167" t="s">
        <v>44</v>
      </c>
      <c r="J4167" t="s">
        <v>16</v>
      </c>
      <c r="K4167" t="s">
        <v>17</v>
      </c>
      <c r="L4167">
        <f>F4166*G4166*(1-H4166)</f>
        <v>5996</v>
      </c>
    </row>
    <row r="4168" spans="1:12">
      <c r="A4168" t="s">
        <v>4998</v>
      </c>
      <c r="B4168" s="1">
        <v>46194</v>
      </c>
      <c r="C4168" t="s">
        <v>829</v>
      </c>
      <c r="D4168" t="s">
        <v>26</v>
      </c>
      <c r="E4168" t="s">
        <v>40</v>
      </c>
      <c r="F4168">
        <v>4</v>
      </c>
      <c r="G4168">
        <v>1299</v>
      </c>
      <c r="H4168">
        <v>0.1</v>
      </c>
      <c r="I4168" t="s">
        <v>32</v>
      </c>
      <c r="J4168" t="s">
        <v>28</v>
      </c>
      <c r="K4168" t="s">
        <v>17</v>
      </c>
      <c r="L4168">
        <f>F4167*G4167*(1-H4167)</f>
        <v>5997</v>
      </c>
    </row>
    <row r="4169" spans="1:12">
      <c r="A4169" t="s">
        <v>4999</v>
      </c>
      <c r="B4169" s="1">
        <v>46176</v>
      </c>
      <c r="C4169" t="s">
        <v>1176</v>
      </c>
      <c r="D4169" t="s">
        <v>56</v>
      </c>
      <c r="E4169" t="s">
        <v>21</v>
      </c>
      <c r="F4169">
        <v>3</v>
      </c>
      <c r="G4169">
        <v>799</v>
      </c>
      <c r="H4169">
        <v>0</v>
      </c>
      <c r="I4169" t="s">
        <v>47</v>
      </c>
      <c r="J4169" t="s">
        <v>28</v>
      </c>
      <c r="K4169" t="s">
        <v>17</v>
      </c>
      <c r="L4169">
        <f>F4168*G4168*(1-H4168)</f>
        <v>4676.4000000000005</v>
      </c>
    </row>
    <row r="4170" spans="1:12">
      <c r="A4170" t="s">
        <v>5000</v>
      </c>
      <c r="B4170" s="1">
        <v>46049</v>
      </c>
      <c r="C4170" t="s">
        <v>132</v>
      </c>
      <c r="D4170" t="s">
        <v>56</v>
      </c>
      <c r="E4170" t="s">
        <v>35</v>
      </c>
      <c r="F4170">
        <v>4</v>
      </c>
      <c r="G4170">
        <v>1999</v>
      </c>
      <c r="H4170">
        <v>0.1</v>
      </c>
      <c r="I4170" t="s">
        <v>44</v>
      </c>
      <c r="J4170" t="s">
        <v>36</v>
      </c>
      <c r="K4170" t="s">
        <v>17</v>
      </c>
      <c r="L4170">
        <f>F4169*G4169*(1-H4169)</f>
        <v>2397</v>
      </c>
    </row>
    <row r="4171" spans="1:12">
      <c r="A4171" t="s">
        <v>5001</v>
      </c>
      <c r="B4171" s="1">
        <v>46204</v>
      </c>
      <c r="C4171" t="s">
        <v>2463</v>
      </c>
      <c r="D4171" t="s">
        <v>62</v>
      </c>
      <c r="E4171" t="s">
        <v>35</v>
      </c>
      <c r="F4171">
        <v>2</v>
      </c>
      <c r="G4171">
        <v>2499</v>
      </c>
      <c r="H4171">
        <v>0.15</v>
      </c>
      <c r="I4171" t="s">
        <v>44</v>
      </c>
      <c r="J4171" t="s">
        <v>51</v>
      </c>
      <c r="K4171" t="s">
        <v>17</v>
      </c>
      <c r="L4171">
        <f>F4170*G4170*(1-H4170)</f>
        <v>7196.4000000000005</v>
      </c>
    </row>
    <row r="4172" spans="1:12">
      <c r="A4172" t="s">
        <v>5002</v>
      </c>
      <c r="B4172" s="1">
        <v>46239</v>
      </c>
      <c r="C4172" t="s">
        <v>308</v>
      </c>
      <c r="D4172" t="s">
        <v>71</v>
      </c>
      <c r="E4172" t="s">
        <v>27</v>
      </c>
      <c r="F4172">
        <v>2</v>
      </c>
      <c r="G4172">
        <v>999</v>
      </c>
      <c r="H4172">
        <v>0.05</v>
      </c>
      <c r="I4172" t="s">
        <v>44</v>
      </c>
      <c r="J4172" t="s">
        <v>28</v>
      </c>
      <c r="K4172" t="s">
        <v>17</v>
      </c>
      <c r="L4172">
        <f>F4171*G4171*(1-H4171)</f>
        <v>4248.3</v>
      </c>
    </row>
    <row r="4173" spans="1:12">
      <c r="A4173" t="s">
        <v>5003</v>
      </c>
      <c r="B4173" s="1">
        <v>46270</v>
      </c>
      <c r="C4173" t="s">
        <v>3000</v>
      </c>
      <c r="D4173" t="s">
        <v>78</v>
      </c>
      <c r="E4173" t="s">
        <v>35</v>
      </c>
      <c r="F4173">
        <v>2</v>
      </c>
      <c r="G4173">
        <v>999</v>
      </c>
      <c r="H4173">
        <v>0.15</v>
      </c>
      <c r="I4173" t="s">
        <v>50</v>
      </c>
      <c r="J4173" t="s">
        <v>28</v>
      </c>
      <c r="K4173" t="s">
        <v>17</v>
      </c>
      <c r="L4173">
        <f>F4172*G4172*(1-H4172)</f>
        <v>1898.1</v>
      </c>
    </row>
    <row r="4174" spans="1:12">
      <c r="A4174" t="s">
        <v>5004</v>
      </c>
      <c r="B4174" s="1">
        <v>46270</v>
      </c>
      <c r="C4174" t="s">
        <v>1956</v>
      </c>
      <c r="D4174" t="s">
        <v>71</v>
      </c>
      <c r="E4174" t="s">
        <v>27</v>
      </c>
      <c r="F4174">
        <v>4</v>
      </c>
      <c r="G4174">
        <v>1499</v>
      </c>
      <c r="H4174">
        <v>0.1</v>
      </c>
      <c r="I4174" t="s">
        <v>15</v>
      </c>
      <c r="J4174" t="s">
        <v>28</v>
      </c>
      <c r="K4174" t="s">
        <v>23</v>
      </c>
      <c r="L4174">
        <f>F4173*G4173*(1-H4173)</f>
        <v>1698.3</v>
      </c>
    </row>
    <row r="4175" spans="1:12">
      <c r="A4175" t="s">
        <v>5005</v>
      </c>
      <c r="B4175" s="1">
        <v>46230</v>
      </c>
      <c r="C4175" t="s">
        <v>893</v>
      </c>
      <c r="D4175" t="s">
        <v>59</v>
      </c>
      <c r="E4175" t="s">
        <v>40</v>
      </c>
      <c r="F4175">
        <v>3</v>
      </c>
      <c r="G4175">
        <v>499</v>
      </c>
      <c r="H4175">
        <v>0.1</v>
      </c>
      <c r="I4175" t="s">
        <v>15</v>
      </c>
      <c r="J4175" t="s">
        <v>51</v>
      </c>
      <c r="K4175" t="s">
        <v>23</v>
      </c>
      <c r="L4175">
        <f>F4174*G4174*(1-H4174)</f>
        <v>5396.4000000000005</v>
      </c>
    </row>
    <row r="4176" spans="1:12">
      <c r="A4176" t="s">
        <v>5006</v>
      </c>
      <c r="B4176" s="1">
        <v>46038</v>
      </c>
      <c r="C4176" t="s">
        <v>626</v>
      </c>
      <c r="D4176" t="s">
        <v>43</v>
      </c>
      <c r="E4176" t="s">
        <v>35</v>
      </c>
      <c r="F4176">
        <v>5</v>
      </c>
      <c r="G4176">
        <v>1999</v>
      </c>
      <c r="H4176">
        <v>0.05</v>
      </c>
      <c r="I4176" t="s">
        <v>50</v>
      </c>
      <c r="J4176" t="s">
        <v>16</v>
      </c>
      <c r="K4176" t="s">
        <v>17</v>
      </c>
      <c r="L4176">
        <f>F4175*G4175*(1-H4175)</f>
        <v>1347.3</v>
      </c>
    </row>
    <row r="4177" spans="1:12">
      <c r="A4177" t="s">
        <v>5007</v>
      </c>
      <c r="B4177" s="1">
        <v>46152</v>
      </c>
      <c r="C4177" t="s">
        <v>384</v>
      </c>
      <c r="D4177" t="s">
        <v>78</v>
      </c>
      <c r="E4177" t="s">
        <v>21</v>
      </c>
      <c r="F4177">
        <v>3</v>
      </c>
      <c r="G4177">
        <v>799</v>
      </c>
      <c r="H4177">
        <v>0</v>
      </c>
      <c r="I4177" t="s">
        <v>15</v>
      </c>
      <c r="J4177" t="s">
        <v>51</v>
      </c>
      <c r="K4177" t="s">
        <v>17</v>
      </c>
      <c r="L4177">
        <f>F4176*G4176*(1-H4176)</f>
        <v>9495.25</v>
      </c>
    </row>
    <row r="4178" spans="1:12">
      <c r="A4178" t="s">
        <v>5008</v>
      </c>
      <c r="B4178" s="1">
        <v>46083</v>
      </c>
      <c r="C4178" t="s">
        <v>685</v>
      </c>
      <c r="D4178" t="s">
        <v>20</v>
      </c>
      <c r="E4178" t="s">
        <v>40</v>
      </c>
      <c r="F4178">
        <v>2</v>
      </c>
      <c r="G4178">
        <v>499</v>
      </c>
      <c r="H4178">
        <v>0.1</v>
      </c>
      <c r="I4178" t="s">
        <v>47</v>
      </c>
      <c r="J4178" t="s">
        <v>36</v>
      </c>
      <c r="K4178" t="s">
        <v>17</v>
      </c>
      <c r="L4178">
        <f>F4177*G4177*(1-H4177)</f>
        <v>2397</v>
      </c>
    </row>
    <row r="4179" spans="1:12">
      <c r="A4179" t="s">
        <v>5009</v>
      </c>
      <c r="B4179" s="1">
        <v>46213</v>
      </c>
      <c r="C4179" t="s">
        <v>1754</v>
      </c>
      <c r="D4179" t="s">
        <v>71</v>
      </c>
      <c r="E4179" t="s">
        <v>21</v>
      </c>
      <c r="F4179">
        <v>2</v>
      </c>
      <c r="G4179">
        <v>1299</v>
      </c>
      <c r="H4179">
        <v>0.05</v>
      </c>
      <c r="I4179" t="s">
        <v>15</v>
      </c>
      <c r="J4179" t="s">
        <v>28</v>
      </c>
      <c r="K4179" t="s">
        <v>37</v>
      </c>
      <c r="L4179">
        <f>F4178*G4178*(1-H4178)</f>
        <v>898.2</v>
      </c>
    </row>
    <row r="4180" spans="1:12">
      <c r="A4180" t="s">
        <v>5010</v>
      </c>
      <c r="B4180" s="1">
        <v>46107</v>
      </c>
      <c r="C4180" t="s">
        <v>496</v>
      </c>
      <c r="D4180" t="s">
        <v>78</v>
      </c>
      <c r="E4180" t="s">
        <v>14</v>
      </c>
      <c r="F4180">
        <v>1</v>
      </c>
      <c r="G4180">
        <v>999</v>
      </c>
      <c r="H4180">
        <v>0.1</v>
      </c>
      <c r="I4180" t="s">
        <v>47</v>
      </c>
      <c r="J4180" t="s">
        <v>22</v>
      </c>
      <c r="K4180" t="s">
        <v>17</v>
      </c>
      <c r="L4180">
        <f>F4179*G4179*(1-H4179)</f>
        <v>2468.1</v>
      </c>
    </row>
    <row r="4181" spans="1:12">
      <c r="A4181" t="s">
        <v>5011</v>
      </c>
      <c r="B4181" s="1">
        <v>46264</v>
      </c>
      <c r="C4181" t="s">
        <v>997</v>
      </c>
      <c r="D4181" t="s">
        <v>13</v>
      </c>
      <c r="E4181" t="s">
        <v>27</v>
      </c>
      <c r="F4181">
        <v>5</v>
      </c>
      <c r="G4181">
        <v>4999</v>
      </c>
      <c r="H4181">
        <v>0</v>
      </c>
      <c r="I4181" t="s">
        <v>50</v>
      </c>
      <c r="J4181" t="s">
        <v>22</v>
      </c>
      <c r="K4181" t="s">
        <v>17</v>
      </c>
      <c r="L4181">
        <f>F4180*G4180*(1-H4180)</f>
        <v>899.1</v>
      </c>
    </row>
    <row r="4182" spans="1:12">
      <c r="A4182" t="s">
        <v>5012</v>
      </c>
      <c r="B4182" s="1">
        <v>46264</v>
      </c>
      <c r="C4182" t="s">
        <v>80</v>
      </c>
      <c r="D4182" t="s">
        <v>78</v>
      </c>
      <c r="E4182" t="s">
        <v>35</v>
      </c>
      <c r="F4182">
        <v>2</v>
      </c>
      <c r="G4182">
        <v>1999</v>
      </c>
      <c r="H4182">
        <v>0</v>
      </c>
      <c r="I4182" t="s">
        <v>15</v>
      </c>
      <c r="J4182" t="s">
        <v>28</v>
      </c>
      <c r="K4182" t="s">
        <v>17</v>
      </c>
      <c r="L4182">
        <f>F4181*G4181*(1-H4181)</f>
        <v>24995</v>
      </c>
    </row>
    <row r="4183" spans="1:12">
      <c r="A4183" t="s">
        <v>5013</v>
      </c>
      <c r="B4183" s="1">
        <v>46209</v>
      </c>
      <c r="C4183" t="s">
        <v>1663</v>
      </c>
      <c r="D4183" t="s">
        <v>13</v>
      </c>
      <c r="E4183" t="s">
        <v>14</v>
      </c>
      <c r="F4183">
        <v>1</v>
      </c>
      <c r="G4183">
        <v>2499</v>
      </c>
      <c r="H4183">
        <v>0.1</v>
      </c>
      <c r="I4183" t="s">
        <v>50</v>
      </c>
      <c r="J4183" t="s">
        <v>51</v>
      </c>
      <c r="K4183" t="s">
        <v>17</v>
      </c>
      <c r="L4183">
        <f>F4182*G4182*(1-H4182)</f>
        <v>3998</v>
      </c>
    </row>
    <row r="4184" spans="1:12">
      <c r="A4184" t="s">
        <v>5014</v>
      </c>
      <c r="B4184" s="1">
        <v>46218</v>
      </c>
      <c r="C4184" t="s">
        <v>660</v>
      </c>
      <c r="D4184" t="s">
        <v>56</v>
      </c>
      <c r="E4184" t="s">
        <v>40</v>
      </c>
      <c r="F4184">
        <v>4</v>
      </c>
      <c r="G4184">
        <v>7999</v>
      </c>
      <c r="H4184">
        <v>0.15</v>
      </c>
      <c r="I4184" t="s">
        <v>32</v>
      </c>
      <c r="J4184" t="s">
        <v>16</v>
      </c>
      <c r="K4184" t="s">
        <v>37</v>
      </c>
      <c r="L4184">
        <f>F4183*G4183*(1-H4183)</f>
        <v>2249.1</v>
      </c>
    </row>
    <row r="4185" spans="1:12">
      <c r="A4185" t="s">
        <v>5015</v>
      </c>
      <c r="B4185" s="1">
        <v>46023</v>
      </c>
      <c r="C4185" t="s">
        <v>1559</v>
      </c>
      <c r="D4185" t="s">
        <v>78</v>
      </c>
      <c r="E4185" t="s">
        <v>21</v>
      </c>
      <c r="F4185">
        <v>3</v>
      </c>
      <c r="G4185">
        <v>4999</v>
      </c>
      <c r="H4185">
        <v>0.05</v>
      </c>
      <c r="I4185" t="s">
        <v>47</v>
      </c>
      <c r="J4185" t="s">
        <v>36</v>
      </c>
      <c r="K4185" t="s">
        <v>23</v>
      </c>
      <c r="L4185">
        <f>F4184*G4184*(1-H4184)</f>
        <v>27196.6</v>
      </c>
    </row>
    <row r="4186" spans="1:12">
      <c r="A4186" t="s">
        <v>5016</v>
      </c>
      <c r="B4186" s="1">
        <v>46120</v>
      </c>
      <c r="C4186" t="s">
        <v>942</v>
      </c>
      <c r="D4186" t="s">
        <v>43</v>
      </c>
      <c r="E4186" t="s">
        <v>21</v>
      </c>
      <c r="F4186">
        <v>3</v>
      </c>
      <c r="G4186">
        <v>1999</v>
      </c>
      <c r="H4186">
        <v>0.15</v>
      </c>
      <c r="I4186" t="s">
        <v>15</v>
      </c>
      <c r="J4186" t="s">
        <v>51</v>
      </c>
      <c r="K4186" t="s">
        <v>37</v>
      </c>
      <c r="L4186">
        <f>F4185*G4185*(1-H4185)</f>
        <v>14247.15</v>
      </c>
    </row>
    <row r="4187" spans="1:12">
      <c r="A4187" t="s">
        <v>5017</v>
      </c>
      <c r="B4187" s="1">
        <v>46070</v>
      </c>
      <c r="C4187" t="s">
        <v>1777</v>
      </c>
      <c r="D4187" t="s">
        <v>78</v>
      </c>
      <c r="E4187" t="s">
        <v>14</v>
      </c>
      <c r="F4187">
        <v>2</v>
      </c>
      <c r="G4187">
        <v>499</v>
      </c>
      <c r="H4187">
        <v>0</v>
      </c>
      <c r="I4187" t="s">
        <v>47</v>
      </c>
      <c r="J4187" t="s">
        <v>16</v>
      </c>
      <c r="K4187" t="s">
        <v>17</v>
      </c>
      <c r="L4187">
        <f>F4186*G4186*(1-H4186)</f>
        <v>5097.45</v>
      </c>
    </row>
    <row r="4188" spans="1:12">
      <c r="A4188" t="s">
        <v>5018</v>
      </c>
      <c r="B4188" s="1">
        <v>46157</v>
      </c>
      <c r="C4188" t="s">
        <v>586</v>
      </c>
      <c r="D4188" t="s">
        <v>20</v>
      </c>
      <c r="E4188" t="s">
        <v>35</v>
      </c>
      <c r="F4188">
        <v>3</v>
      </c>
      <c r="G4188">
        <v>1999</v>
      </c>
      <c r="H4188">
        <v>0</v>
      </c>
      <c r="I4188" t="s">
        <v>15</v>
      </c>
      <c r="J4188" t="s">
        <v>28</v>
      </c>
      <c r="K4188" t="s">
        <v>17</v>
      </c>
      <c r="L4188">
        <f>F4187*G4187*(1-H4187)</f>
        <v>998</v>
      </c>
    </row>
    <row r="4189" spans="1:12">
      <c r="A4189" t="s">
        <v>5019</v>
      </c>
      <c r="B4189" s="1">
        <v>46195</v>
      </c>
      <c r="C4189" t="s">
        <v>751</v>
      </c>
      <c r="D4189" t="s">
        <v>71</v>
      </c>
      <c r="E4189" t="s">
        <v>27</v>
      </c>
      <c r="F4189">
        <v>5</v>
      </c>
      <c r="G4189">
        <v>4999</v>
      </c>
      <c r="H4189">
        <v>0.05</v>
      </c>
      <c r="I4189" t="s">
        <v>44</v>
      </c>
      <c r="J4189" t="s">
        <v>36</v>
      </c>
      <c r="K4189" t="s">
        <v>37</v>
      </c>
      <c r="L4189">
        <f>F4188*G4188*(1-H4188)</f>
        <v>5997</v>
      </c>
    </row>
    <row r="4190" spans="1:12">
      <c r="A4190" t="s">
        <v>5020</v>
      </c>
      <c r="B4190" s="1">
        <v>46197</v>
      </c>
      <c r="C4190" t="s">
        <v>606</v>
      </c>
      <c r="D4190" t="s">
        <v>26</v>
      </c>
      <c r="E4190" t="s">
        <v>35</v>
      </c>
      <c r="F4190">
        <v>4</v>
      </c>
      <c r="G4190">
        <v>1999</v>
      </c>
      <c r="H4190">
        <v>0.05</v>
      </c>
      <c r="I4190" t="s">
        <v>15</v>
      </c>
      <c r="J4190" t="s">
        <v>36</v>
      </c>
      <c r="K4190" t="s">
        <v>37</v>
      </c>
      <c r="L4190">
        <f>F4189*G4189*(1-H4189)</f>
        <v>23745.25</v>
      </c>
    </row>
    <row r="4191" spans="1:12">
      <c r="A4191" t="s">
        <v>5021</v>
      </c>
      <c r="B4191" s="1">
        <v>46092</v>
      </c>
      <c r="C4191" t="s">
        <v>417</v>
      </c>
      <c r="D4191" t="s">
        <v>78</v>
      </c>
      <c r="E4191" t="s">
        <v>21</v>
      </c>
      <c r="F4191">
        <v>5</v>
      </c>
      <c r="G4191">
        <v>499</v>
      </c>
      <c r="H4191">
        <v>0</v>
      </c>
      <c r="I4191" t="s">
        <v>50</v>
      </c>
      <c r="J4191" t="s">
        <v>22</v>
      </c>
      <c r="K4191" t="s">
        <v>37</v>
      </c>
      <c r="L4191">
        <f>F4190*G4190*(1-H4190)</f>
        <v>7596.2</v>
      </c>
    </row>
    <row r="4192" spans="1:12">
      <c r="A4192" t="s">
        <v>5022</v>
      </c>
      <c r="B4192" s="1">
        <v>46066</v>
      </c>
      <c r="C4192" t="s">
        <v>296</v>
      </c>
      <c r="D4192" t="s">
        <v>78</v>
      </c>
      <c r="E4192" t="s">
        <v>27</v>
      </c>
      <c r="F4192">
        <v>3</v>
      </c>
      <c r="G4192">
        <v>1299</v>
      </c>
      <c r="H4192">
        <v>0.1</v>
      </c>
      <c r="I4192" t="s">
        <v>44</v>
      </c>
      <c r="J4192" t="s">
        <v>51</v>
      </c>
      <c r="K4192" t="s">
        <v>23</v>
      </c>
      <c r="L4192">
        <f>F4191*G4191*(1-H4191)</f>
        <v>2495</v>
      </c>
    </row>
    <row r="4193" spans="1:12">
      <c r="A4193" t="s">
        <v>5023</v>
      </c>
      <c r="B4193" s="1">
        <v>46046</v>
      </c>
      <c r="C4193" t="s">
        <v>929</v>
      </c>
      <c r="D4193" t="s">
        <v>31</v>
      </c>
      <c r="E4193" t="s">
        <v>14</v>
      </c>
      <c r="F4193">
        <v>2</v>
      </c>
      <c r="G4193">
        <v>1499</v>
      </c>
      <c r="H4193">
        <v>0.1</v>
      </c>
      <c r="I4193" t="s">
        <v>47</v>
      </c>
      <c r="J4193" t="s">
        <v>16</v>
      </c>
      <c r="K4193" t="s">
        <v>17</v>
      </c>
      <c r="L4193">
        <f>F4192*G4192*(1-H4192)</f>
        <v>3507.3</v>
      </c>
    </row>
    <row r="4194" spans="1:12">
      <c r="A4194" t="s">
        <v>5024</v>
      </c>
      <c r="B4194" s="1">
        <v>46126</v>
      </c>
      <c r="C4194" t="s">
        <v>1080</v>
      </c>
      <c r="D4194" t="s">
        <v>43</v>
      </c>
      <c r="E4194" t="s">
        <v>14</v>
      </c>
      <c r="F4194">
        <v>5</v>
      </c>
      <c r="G4194">
        <v>2499</v>
      </c>
      <c r="H4194">
        <v>0</v>
      </c>
      <c r="I4194" t="s">
        <v>15</v>
      </c>
      <c r="J4194" t="s">
        <v>36</v>
      </c>
      <c r="K4194" t="s">
        <v>17</v>
      </c>
      <c r="L4194">
        <f>F4193*G4193*(1-H4193)</f>
        <v>2698.2000000000003</v>
      </c>
    </row>
    <row r="4195" spans="1:12">
      <c r="A4195" t="s">
        <v>5025</v>
      </c>
      <c r="B4195" s="1">
        <v>46185</v>
      </c>
      <c r="C4195" t="s">
        <v>560</v>
      </c>
      <c r="D4195" t="s">
        <v>78</v>
      </c>
      <c r="E4195" t="s">
        <v>27</v>
      </c>
      <c r="F4195">
        <v>4</v>
      </c>
      <c r="G4195">
        <v>499</v>
      </c>
      <c r="H4195">
        <v>0.1</v>
      </c>
      <c r="I4195" t="s">
        <v>50</v>
      </c>
      <c r="J4195" t="s">
        <v>51</v>
      </c>
      <c r="K4195" t="s">
        <v>17</v>
      </c>
      <c r="L4195">
        <f>F4194*G4194*(1-H4194)</f>
        <v>12495</v>
      </c>
    </row>
    <row r="4196" spans="1:12">
      <c r="A4196" t="s">
        <v>5026</v>
      </c>
      <c r="B4196" s="1">
        <v>46123</v>
      </c>
      <c r="C4196" t="s">
        <v>1349</v>
      </c>
      <c r="D4196" t="s">
        <v>13</v>
      </c>
      <c r="E4196" t="s">
        <v>14</v>
      </c>
      <c r="F4196">
        <v>5</v>
      </c>
      <c r="G4196">
        <v>1499</v>
      </c>
      <c r="H4196">
        <v>0.1</v>
      </c>
      <c r="I4196" t="s">
        <v>44</v>
      </c>
      <c r="J4196" t="s">
        <v>22</v>
      </c>
      <c r="K4196" t="s">
        <v>17</v>
      </c>
      <c r="L4196">
        <f>F4195*G4195*(1-H4195)</f>
        <v>1796.4</v>
      </c>
    </row>
    <row r="4197" spans="1:12">
      <c r="A4197" t="s">
        <v>5027</v>
      </c>
      <c r="B4197" s="1">
        <v>46031</v>
      </c>
      <c r="C4197" t="s">
        <v>1845</v>
      </c>
      <c r="D4197" t="s">
        <v>31</v>
      </c>
      <c r="E4197" t="s">
        <v>40</v>
      </c>
      <c r="F4197">
        <v>1</v>
      </c>
      <c r="G4197">
        <v>999</v>
      </c>
      <c r="H4197">
        <v>0.05</v>
      </c>
      <c r="I4197" t="s">
        <v>44</v>
      </c>
      <c r="J4197" t="s">
        <v>51</v>
      </c>
      <c r="K4197" t="s">
        <v>17</v>
      </c>
      <c r="L4197">
        <f>F4196*G4196*(1-H4196)</f>
        <v>6745.5</v>
      </c>
    </row>
    <row r="4198" spans="1:12">
      <c r="A4198" t="s">
        <v>5028</v>
      </c>
      <c r="B4198" s="1">
        <v>46290</v>
      </c>
      <c r="C4198" t="s">
        <v>590</v>
      </c>
      <c r="D4198" t="s">
        <v>56</v>
      </c>
      <c r="E4198" t="s">
        <v>14</v>
      </c>
      <c r="F4198">
        <v>3</v>
      </c>
      <c r="G4198">
        <v>4999</v>
      </c>
      <c r="H4198">
        <v>0</v>
      </c>
      <c r="I4198" t="s">
        <v>47</v>
      </c>
      <c r="J4198" t="s">
        <v>28</v>
      </c>
      <c r="K4198" t="s">
        <v>17</v>
      </c>
      <c r="L4198">
        <f>F4197*G4197*(1-H4197)</f>
        <v>949.05</v>
      </c>
    </row>
    <row r="4199" spans="1:12">
      <c r="A4199" t="s">
        <v>5029</v>
      </c>
      <c r="B4199" s="1">
        <v>46194</v>
      </c>
      <c r="C4199" t="s">
        <v>215</v>
      </c>
      <c r="D4199" t="s">
        <v>78</v>
      </c>
      <c r="E4199" t="s">
        <v>27</v>
      </c>
      <c r="F4199">
        <v>4</v>
      </c>
      <c r="G4199">
        <v>7999</v>
      </c>
      <c r="H4199">
        <v>0.15</v>
      </c>
      <c r="I4199" t="s">
        <v>50</v>
      </c>
      <c r="J4199" t="s">
        <v>28</v>
      </c>
      <c r="K4199" t="s">
        <v>17</v>
      </c>
      <c r="L4199">
        <f>F4198*G4198*(1-H4198)</f>
        <v>14997</v>
      </c>
    </row>
    <row r="4200" spans="1:12">
      <c r="A4200" t="s">
        <v>5030</v>
      </c>
      <c r="B4200" s="1">
        <v>46030</v>
      </c>
      <c r="C4200" t="s">
        <v>1209</v>
      </c>
      <c r="D4200" t="s">
        <v>71</v>
      </c>
      <c r="E4200" t="s">
        <v>40</v>
      </c>
      <c r="F4200">
        <v>1</v>
      </c>
      <c r="G4200">
        <v>1299</v>
      </c>
      <c r="H4200">
        <v>0</v>
      </c>
      <c r="I4200" t="s">
        <v>15</v>
      </c>
      <c r="J4200" t="s">
        <v>22</v>
      </c>
      <c r="K4200" t="s">
        <v>17</v>
      </c>
      <c r="L4200">
        <f>F4199*G4199*(1-H4199)</f>
        <v>27196.6</v>
      </c>
    </row>
    <row r="4201" spans="1:12">
      <c r="A4201" t="s">
        <v>5031</v>
      </c>
      <c r="B4201" s="1">
        <v>46036</v>
      </c>
      <c r="C4201" t="s">
        <v>1821</v>
      </c>
      <c r="D4201" t="s">
        <v>78</v>
      </c>
      <c r="E4201" t="s">
        <v>40</v>
      </c>
      <c r="F4201">
        <v>5</v>
      </c>
      <c r="G4201">
        <v>499</v>
      </c>
      <c r="H4201">
        <v>0.15</v>
      </c>
      <c r="I4201" t="s">
        <v>47</v>
      </c>
      <c r="J4201" t="s">
        <v>36</v>
      </c>
      <c r="K4201" t="s">
        <v>17</v>
      </c>
      <c r="L4201">
        <f>F4200*G4200*(1-H4200)</f>
        <v>1299</v>
      </c>
    </row>
    <row r="4202" spans="1:12">
      <c r="A4202" t="s">
        <v>5032</v>
      </c>
      <c r="B4202" s="1">
        <v>46126</v>
      </c>
      <c r="C4202" t="s">
        <v>4509</v>
      </c>
      <c r="D4202" t="s">
        <v>62</v>
      </c>
      <c r="E4202" t="s">
        <v>35</v>
      </c>
      <c r="F4202">
        <v>5</v>
      </c>
      <c r="G4202">
        <v>1499</v>
      </c>
      <c r="H4202">
        <v>0.15</v>
      </c>
      <c r="I4202" t="s">
        <v>32</v>
      </c>
      <c r="J4202" t="s">
        <v>22</v>
      </c>
      <c r="K4202" t="s">
        <v>17</v>
      </c>
      <c r="L4202">
        <f>F4201*G4201*(1-H4201)</f>
        <v>2120.75</v>
      </c>
    </row>
    <row r="4203" spans="1:12">
      <c r="A4203" t="s">
        <v>5033</v>
      </c>
      <c r="B4203" s="1">
        <v>46226</v>
      </c>
      <c r="C4203" t="s">
        <v>366</v>
      </c>
      <c r="D4203" t="s">
        <v>20</v>
      </c>
      <c r="E4203" t="s">
        <v>35</v>
      </c>
      <c r="F4203">
        <v>2</v>
      </c>
      <c r="G4203">
        <v>599</v>
      </c>
      <c r="H4203">
        <v>0</v>
      </c>
      <c r="I4203" t="s">
        <v>50</v>
      </c>
      <c r="J4203" t="s">
        <v>16</v>
      </c>
      <c r="K4203" t="s">
        <v>17</v>
      </c>
      <c r="L4203">
        <f>F4202*G4202*(1-H4202)</f>
        <v>6370.75</v>
      </c>
    </row>
    <row r="4204" spans="1:12">
      <c r="A4204" t="s">
        <v>5034</v>
      </c>
      <c r="B4204" s="1">
        <v>46267</v>
      </c>
      <c r="C4204" t="s">
        <v>1316</v>
      </c>
      <c r="D4204" t="s">
        <v>56</v>
      </c>
      <c r="E4204" t="s">
        <v>40</v>
      </c>
      <c r="F4204">
        <v>4</v>
      </c>
      <c r="G4204">
        <v>1999</v>
      </c>
      <c r="H4204">
        <v>0</v>
      </c>
      <c r="I4204" t="s">
        <v>50</v>
      </c>
      <c r="J4204" t="s">
        <v>28</v>
      </c>
      <c r="K4204" t="s">
        <v>17</v>
      </c>
      <c r="L4204">
        <f>F4203*G4203*(1-H4203)</f>
        <v>1198</v>
      </c>
    </row>
    <row r="4205" spans="1:12">
      <c r="A4205" t="s">
        <v>5035</v>
      </c>
      <c r="B4205" s="1">
        <v>46049</v>
      </c>
      <c r="C4205" t="s">
        <v>152</v>
      </c>
      <c r="D4205" t="s">
        <v>26</v>
      </c>
      <c r="E4205" t="s">
        <v>40</v>
      </c>
      <c r="F4205">
        <v>3</v>
      </c>
      <c r="G4205">
        <v>4999</v>
      </c>
      <c r="H4205">
        <v>0.05</v>
      </c>
      <c r="I4205" t="s">
        <v>15</v>
      </c>
      <c r="J4205" t="s">
        <v>28</v>
      </c>
      <c r="K4205" t="s">
        <v>23</v>
      </c>
      <c r="L4205">
        <f>F4204*G4204*(1-H4204)</f>
        <v>7996</v>
      </c>
    </row>
    <row r="4206" spans="1:12">
      <c r="A4206" t="s">
        <v>5036</v>
      </c>
      <c r="B4206" s="1">
        <v>46072</v>
      </c>
      <c r="C4206" t="s">
        <v>1387</v>
      </c>
      <c r="D4206" t="s">
        <v>62</v>
      </c>
      <c r="E4206" t="s">
        <v>21</v>
      </c>
      <c r="F4206">
        <v>5</v>
      </c>
      <c r="G4206">
        <v>7999</v>
      </c>
      <c r="H4206">
        <v>0</v>
      </c>
      <c r="I4206" t="s">
        <v>50</v>
      </c>
      <c r="J4206" t="s">
        <v>28</v>
      </c>
      <c r="K4206" t="s">
        <v>23</v>
      </c>
      <c r="L4206">
        <f>F4205*G4205*(1-H4205)</f>
        <v>14247.15</v>
      </c>
    </row>
    <row r="4207" spans="1:12">
      <c r="A4207" t="s">
        <v>5037</v>
      </c>
      <c r="B4207" s="1">
        <v>46278</v>
      </c>
      <c r="C4207" t="s">
        <v>1171</v>
      </c>
      <c r="D4207" t="s">
        <v>26</v>
      </c>
      <c r="E4207" t="s">
        <v>14</v>
      </c>
      <c r="F4207">
        <v>1</v>
      </c>
      <c r="G4207">
        <v>499</v>
      </c>
      <c r="H4207">
        <v>0</v>
      </c>
      <c r="I4207" t="s">
        <v>50</v>
      </c>
      <c r="J4207" t="s">
        <v>51</v>
      </c>
      <c r="K4207" t="s">
        <v>17</v>
      </c>
      <c r="L4207">
        <f>F4206*G4206*(1-H4206)</f>
        <v>39995</v>
      </c>
    </row>
    <row r="4208" spans="1:12">
      <c r="A4208" t="s">
        <v>5038</v>
      </c>
      <c r="B4208" s="1">
        <v>46113</v>
      </c>
      <c r="C4208" t="s">
        <v>1286</v>
      </c>
      <c r="D4208" t="s">
        <v>56</v>
      </c>
      <c r="E4208" t="s">
        <v>35</v>
      </c>
      <c r="F4208">
        <v>1</v>
      </c>
      <c r="G4208">
        <v>799</v>
      </c>
      <c r="H4208">
        <v>0</v>
      </c>
      <c r="I4208" t="s">
        <v>47</v>
      </c>
      <c r="J4208" t="s">
        <v>16</v>
      </c>
      <c r="K4208" t="s">
        <v>23</v>
      </c>
      <c r="L4208">
        <f>F4207*G4207*(1-H4207)</f>
        <v>499</v>
      </c>
    </row>
    <row r="4209" spans="1:12">
      <c r="A4209" t="s">
        <v>5039</v>
      </c>
      <c r="B4209" s="1">
        <v>46220</v>
      </c>
      <c r="C4209" t="s">
        <v>883</v>
      </c>
      <c r="D4209" t="s">
        <v>43</v>
      </c>
      <c r="E4209" t="s">
        <v>40</v>
      </c>
      <c r="F4209">
        <v>4</v>
      </c>
      <c r="G4209">
        <v>499</v>
      </c>
      <c r="H4209">
        <v>0</v>
      </c>
      <c r="I4209" t="s">
        <v>47</v>
      </c>
      <c r="J4209" t="s">
        <v>51</v>
      </c>
      <c r="K4209" t="s">
        <v>23</v>
      </c>
      <c r="L4209">
        <f>F4208*G4208*(1-H4208)</f>
        <v>799</v>
      </c>
    </row>
    <row r="4210" spans="1:12">
      <c r="A4210" t="s">
        <v>5040</v>
      </c>
      <c r="B4210" s="1">
        <v>46253</v>
      </c>
      <c r="C4210" t="s">
        <v>172</v>
      </c>
      <c r="D4210" t="s">
        <v>62</v>
      </c>
      <c r="E4210" t="s">
        <v>40</v>
      </c>
      <c r="F4210">
        <v>3</v>
      </c>
      <c r="G4210">
        <v>599</v>
      </c>
      <c r="H4210">
        <v>0.05</v>
      </c>
      <c r="I4210" t="s">
        <v>50</v>
      </c>
      <c r="J4210" t="s">
        <v>51</v>
      </c>
      <c r="K4210" t="s">
        <v>37</v>
      </c>
      <c r="L4210">
        <f>F4209*G4209*(1-H4209)</f>
        <v>1996</v>
      </c>
    </row>
    <row r="4211" spans="1:12">
      <c r="A4211" t="s">
        <v>5041</v>
      </c>
      <c r="B4211" s="1">
        <v>46061</v>
      </c>
      <c r="C4211" t="s">
        <v>1724</v>
      </c>
      <c r="D4211" t="s">
        <v>13</v>
      </c>
      <c r="E4211" t="s">
        <v>14</v>
      </c>
      <c r="F4211">
        <v>3</v>
      </c>
      <c r="G4211">
        <v>1999</v>
      </c>
      <c r="H4211">
        <v>0</v>
      </c>
      <c r="I4211" t="s">
        <v>44</v>
      </c>
      <c r="J4211" t="s">
        <v>28</v>
      </c>
      <c r="K4211" t="s">
        <v>37</v>
      </c>
      <c r="L4211">
        <f>F4210*G4210*(1-H4210)</f>
        <v>1707.1499999999999</v>
      </c>
    </row>
    <row r="4212" spans="1:12">
      <c r="A4212" t="s">
        <v>5042</v>
      </c>
      <c r="B4212" s="1">
        <v>46215</v>
      </c>
      <c r="C4212" t="s">
        <v>2987</v>
      </c>
      <c r="D4212" t="s">
        <v>78</v>
      </c>
      <c r="E4212" t="s">
        <v>27</v>
      </c>
      <c r="F4212">
        <v>4</v>
      </c>
      <c r="G4212">
        <v>1299</v>
      </c>
      <c r="H4212">
        <v>0.05</v>
      </c>
      <c r="I4212" t="s">
        <v>32</v>
      </c>
      <c r="J4212" t="s">
        <v>36</v>
      </c>
      <c r="K4212" t="s">
        <v>17</v>
      </c>
      <c r="L4212">
        <f>F4211*G4211*(1-H4211)</f>
        <v>5997</v>
      </c>
    </row>
    <row r="4213" spans="1:12">
      <c r="A4213" t="s">
        <v>5043</v>
      </c>
      <c r="B4213" s="1">
        <v>46071</v>
      </c>
      <c r="C4213" t="s">
        <v>2520</v>
      </c>
      <c r="D4213" t="s">
        <v>31</v>
      </c>
      <c r="E4213" t="s">
        <v>35</v>
      </c>
      <c r="F4213">
        <v>3</v>
      </c>
      <c r="G4213">
        <v>799</v>
      </c>
      <c r="H4213">
        <v>0.05</v>
      </c>
      <c r="I4213" t="s">
        <v>32</v>
      </c>
      <c r="J4213" t="s">
        <v>51</v>
      </c>
      <c r="K4213" t="s">
        <v>23</v>
      </c>
      <c r="L4213">
        <f>F4212*G4212*(1-H4212)</f>
        <v>4936.2</v>
      </c>
    </row>
    <row r="4214" spans="1:12">
      <c r="A4214" t="s">
        <v>5044</v>
      </c>
      <c r="B4214" s="1">
        <v>46075</v>
      </c>
      <c r="C4214" t="s">
        <v>1167</v>
      </c>
      <c r="D4214" t="s">
        <v>26</v>
      </c>
      <c r="E4214" t="s">
        <v>14</v>
      </c>
      <c r="F4214">
        <v>1</v>
      </c>
      <c r="G4214">
        <v>7999</v>
      </c>
      <c r="H4214">
        <v>0.05</v>
      </c>
      <c r="I4214" t="s">
        <v>44</v>
      </c>
      <c r="J4214" t="s">
        <v>51</v>
      </c>
      <c r="K4214" t="s">
        <v>23</v>
      </c>
      <c r="L4214">
        <f>F4213*G4213*(1-H4213)</f>
        <v>2277.15</v>
      </c>
    </row>
    <row r="4215" spans="1:12">
      <c r="A4215" t="s">
        <v>5045</v>
      </c>
      <c r="B4215" s="1">
        <v>46283</v>
      </c>
      <c r="C4215" t="s">
        <v>283</v>
      </c>
      <c r="D4215" t="s">
        <v>26</v>
      </c>
      <c r="E4215" t="s">
        <v>14</v>
      </c>
      <c r="F4215">
        <v>1</v>
      </c>
      <c r="G4215">
        <v>1299</v>
      </c>
      <c r="H4215">
        <v>0</v>
      </c>
      <c r="I4215" t="s">
        <v>15</v>
      </c>
      <c r="J4215" t="s">
        <v>51</v>
      </c>
      <c r="K4215" t="s">
        <v>17</v>
      </c>
      <c r="L4215">
        <f>F4214*G4214*(1-H4214)</f>
        <v>7599.0499999999993</v>
      </c>
    </row>
    <row r="4216" spans="1:12">
      <c r="A4216" t="s">
        <v>5046</v>
      </c>
      <c r="B4216" s="1">
        <v>46283</v>
      </c>
      <c r="C4216" t="s">
        <v>209</v>
      </c>
      <c r="D4216" t="s">
        <v>59</v>
      </c>
      <c r="E4216" t="s">
        <v>21</v>
      </c>
      <c r="F4216">
        <v>3</v>
      </c>
      <c r="G4216">
        <v>499</v>
      </c>
      <c r="H4216">
        <v>0</v>
      </c>
      <c r="I4216" t="s">
        <v>44</v>
      </c>
      <c r="J4216" t="s">
        <v>36</v>
      </c>
      <c r="K4216" t="s">
        <v>17</v>
      </c>
      <c r="L4216">
        <f>F4215*G4215*(1-H4215)</f>
        <v>1299</v>
      </c>
    </row>
    <row r="4217" spans="1:12">
      <c r="A4217" t="s">
        <v>5047</v>
      </c>
      <c r="B4217" s="1">
        <v>46166</v>
      </c>
      <c r="C4217" t="s">
        <v>626</v>
      </c>
      <c r="D4217" t="s">
        <v>78</v>
      </c>
      <c r="E4217" t="s">
        <v>14</v>
      </c>
      <c r="F4217">
        <v>1</v>
      </c>
      <c r="G4217">
        <v>999</v>
      </c>
      <c r="H4217">
        <v>0.05</v>
      </c>
      <c r="I4217" t="s">
        <v>50</v>
      </c>
      <c r="J4217" t="s">
        <v>36</v>
      </c>
      <c r="K4217" t="s">
        <v>17</v>
      </c>
      <c r="L4217">
        <f>F4216*G4216*(1-H4216)</f>
        <v>1497</v>
      </c>
    </row>
    <row r="4218" spans="1:12">
      <c r="A4218" t="s">
        <v>5048</v>
      </c>
      <c r="B4218" s="1">
        <v>46191</v>
      </c>
      <c r="C4218" t="s">
        <v>2553</v>
      </c>
      <c r="D4218" t="s">
        <v>62</v>
      </c>
      <c r="E4218" t="s">
        <v>27</v>
      </c>
      <c r="F4218">
        <v>3</v>
      </c>
      <c r="G4218">
        <v>1999</v>
      </c>
      <c r="H4218">
        <v>0.15</v>
      </c>
      <c r="I4218" t="s">
        <v>32</v>
      </c>
      <c r="J4218" t="s">
        <v>51</v>
      </c>
      <c r="K4218" t="s">
        <v>17</v>
      </c>
      <c r="L4218">
        <f>F4217*G4217*(1-H4217)</f>
        <v>949.05</v>
      </c>
    </row>
    <row r="4219" spans="1:12">
      <c r="A4219" t="s">
        <v>5049</v>
      </c>
      <c r="B4219" s="1">
        <v>46184</v>
      </c>
      <c r="C4219" t="s">
        <v>452</v>
      </c>
      <c r="D4219" t="s">
        <v>56</v>
      </c>
      <c r="E4219" t="s">
        <v>35</v>
      </c>
      <c r="F4219">
        <v>5</v>
      </c>
      <c r="G4219">
        <v>1499</v>
      </c>
      <c r="H4219">
        <v>0.05</v>
      </c>
      <c r="I4219" t="s">
        <v>47</v>
      </c>
      <c r="J4219" t="s">
        <v>36</v>
      </c>
      <c r="K4219" t="s">
        <v>17</v>
      </c>
      <c r="L4219">
        <f>F4218*G4218*(1-H4218)</f>
        <v>5097.45</v>
      </c>
    </row>
    <row r="4220" spans="1:12">
      <c r="A4220" t="s">
        <v>5050</v>
      </c>
      <c r="B4220" s="1">
        <v>46164</v>
      </c>
      <c r="C4220" t="s">
        <v>685</v>
      </c>
      <c r="D4220" t="s">
        <v>62</v>
      </c>
      <c r="E4220" t="s">
        <v>35</v>
      </c>
      <c r="F4220">
        <v>2</v>
      </c>
      <c r="G4220">
        <v>999</v>
      </c>
      <c r="H4220">
        <v>0.1</v>
      </c>
      <c r="I4220" t="s">
        <v>47</v>
      </c>
      <c r="J4220" t="s">
        <v>22</v>
      </c>
      <c r="K4220" t="s">
        <v>23</v>
      </c>
      <c r="L4220">
        <f>F4219*G4219*(1-H4219)</f>
        <v>7120.25</v>
      </c>
    </row>
    <row r="4221" spans="1:12">
      <c r="A4221" t="s">
        <v>5051</v>
      </c>
      <c r="B4221" s="1">
        <v>46073</v>
      </c>
      <c r="C4221" t="s">
        <v>1726</v>
      </c>
      <c r="D4221" t="s">
        <v>43</v>
      </c>
      <c r="E4221" t="s">
        <v>14</v>
      </c>
      <c r="F4221">
        <v>1</v>
      </c>
      <c r="G4221">
        <v>599</v>
      </c>
      <c r="H4221">
        <v>0</v>
      </c>
      <c r="I4221" t="s">
        <v>44</v>
      </c>
      <c r="J4221" t="s">
        <v>28</v>
      </c>
      <c r="K4221" t="s">
        <v>17</v>
      </c>
      <c r="L4221">
        <f>F4220*G4220*(1-H4220)</f>
        <v>1798.2</v>
      </c>
    </row>
    <row r="4222" spans="1:12">
      <c r="A4222" t="s">
        <v>5052</v>
      </c>
      <c r="B4222" s="1">
        <v>46270</v>
      </c>
      <c r="C4222" t="s">
        <v>2207</v>
      </c>
      <c r="D4222" t="s">
        <v>56</v>
      </c>
      <c r="E4222" t="s">
        <v>21</v>
      </c>
      <c r="F4222">
        <v>3</v>
      </c>
      <c r="G4222">
        <v>999</v>
      </c>
      <c r="H4222">
        <v>0.15</v>
      </c>
      <c r="I4222" t="s">
        <v>15</v>
      </c>
      <c r="J4222" t="s">
        <v>51</v>
      </c>
      <c r="K4222" t="s">
        <v>17</v>
      </c>
      <c r="L4222">
        <f>F4221*G4221*(1-H4221)</f>
        <v>599</v>
      </c>
    </row>
    <row r="4223" spans="1:12">
      <c r="A4223" t="s">
        <v>5053</v>
      </c>
      <c r="B4223" s="1">
        <v>46115</v>
      </c>
      <c r="C4223" t="s">
        <v>64</v>
      </c>
      <c r="D4223" t="s">
        <v>20</v>
      </c>
      <c r="E4223" t="s">
        <v>14</v>
      </c>
      <c r="F4223">
        <v>1</v>
      </c>
      <c r="G4223">
        <v>7999</v>
      </c>
      <c r="H4223">
        <v>0.1</v>
      </c>
      <c r="I4223" t="s">
        <v>47</v>
      </c>
      <c r="J4223" t="s">
        <v>22</v>
      </c>
      <c r="K4223" t="s">
        <v>23</v>
      </c>
      <c r="L4223">
        <f>F4222*G4222*(1-H4222)</f>
        <v>2547.4499999999998</v>
      </c>
    </row>
    <row r="4224" spans="1:12">
      <c r="A4224" t="s">
        <v>5054</v>
      </c>
      <c r="B4224" s="1">
        <v>46057</v>
      </c>
      <c r="C4224" t="s">
        <v>472</v>
      </c>
      <c r="D4224" t="s">
        <v>31</v>
      </c>
      <c r="E4224" t="s">
        <v>14</v>
      </c>
      <c r="F4224">
        <v>5</v>
      </c>
      <c r="G4224">
        <v>1499</v>
      </c>
      <c r="H4224">
        <v>0.15</v>
      </c>
      <c r="I4224" t="s">
        <v>15</v>
      </c>
      <c r="J4224" t="s">
        <v>36</v>
      </c>
      <c r="K4224" t="s">
        <v>23</v>
      </c>
      <c r="L4224">
        <f>F4223*G4223*(1-H4223)</f>
        <v>7199.1</v>
      </c>
    </row>
    <row r="4225" spans="1:12">
      <c r="A4225" t="s">
        <v>5055</v>
      </c>
      <c r="B4225" s="1">
        <v>46294</v>
      </c>
      <c r="C4225" t="s">
        <v>104</v>
      </c>
      <c r="D4225" t="s">
        <v>56</v>
      </c>
      <c r="E4225" t="s">
        <v>27</v>
      </c>
      <c r="F4225">
        <v>4</v>
      </c>
      <c r="G4225">
        <v>499</v>
      </c>
      <c r="H4225">
        <v>0</v>
      </c>
      <c r="I4225" t="s">
        <v>50</v>
      </c>
      <c r="J4225" t="s">
        <v>51</v>
      </c>
      <c r="K4225" t="s">
        <v>17</v>
      </c>
      <c r="L4225">
        <f>F4224*G4224*(1-H4224)</f>
        <v>6370.75</v>
      </c>
    </row>
    <row r="4226" spans="1:12">
      <c r="A4226" t="s">
        <v>5056</v>
      </c>
      <c r="B4226" s="1">
        <v>46154</v>
      </c>
      <c r="C4226" t="s">
        <v>3015</v>
      </c>
      <c r="D4226" t="s">
        <v>31</v>
      </c>
      <c r="E4226" t="s">
        <v>27</v>
      </c>
      <c r="F4226">
        <v>5</v>
      </c>
      <c r="G4226">
        <v>799</v>
      </c>
      <c r="H4226">
        <v>0.05</v>
      </c>
      <c r="I4226" t="s">
        <v>15</v>
      </c>
      <c r="J4226" t="s">
        <v>16</v>
      </c>
      <c r="K4226" t="s">
        <v>17</v>
      </c>
      <c r="L4226">
        <f>F4225*G4225*(1-H4225)</f>
        <v>1996</v>
      </c>
    </row>
    <row r="4227" spans="1:12">
      <c r="A4227" t="s">
        <v>5057</v>
      </c>
      <c r="B4227" s="1">
        <v>46036</v>
      </c>
      <c r="C4227" t="s">
        <v>485</v>
      </c>
      <c r="D4227" t="s">
        <v>62</v>
      </c>
      <c r="E4227" t="s">
        <v>27</v>
      </c>
      <c r="F4227">
        <v>2</v>
      </c>
      <c r="G4227">
        <v>499</v>
      </c>
      <c r="H4227">
        <v>0.1</v>
      </c>
      <c r="I4227" t="s">
        <v>44</v>
      </c>
      <c r="J4227" t="s">
        <v>22</v>
      </c>
      <c r="K4227" t="s">
        <v>23</v>
      </c>
      <c r="L4227">
        <f>F4226*G4226*(1-H4226)</f>
        <v>3795.25</v>
      </c>
    </row>
    <row r="4228" spans="1:12">
      <c r="A4228" t="s">
        <v>5058</v>
      </c>
      <c r="B4228" s="1">
        <v>46101</v>
      </c>
      <c r="C4228" t="s">
        <v>2073</v>
      </c>
      <c r="D4228" t="s">
        <v>26</v>
      </c>
      <c r="E4228" t="s">
        <v>14</v>
      </c>
      <c r="F4228">
        <v>5</v>
      </c>
      <c r="G4228">
        <v>599</v>
      </c>
      <c r="H4228">
        <v>0.1</v>
      </c>
      <c r="I4228" t="s">
        <v>50</v>
      </c>
      <c r="J4228" t="s">
        <v>28</v>
      </c>
      <c r="K4228" t="s">
        <v>37</v>
      </c>
      <c r="L4228">
        <f>F4227*G4227*(1-H4227)</f>
        <v>898.2</v>
      </c>
    </row>
    <row r="4229" spans="1:12">
      <c r="A4229" t="s">
        <v>5059</v>
      </c>
      <c r="B4229" s="1">
        <v>46064</v>
      </c>
      <c r="C4229" t="s">
        <v>1800</v>
      </c>
      <c r="D4229" t="s">
        <v>71</v>
      </c>
      <c r="E4229" t="s">
        <v>21</v>
      </c>
      <c r="F4229">
        <v>2</v>
      </c>
      <c r="G4229">
        <v>999</v>
      </c>
      <c r="H4229">
        <v>0</v>
      </c>
      <c r="I4229" t="s">
        <v>15</v>
      </c>
      <c r="J4229" t="s">
        <v>28</v>
      </c>
      <c r="K4229" t="s">
        <v>23</v>
      </c>
      <c r="L4229">
        <f>F4228*G4228*(1-H4228)</f>
        <v>2695.5</v>
      </c>
    </row>
    <row r="4230" spans="1:12">
      <c r="A4230" t="s">
        <v>5060</v>
      </c>
      <c r="B4230" s="1">
        <v>46286</v>
      </c>
      <c r="C4230" t="s">
        <v>2115</v>
      </c>
      <c r="D4230" t="s">
        <v>26</v>
      </c>
      <c r="E4230" t="s">
        <v>14</v>
      </c>
      <c r="F4230">
        <v>2</v>
      </c>
      <c r="G4230">
        <v>499</v>
      </c>
      <c r="H4230">
        <v>0</v>
      </c>
      <c r="I4230" t="s">
        <v>15</v>
      </c>
      <c r="J4230" t="s">
        <v>16</v>
      </c>
      <c r="K4230" t="s">
        <v>17</v>
      </c>
      <c r="L4230">
        <f>F4229*G4229*(1-H4229)</f>
        <v>1998</v>
      </c>
    </row>
    <row r="4231" spans="1:12">
      <c r="A4231" t="s">
        <v>5061</v>
      </c>
      <c r="B4231" s="1">
        <v>46161</v>
      </c>
      <c r="C4231" t="s">
        <v>144</v>
      </c>
      <c r="D4231" t="s">
        <v>20</v>
      </c>
      <c r="E4231" t="s">
        <v>40</v>
      </c>
      <c r="F4231">
        <v>4</v>
      </c>
      <c r="G4231">
        <v>7999</v>
      </c>
      <c r="H4231">
        <v>0</v>
      </c>
      <c r="I4231" t="s">
        <v>15</v>
      </c>
      <c r="J4231" t="s">
        <v>36</v>
      </c>
      <c r="K4231" t="s">
        <v>17</v>
      </c>
      <c r="L4231">
        <f>F4230*G4230*(1-H4230)</f>
        <v>998</v>
      </c>
    </row>
    <row r="4232" spans="1:12">
      <c r="A4232" t="s">
        <v>5062</v>
      </c>
      <c r="B4232" s="1">
        <v>46238</v>
      </c>
      <c r="C4232" t="s">
        <v>1493</v>
      </c>
      <c r="D4232" t="s">
        <v>59</v>
      </c>
      <c r="E4232" t="s">
        <v>40</v>
      </c>
      <c r="F4232">
        <v>1</v>
      </c>
      <c r="G4232">
        <v>999</v>
      </c>
      <c r="H4232">
        <v>0</v>
      </c>
      <c r="I4232" t="s">
        <v>50</v>
      </c>
      <c r="J4232" t="s">
        <v>28</v>
      </c>
      <c r="K4232" t="s">
        <v>23</v>
      </c>
      <c r="L4232">
        <f>F4231*G4231*(1-H4231)</f>
        <v>31996</v>
      </c>
    </row>
    <row r="4233" spans="1:12">
      <c r="A4233" t="s">
        <v>5063</v>
      </c>
      <c r="B4233" s="1">
        <v>46212</v>
      </c>
      <c r="C4233" t="s">
        <v>366</v>
      </c>
      <c r="D4233" t="s">
        <v>31</v>
      </c>
      <c r="E4233" t="s">
        <v>14</v>
      </c>
      <c r="F4233">
        <v>3</v>
      </c>
      <c r="G4233">
        <v>1299</v>
      </c>
      <c r="H4233">
        <v>0.15</v>
      </c>
      <c r="I4233" t="s">
        <v>15</v>
      </c>
      <c r="J4233" t="s">
        <v>36</v>
      </c>
      <c r="K4233" t="s">
        <v>37</v>
      </c>
      <c r="L4233">
        <f>F4232*G4232*(1-H4232)</f>
        <v>999</v>
      </c>
    </row>
    <row r="4234" spans="1:12">
      <c r="A4234" t="s">
        <v>5064</v>
      </c>
      <c r="B4234" s="1">
        <v>46037</v>
      </c>
      <c r="C4234" t="s">
        <v>532</v>
      </c>
      <c r="D4234" t="s">
        <v>43</v>
      </c>
      <c r="E4234" t="s">
        <v>14</v>
      </c>
      <c r="F4234">
        <v>1</v>
      </c>
      <c r="G4234">
        <v>4999</v>
      </c>
      <c r="H4234">
        <v>0.1</v>
      </c>
      <c r="I4234" t="s">
        <v>44</v>
      </c>
      <c r="J4234" t="s">
        <v>51</v>
      </c>
      <c r="K4234" t="s">
        <v>23</v>
      </c>
      <c r="L4234">
        <f>F4233*G4233*(1-H4233)</f>
        <v>3312.45</v>
      </c>
    </row>
    <row r="4235" spans="1:12">
      <c r="A4235" t="s">
        <v>5065</v>
      </c>
      <c r="B4235" s="1">
        <v>46214</v>
      </c>
      <c r="C4235" t="s">
        <v>3858</v>
      </c>
      <c r="D4235" t="s">
        <v>56</v>
      </c>
      <c r="E4235" t="s">
        <v>14</v>
      </c>
      <c r="F4235">
        <v>4</v>
      </c>
      <c r="G4235">
        <v>4999</v>
      </c>
      <c r="H4235">
        <v>0.05</v>
      </c>
      <c r="I4235" t="s">
        <v>44</v>
      </c>
      <c r="J4235" t="s">
        <v>28</v>
      </c>
      <c r="K4235" t="s">
        <v>17</v>
      </c>
      <c r="L4235">
        <f>F4234*G4234*(1-H4234)</f>
        <v>4499.1000000000004</v>
      </c>
    </row>
    <row r="4236" spans="1:12">
      <c r="A4236" t="s">
        <v>5066</v>
      </c>
      <c r="B4236" s="1">
        <v>46130</v>
      </c>
      <c r="C4236" t="s">
        <v>5067</v>
      </c>
      <c r="D4236" t="s">
        <v>13</v>
      </c>
      <c r="E4236" t="s">
        <v>14</v>
      </c>
      <c r="F4236">
        <v>2</v>
      </c>
      <c r="G4236">
        <v>1299</v>
      </c>
      <c r="H4236">
        <v>0</v>
      </c>
      <c r="I4236" t="s">
        <v>47</v>
      </c>
      <c r="J4236" t="s">
        <v>51</v>
      </c>
      <c r="K4236" t="s">
        <v>17</v>
      </c>
      <c r="L4236">
        <f>F4235*G4235*(1-H4235)</f>
        <v>18996.2</v>
      </c>
    </row>
    <row r="4237" spans="1:12">
      <c r="A4237" t="s">
        <v>5068</v>
      </c>
      <c r="B4237" s="1">
        <v>46067</v>
      </c>
      <c r="C4237" t="s">
        <v>176</v>
      </c>
      <c r="D4237" t="s">
        <v>71</v>
      </c>
      <c r="E4237" t="s">
        <v>35</v>
      </c>
      <c r="F4237">
        <v>4</v>
      </c>
      <c r="G4237">
        <v>2499</v>
      </c>
      <c r="H4237">
        <v>0</v>
      </c>
      <c r="I4237" t="s">
        <v>32</v>
      </c>
      <c r="J4237" t="s">
        <v>36</v>
      </c>
      <c r="K4237" t="s">
        <v>17</v>
      </c>
      <c r="L4237">
        <f>F4236*G4236*(1-H4236)</f>
        <v>2598</v>
      </c>
    </row>
    <row r="4238" spans="1:12">
      <c r="A4238" t="s">
        <v>5069</v>
      </c>
      <c r="B4238" s="1">
        <v>46258</v>
      </c>
      <c r="C4238" t="s">
        <v>1611</v>
      </c>
      <c r="D4238" t="s">
        <v>20</v>
      </c>
      <c r="E4238" t="s">
        <v>40</v>
      </c>
      <c r="F4238">
        <v>4</v>
      </c>
      <c r="G4238">
        <v>7999</v>
      </c>
      <c r="H4238">
        <v>0.05</v>
      </c>
      <c r="I4238" t="s">
        <v>50</v>
      </c>
      <c r="J4238" t="s">
        <v>51</v>
      </c>
      <c r="K4238" t="s">
        <v>17</v>
      </c>
      <c r="L4238">
        <f>F4237*G4237*(1-H4237)</f>
        <v>9996</v>
      </c>
    </row>
    <row r="4239" spans="1:12">
      <c r="A4239" t="s">
        <v>5070</v>
      </c>
      <c r="B4239" s="1">
        <v>46288</v>
      </c>
      <c r="C4239" t="s">
        <v>312</v>
      </c>
      <c r="D4239" t="s">
        <v>43</v>
      </c>
      <c r="E4239" t="s">
        <v>14</v>
      </c>
      <c r="F4239">
        <v>1</v>
      </c>
      <c r="G4239">
        <v>1299</v>
      </c>
      <c r="H4239">
        <v>0.15</v>
      </c>
      <c r="I4239" t="s">
        <v>32</v>
      </c>
      <c r="J4239" t="s">
        <v>16</v>
      </c>
      <c r="K4239" t="s">
        <v>37</v>
      </c>
      <c r="L4239">
        <f>F4238*G4238*(1-H4238)</f>
        <v>30396.199999999997</v>
      </c>
    </row>
    <row r="4240" spans="1:12">
      <c r="A4240" t="s">
        <v>5071</v>
      </c>
      <c r="B4240" s="1">
        <v>46094</v>
      </c>
      <c r="C4240" t="s">
        <v>620</v>
      </c>
      <c r="D4240" t="s">
        <v>62</v>
      </c>
      <c r="E4240" t="s">
        <v>35</v>
      </c>
      <c r="F4240">
        <v>1</v>
      </c>
      <c r="G4240">
        <v>2499</v>
      </c>
      <c r="H4240">
        <v>0.15</v>
      </c>
      <c r="I4240" t="s">
        <v>50</v>
      </c>
      <c r="J4240" t="s">
        <v>51</v>
      </c>
      <c r="K4240" t="s">
        <v>17</v>
      </c>
      <c r="L4240">
        <f>F4239*G4239*(1-H4239)</f>
        <v>1104.1499999999999</v>
      </c>
    </row>
    <row r="4241" spans="1:12">
      <c r="A4241" t="s">
        <v>5072</v>
      </c>
      <c r="B4241" s="1">
        <v>46027</v>
      </c>
      <c r="C4241" t="s">
        <v>586</v>
      </c>
      <c r="D4241" t="s">
        <v>26</v>
      </c>
      <c r="E4241" t="s">
        <v>14</v>
      </c>
      <c r="F4241">
        <v>3</v>
      </c>
      <c r="G4241">
        <v>1999</v>
      </c>
      <c r="H4241">
        <v>0</v>
      </c>
      <c r="I4241" t="s">
        <v>50</v>
      </c>
      <c r="J4241" t="s">
        <v>36</v>
      </c>
      <c r="K4241" t="s">
        <v>17</v>
      </c>
      <c r="L4241">
        <f>F4240*G4240*(1-H4240)</f>
        <v>2124.15</v>
      </c>
    </row>
    <row r="4242" spans="1:12">
      <c r="A4242" t="s">
        <v>5073</v>
      </c>
      <c r="B4242" s="1">
        <v>46072</v>
      </c>
      <c r="C4242" t="s">
        <v>860</v>
      </c>
      <c r="D4242" t="s">
        <v>43</v>
      </c>
      <c r="E4242" t="s">
        <v>27</v>
      </c>
      <c r="F4242">
        <v>2</v>
      </c>
      <c r="G4242">
        <v>499</v>
      </c>
      <c r="H4242">
        <v>0</v>
      </c>
      <c r="I4242" t="s">
        <v>15</v>
      </c>
      <c r="J4242" t="s">
        <v>51</v>
      </c>
      <c r="K4242" t="s">
        <v>17</v>
      </c>
      <c r="L4242">
        <f>F4241*G4241*(1-H4241)</f>
        <v>5997</v>
      </c>
    </row>
    <row r="4243" spans="1:12">
      <c r="A4243" t="s">
        <v>5074</v>
      </c>
      <c r="B4243" s="1">
        <v>46064</v>
      </c>
      <c r="C4243" t="s">
        <v>1004</v>
      </c>
      <c r="D4243" t="s">
        <v>20</v>
      </c>
      <c r="E4243" t="s">
        <v>27</v>
      </c>
      <c r="F4243">
        <v>5</v>
      </c>
      <c r="G4243">
        <v>4999</v>
      </c>
      <c r="H4243">
        <v>0</v>
      </c>
      <c r="I4243" t="s">
        <v>32</v>
      </c>
      <c r="J4243" t="s">
        <v>16</v>
      </c>
      <c r="K4243" t="s">
        <v>17</v>
      </c>
      <c r="L4243">
        <f>F4242*G4242*(1-H4242)</f>
        <v>998</v>
      </c>
    </row>
    <row r="4244" spans="1:12">
      <c r="A4244" t="s">
        <v>5075</v>
      </c>
      <c r="B4244" s="1">
        <v>46226</v>
      </c>
      <c r="C4244" t="s">
        <v>711</v>
      </c>
      <c r="D4244" t="s">
        <v>43</v>
      </c>
      <c r="E4244" t="s">
        <v>40</v>
      </c>
      <c r="F4244">
        <v>3</v>
      </c>
      <c r="G4244">
        <v>1999</v>
      </c>
      <c r="H4244">
        <v>0</v>
      </c>
      <c r="I4244" t="s">
        <v>32</v>
      </c>
      <c r="J4244" t="s">
        <v>36</v>
      </c>
      <c r="K4244" t="s">
        <v>17</v>
      </c>
      <c r="L4244">
        <f>F4243*G4243*(1-H4243)</f>
        <v>24995</v>
      </c>
    </row>
    <row r="4245" spans="1:12">
      <c r="A4245" t="s">
        <v>5076</v>
      </c>
      <c r="B4245" s="1">
        <v>46231</v>
      </c>
      <c r="C4245" t="s">
        <v>818</v>
      </c>
      <c r="D4245" t="s">
        <v>43</v>
      </c>
      <c r="E4245" t="s">
        <v>27</v>
      </c>
      <c r="F4245">
        <v>1</v>
      </c>
      <c r="G4245">
        <v>1499</v>
      </c>
      <c r="H4245">
        <v>0.1</v>
      </c>
      <c r="I4245" t="s">
        <v>47</v>
      </c>
      <c r="J4245" t="s">
        <v>22</v>
      </c>
      <c r="K4245" t="s">
        <v>17</v>
      </c>
      <c r="L4245">
        <f>F4244*G4244*(1-H4244)</f>
        <v>5997</v>
      </c>
    </row>
    <row r="4246" spans="1:12">
      <c r="A4246" t="s">
        <v>5077</v>
      </c>
      <c r="B4246" s="1">
        <v>46067</v>
      </c>
      <c r="C4246" t="s">
        <v>3238</v>
      </c>
      <c r="D4246" t="s">
        <v>56</v>
      </c>
      <c r="E4246" t="s">
        <v>27</v>
      </c>
      <c r="F4246">
        <v>1</v>
      </c>
      <c r="G4246">
        <v>2499</v>
      </c>
      <c r="H4246">
        <v>0</v>
      </c>
      <c r="I4246" t="s">
        <v>32</v>
      </c>
      <c r="J4246" t="s">
        <v>22</v>
      </c>
      <c r="K4246" t="s">
        <v>37</v>
      </c>
      <c r="L4246">
        <f>F4245*G4245*(1-H4245)</f>
        <v>1349.1000000000001</v>
      </c>
    </row>
    <row r="4247" spans="1:12">
      <c r="A4247" t="s">
        <v>5078</v>
      </c>
      <c r="B4247" s="1">
        <v>46089</v>
      </c>
      <c r="C4247" t="s">
        <v>298</v>
      </c>
      <c r="D4247" t="s">
        <v>13</v>
      </c>
      <c r="E4247" t="s">
        <v>40</v>
      </c>
      <c r="F4247">
        <v>1</v>
      </c>
      <c r="G4247">
        <v>7999</v>
      </c>
      <c r="H4247">
        <v>0.05</v>
      </c>
      <c r="I4247" t="s">
        <v>15</v>
      </c>
      <c r="J4247" t="s">
        <v>51</v>
      </c>
      <c r="K4247" t="s">
        <v>37</v>
      </c>
      <c r="L4247">
        <f>F4246*G4246*(1-H4246)</f>
        <v>2499</v>
      </c>
    </row>
    <row r="4248" spans="1:12">
      <c r="A4248" t="s">
        <v>5079</v>
      </c>
      <c r="B4248" s="1">
        <v>46269</v>
      </c>
      <c r="C4248" t="s">
        <v>874</v>
      </c>
      <c r="D4248" t="s">
        <v>43</v>
      </c>
      <c r="E4248" t="s">
        <v>21</v>
      </c>
      <c r="F4248">
        <v>4</v>
      </c>
      <c r="G4248">
        <v>599</v>
      </c>
      <c r="H4248">
        <v>0.1</v>
      </c>
      <c r="I4248" t="s">
        <v>15</v>
      </c>
      <c r="J4248" t="s">
        <v>22</v>
      </c>
      <c r="K4248" t="s">
        <v>17</v>
      </c>
      <c r="L4248">
        <f>F4247*G4247*(1-H4247)</f>
        <v>7599.0499999999993</v>
      </c>
    </row>
    <row r="4249" spans="1:12">
      <c r="A4249" t="s">
        <v>5080</v>
      </c>
      <c r="B4249" s="1">
        <v>46081</v>
      </c>
      <c r="C4249" t="s">
        <v>2073</v>
      </c>
      <c r="D4249" t="s">
        <v>26</v>
      </c>
      <c r="E4249" t="s">
        <v>35</v>
      </c>
      <c r="F4249">
        <v>5</v>
      </c>
      <c r="G4249">
        <v>499</v>
      </c>
      <c r="H4249">
        <v>0.05</v>
      </c>
      <c r="I4249" t="s">
        <v>32</v>
      </c>
      <c r="J4249" t="s">
        <v>51</v>
      </c>
      <c r="K4249" t="s">
        <v>37</v>
      </c>
      <c r="L4249">
        <f>F4248*G4248*(1-H4248)</f>
        <v>2156.4</v>
      </c>
    </row>
    <row r="4250" spans="1:12">
      <c r="A4250" t="s">
        <v>5081</v>
      </c>
      <c r="B4250" s="1">
        <v>46043</v>
      </c>
      <c r="C4250" t="s">
        <v>717</v>
      </c>
      <c r="D4250" t="s">
        <v>20</v>
      </c>
      <c r="E4250" t="s">
        <v>35</v>
      </c>
      <c r="F4250">
        <v>5</v>
      </c>
      <c r="G4250">
        <v>999</v>
      </c>
      <c r="H4250">
        <v>0.1</v>
      </c>
      <c r="I4250" t="s">
        <v>50</v>
      </c>
      <c r="J4250" t="s">
        <v>28</v>
      </c>
      <c r="K4250" t="s">
        <v>17</v>
      </c>
      <c r="L4250">
        <f>F4249*G4249*(1-H4249)</f>
        <v>2370.25</v>
      </c>
    </row>
    <row r="4251" spans="1:12">
      <c r="A4251" t="s">
        <v>5082</v>
      </c>
      <c r="B4251" s="1">
        <v>46121</v>
      </c>
      <c r="C4251" t="s">
        <v>2559</v>
      </c>
      <c r="D4251" t="s">
        <v>56</v>
      </c>
      <c r="E4251" t="s">
        <v>35</v>
      </c>
      <c r="F4251">
        <v>1</v>
      </c>
      <c r="G4251">
        <v>1999</v>
      </c>
      <c r="H4251">
        <v>0</v>
      </c>
      <c r="I4251" t="s">
        <v>50</v>
      </c>
      <c r="J4251" t="s">
        <v>28</v>
      </c>
      <c r="K4251" t="s">
        <v>17</v>
      </c>
      <c r="L4251">
        <f>F4250*G4250*(1-H4250)</f>
        <v>4495.5</v>
      </c>
    </row>
    <row r="4252" spans="1:12">
      <c r="A4252" t="s">
        <v>5083</v>
      </c>
      <c r="B4252" s="1">
        <v>46230</v>
      </c>
      <c r="C4252" t="s">
        <v>1370</v>
      </c>
      <c r="D4252" t="s">
        <v>20</v>
      </c>
      <c r="E4252" t="s">
        <v>14</v>
      </c>
      <c r="F4252">
        <v>2</v>
      </c>
      <c r="G4252">
        <v>799</v>
      </c>
      <c r="H4252">
        <v>0.05</v>
      </c>
      <c r="I4252" t="s">
        <v>44</v>
      </c>
      <c r="J4252" t="s">
        <v>22</v>
      </c>
      <c r="K4252" t="s">
        <v>17</v>
      </c>
      <c r="L4252">
        <f>F4251*G4251*(1-H4251)</f>
        <v>1999</v>
      </c>
    </row>
    <row r="4253" spans="1:12">
      <c r="A4253" t="s">
        <v>5084</v>
      </c>
      <c r="B4253" s="1">
        <v>46225</v>
      </c>
      <c r="C4253" t="s">
        <v>644</v>
      </c>
      <c r="D4253" t="s">
        <v>56</v>
      </c>
      <c r="E4253" t="s">
        <v>27</v>
      </c>
      <c r="F4253">
        <v>4</v>
      </c>
      <c r="G4253">
        <v>2499</v>
      </c>
      <c r="H4253">
        <v>0.1</v>
      </c>
      <c r="I4253" t="s">
        <v>32</v>
      </c>
      <c r="J4253" t="s">
        <v>51</v>
      </c>
      <c r="K4253" t="s">
        <v>17</v>
      </c>
      <c r="L4253">
        <f>F4252*G4252*(1-H4252)</f>
        <v>1518.1</v>
      </c>
    </row>
    <row r="4254" spans="1:12">
      <c r="A4254" t="s">
        <v>5085</v>
      </c>
      <c r="B4254" s="1">
        <v>46101</v>
      </c>
      <c r="C4254" t="s">
        <v>3135</v>
      </c>
      <c r="D4254" t="s">
        <v>71</v>
      </c>
      <c r="E4254" t="s">
        <v>14</v>
      </c>
      <c r="F4254">
        <v>2</v>
      </c>
      <c r="G4254">
        <v>1299</v>
      </c>
      <c r="H4254">
        <v>0.05</v>
      </c>
      <c r="I4254" t="s">
        <v>50</v>
      </c>
      <c r="J4254" t="s">
        <v>28</v>
      </c>
      <c r="K4254" t="s">
        <v>23</v>
      </c>
      <c r="L4254">
        <f>F4253*G4253*(1-H4253)</f>
        <v>8996.4</v>
      </c>
    </row>
    <row r="4255" spans="1:12">
      <c r="A4255" t="s">
        <v>5086</v>
      </c>
      <c r="B4255" s="1">
        <v>46077</v>
      </c>
      <c r="C4255" t="s">
        <v>2576</v>
      </c>
      <c r="D4255" t="s">
        <v>59</v>
      </c>
      <c r="E4255" t="s">
        <v>14</v>
      </c>
      <c r="F4255">
        <v>4</v>
      </c>
      <c r="G4255">
        <v>1299</v>
      </c>
      <c r="H4255">
        <v>0</v>
      </c>
      <c r="I4255" t="s">
        <v>15</v>
      </c>
      <c r="J4255" t="s">
        <v>22</v>
      </c>
      <c r="K4255" t="s">
        <v>17</v>
      </c>
      <c r="L4255">
        <f>F4254*G4254*(1-H4254)</f>
        <v>2468.1</v>
      </c>
    </row>
    <row r="4256" spans="1:12">
      <c r="A4256" t="s">
        <v>5087</v>
      </c>
      <c r="B4256" s="1">
        <v>46285</v>
      </c>
      <c r="C4256" t="s">
        <v>460</v>
      </c>
      <c r="D4256" t="s">
        <v>43</v>
      </c>
      <c r="E4256" t="s">
        <v>35</v>
      </c>
      <c r="F4256">
        <v>2</v>
      </c>
      <c r="G4256">
        <v>1999</v>
      </c>
      <c r="H4256">
        <v>0.15</v>
      </c>
      <c r="I4256" t="s">
        <v>32</v>
      </c>
      <c r="J4256" t="s">
        <v>22</v>
      </c>
      <c r="K4256" t="s">
        <v>17</v>
      </c>
      <c r="L4256">
        <f>F4255*G4255*(1-H4255)</f>
        <v>5196</v>
      </c>
    </row>
    <row r="4257" spans="1:12">
      <c r="A4257" t="s">
        <v>5088</v>
      </c>
      <c r="B4257" s="1">
        <v>46034</v>
      </c>
      <c r="C4257" t="s">
        <v>2261</v>
      </c>
      <c r="D4257" t="s">
        <v>71</v>
      </c>
      <c r="E4257" t="s">
        <v>14</v>
      </c>
      <c r="F4257">
        <v>2</v>
      </c>
      <c r="G4257">
        <v>599</v>
      </c>
      <c r="H4257">
        <v>0.15</v>
      </c>
      <c r="I4257" t="s">
        <v>15</v>
      </c>
      <c r="J4257" t="s">
        <v>36</v>
      </c>
      <c r="K4257" t="s">
        <v>17</v>
      </c>
      <c r="L4257">
        <f>F4256*G4256*(1-H4256)</f>
        <v>3398.2999999999997</v>
      </c>
    </row>
    <row r="4258" spans="1:12">
      <c r="A4258" t="s">
        <v>5089</v>
      </c>
      <c r="B4258" s="1">
        <v>46147</v>
      </c>
      <c r="C4258" t="s">
        <v>189</v>
      </c>
      <c r="D4258" t="s">
        <v>13</v>
      </c>
      <c r="E4258" t="s">
        <v>40</v>
      </c>
      <c r="F4258">
        <v>3</v>
      </c>
      <c r="G4258">
        <v>7999</v>
      </c>
      <c r="H4258">
        <v>0</v>
      </c>
      <c r="I4258" t="s">
        <v>44</v>
      </c>
      <c r="J4258" t="s">
        <v>28</v>
      </c>
      <c r="K4258" t="s">
        <v>17</v>
      </c>
      <c r="L4258">
        <f>F4257*G4257*(1-H4257)</f>
        <v>1018.3</v>
      </c>
    </row>
    <row r="4259" spans="1:12">
      <c r="A4259" t="s">
        <v>5090</v>
      </c>
      <c r="B4259" s="1">
        <v>46102</v>
      </c>
      <c r="C4259" t="s">
        <v>1601</v>
      </c>
      <c r="D4259" t="s">
        <v>26</v>
      </c>
      <c r="E4259" t="s">
        <v>40</v>
      </c>
      <c r="F4259">
        <v>3</v>
      </c>
      <c r="G4259">
        <v>1299</v>
      </c>
      <c r="H4259">
        <v>0.05</v>
      </c>
      <c r="I4259" t="s">
        <v>15</v>
      </c>
      <c r="J4259" t="s">
        <v>28</v>
      </c>
      <c r="K4259" t="s">
        <v>37</v>
      </c>
      <c r="L4259">
        <f>F4258*G4258*(1-H4258)</f>
        <v>23997</v>
      </c>
    </row>
    <row r="4260" spans="1:12">
      <c r="A4260" t="s">
        <v>5091</v>
      </c>
      <c r="B4260" s="1">
        <v>46049</v>
      </c>
      <c r="C4260" t="s">
        <v>485</v>
      </c>
      <c r="D4260" t="s">
        <v>13</v>
      </c>
      <c r="E4260" t="s">
        <v>14</v>
      </c>
      <c r="F4260">
        <v>5</v>
      </c>
      <c r="G4260">
        <v>799</v>
      </c>
      <c r="H4260">
        <v>0.05</v>
      </c>
      <c r="I4260" t="s">
        <v>32</v>
      </c>
      <c r="J4260" t="s">
        <v>22</v>
      </c>
      <c r="K4260" t="s">
        <v>17</v>
      </c>
      <c r="L4260">
        <f>F4259*G4259*(1-H4259)</f>
        <v>3702.1499999999996</v>
      </c>
    </row>
    <row r="4261" spans="1:12">
      <c r="A4261" t="s">
        <v>5092</v>
      </c>
      <c r="B4261" s="1">
        <v>46117</v>
      </c>
      <c r="C4261" t="s">
        <v>2882</v>
      </c>
      <c r="D4261" t="s">
        <v>71</v>
      </c>
      <c r="E4261" t="s">
        <v>27</v>
      </c>
      <c r="F4261">
        <v>4</v>
      </c>
      <c r="G4261">
        <v>599</v>
      </c>
      <c r="H4261">
        <v>0.15</v>
      </c>
      <c r="I4261" t="s">
        <v>44</v>
      </c>
      <c r="J4261" t="s">
        <v>22</v>
      </c>
      <c r="K4261" t="s">
        <v>37</v>
      </c>
      <c r="L4261">
        <f>F4260*G4260*(1-H4260)</f>
        <v>3795.25</v>
      </c>
    </row>
    <row r="4262" spans="1:12">
      <c r="A4262" t="s">
        <v>5093</v>
      </c>
      <c r="B4262" s="1">
        <v>46147</v>
      </c>
      <c r="C4262" t="s">
        <v>5094</v>
      </c>
      <c r="D4262" t="s">
        <v>31</v>
      </c>
      <c r="E4262" t="s">
        <v>40</v>
      </c>
      <c r="F4262">
        <v>3</v>
      </c>
      <c r="G4262">
        <v>999</v>
      </c>
      <c r="H4262">
        <v>0</v>
      </c>
      <c r="I4262" t="s">
        <v>32</v>
      </c>
      <c r="J4262" t="s">
        <v>28</v>
      </c>
      <c r="K4262" t="s">
        <v>17</v>
      </c>
      <c r="L4262">
        <f>F4261*G4261*(1-H4261)</f>
        <v>2036.6</v>
      </c>
    </row>
    <row r="4263" spans="1:12">
      <c r="A4263" t="s">
        <v>5095</v>
      </c>
      <c r="B4263" s="1">
        <v>46061</v>
      </c>
      <c r="C4263" t="s">
        <v>158</v>
      </c>
      <c r="D4263" t="s">
        <v>59</v>
      </c>
      <c r="E4263" t="s">
        <v>21</v>
      </c>
      <c r="F4263">
        <v>2</v>
      </c>
      <c r="G4263">
        <v>599</v>
      </c>
      <c r="H4263">
        <v>0.1</v>
      </c>
      <c r="I4263" t="s">
        <v>44</v>
      </c>
      <c r="J4263" t="s">
        <v>51</v>
      </c>
      <c r="K4263" t="s">
        <v>37</v>
      </c>
      <c r="L4263">
        <f>F4262*G4262*(1-H4262)</f>
        <v>2997</v>
      </c>
    </row>
    <row r="4264" spans="1:12">
      <c r="A4264" t="s">
        <v>5096</v>
      </c>
      <c r="B4264" s="1">
        <v>46163</v>
      </c>
      <c r="C4264" t="s">
        <v>1489</v>
      </c>
      <c r="D4264" t="s">
        <v>13</v>
      </c>
      <c r="E4264" t="s">
        <v>27</v>
      </c>
      <c r="F4264">
        <v>5</v>
      </c>
      <c r="G4264">
        <v>1999</v>
      </c>
      <c r="H4264">
        <v>0.1</v>
      </c>
      <c r="I4264" t="s">
        <v>15</v>
      </c>
      <c r="J4264" t="s">
        <v>36</v>
      </c>
      <c r="K4264" t="s">
        <v>23</v>
      </c>
      <c r="L4264">
        <f>F4263*G4263*(1-H4263)</f>
        <v>1078.2</v>
      </c>
    </row>
    <row r="4265" spans="1:12">
      <c r="A4265" t="s">
        <v>5097</v>
      </c>
      <c r="B4265" s="1">
        <v>46097</v>
      </c>
      <c r="C4265" t="s">
        <v>532</v>
      </c>
      <c r="D4265" t="s">
        <v>43</v>
      </c>
      <c r="E4265" t="s">
        <v>14</v>
      </c>
      <c r="F4265">
        <v>5</v>
      </c>
      <c r="G4265">
        <v>7999</v>
      </c>
      <c r="H4265">
        <v>0.15</v>
      </c>
      <c r="I4265" t="s">
        <v>47</v>
      </c>
      <c r="J4265" t="s">
        <v>22</v>
      </c>
      <c r="K4265" t="s">
        <v>23</v>
      </c>
      <c r="L4265">
        <f>F4264*G4264*(1-H4264)</f>
        <v>8995.5</v>
      </c>
    </row>
    <row r="4266" spans="1:12">
      <c r="A4266" t="s">
        <v>5098</v>
      </c>
      <c r="B4266" s="1">
        <v>46033</v>
      </c>
      <c r="C4266" t="s">
        <v>663</v>
      </c>
      <c r="D4266" t="s">
        <v>71</v>
      </c>
      <c r="E4266" t="s">
        <v>14</v>
      </c>
      <c r="F4266">
        <v>5</v>
      </c>
      <c r="G4266">
        <v>499</v>
      </c>
      <c r="H4266">
        <v>0</v>
      </c>
      <c r="I4266" t="s">
        <v>50</v>
      </c>
      <c r="J4266" t="s">
        <v>51</v>
      </c>
      <c r="K4266" t="s">
        <v>17</v>
      </c>
      <c r="L4266">
        <f>F4265*G4265*(1-H4265)</f>
        <v>33995.75</v>
      </c>
    </row>
    <row r="4267" spans="1:12">
      <c r="A4267" t="s">
        <v>5099</v>
      </c>
      <c r="B4267" s="1">
        <v>46234</v>
      </c>
      <c r="C4267" t="s">
        <v>1700</v>
      </c>
      <c r="D4267" t="s">
        <v>62</v>
      </c>
      <c r="E4267" t="s">
        <v>35</v>
      </c>
      <c r="F4267">
        <v>3</v>
      </c>
      <c r="G4267">
        <v>1999</v>
      </c>
      <c r="H4267">
        <v>0</v>
      </c>
      <c r="I4267" t="s">
        <v>47</v>
      </c>
      <c r="J4267" t="s">
        <v>16</v>
      </c>
      <c r="K4267" t="s">
        <v>37</v>
      </c>
      <c r="L4267">
        <f>F4266*G4266*(1-H4266)</f>
        <v>2495</v>
      </c>
    </row>
    <row r="4268" spans="1:12">
      <c r="A4268" t="s">
        <v>5100</v>
      </c>
      <c r="B4268" s="1">
        <v>46168</v>
      </c>
      <c r="C4268" t="s">
        <v>205</v>
      </c>
      <c r="D4268" t="s">
        <v>71</v>
      </c>
      <c r="E4268" t="s">
        <v>27</v>
      </c>
      <c r="F4268">
        <v>2</v>
      </c>
      <c r="G4268">
        <v>599</v>
      </c>
      <c r="H4268">
        <v>0.15</v>
      </c>
      <c r="I4268" t="s">
        <v>47</v>
      </c>
      <c r="J4268" t="s">
        <v>28</v>
      </c>
      <c r="K4268" t="s">
        <v>17</v>
      </c>
      <c r="L4268">
        <f>F4267*G4267*(1-H4267)</f>
        <v>5997</v>
      </c>
    </row>
    <row r="4269" spans="1:12">
      <c r="A4269" t="s">
        <v>5101</v>
      </c>
      <c r="B4269" s="1">
        <v>46171</v>
      </c>
      <c r="C4269" t="s">
        <v>604</v>
      </c>
      <c r="D4269" t="s">
        <v>20</v>
      </c>
      <c r="E4269" t="s">
        <v>35</v>
      </c>
      <c r="F4269">
        <v>2</v>
      </c>
      <c r="G4269">
        <v>1299</v>
      </c>
      <c r="H4269">
        <v>0.15</v>
      </c>
      <c r="I4269" t="s">
        <v>50</v>
      </c>
      <c r="J4269" t="s">
        <v>28</v>
      </c>
      <c r="K4269" t="s">
        <v>17</v>
      </c>
      <c r="L4269">
        <f>F4268*G4268*(1-H4268)</f>
        <v>1018.3</v>
      </c>
    </row>
    <row r="4270" spans="1:12">
      <c r="A4270" t="s">
        <v>5102</v>
      </c>
      <c r="B4270" s="1">
        <v>46251</v>
      </c>
      <c r="C4270" t="s">
        <v>736</v>
      </c>
      <c r="D4270" t="s">
        <v>31</v>
      </c>
      <c r="E4270" t="s">
        <v>21</v>
      </c>
      <c r="F4270">
        <v>4</v>
      </c>
      <c r="G4270">
        <v>7999</v>
      </c>
      <c r="H4270">
        <v>0</v>
      </c>
      <c r="I4270" t="s">
        <v>15</v>
      </c>
      <c r="J4270" t="s">
        <v>51</v>
      </c>
      <c r="K4270" t="s">
        <v>37</v>
      </c>
      <c r="L4270">
        <f>F4269*G4269*(1-H4269)</f>
        <v>2208.2999999999997</v>
      </c>
    </row>
    <row r="4271" spans="1:12">
      <c r="A4271" t="s">
        <v>5103</v>
      </c>
      <c r="B4271" s="1">
        <v>46190</v>
      </c>
      <c r="C4271" t="s">
        <v>92</v>
      </c>
      <c r="D4271" t="s">
        <v>43</v>
      </c>
      <c r="E4271" t="s">
        <v>21</v>
      </c>
      <c r="F4271">
        <v>5</v>
      </c>
      <c r="G4271">
        <v>499</v>
      </c>
      <c r="H4271">
        <v>0.15</v>
      </c>
      <c r="I4271" t="s">
        <v>15</v>
      </c>
      <c r="J4271" t="s">
        <v>51</v>
      </c>
      <c r="K4271" t="s">
        <v>37</v>
      </c>
      <c r="L4271">
        <f>F4270*G4270*(1-H4270)</f>
        <v>31996</v>
      </c>
    </row>
    <row r="4272" spans="1:12">
      <c r="A4272" t="s">
        <v>5104</v>
      </c>
      <c r="B4272" s="1">
        <v>46172</v>
      </c>
      <c r="C4272" t="s">
        <v>265</v>
      </c>
      <c r="D4272" t="s">
        <v>26</v>
      </c>
      <c r="E4272" t="s">
        <v>14</v>
      </c>
      <c r="F4272">
        <v>4</v>
      </c>
      <c r="G4272">
        <v>499</v>
      </c>
      <c r="H4272">
        <v>0.15</v>
      </c>
      <c r="I4272" t="s">
        <v>50</v>
      </c>
      <c r="J4272" t="s">
        <v>51</v>
      </c>
      <c r="K4272" t="s">
        <v>17</v>
      </c>
      <c r="L4272">
        <f>F4271*G4271*(1-H4271)</f>
        <v>2120.75</v>
      </c>
    </row>
    <row r="4273" spans="1:12">
      <c r="A4273" t="s">
        <v>5105</v>
      </c>
      <c r="B4273" s="1">
        <v>46149</v>
      </c>
      <c r="C4273" t="s">
        <v>667</v>
      </c>
      <c r="D4273" t="s">
        <v>13</v>
      </c>
      <c r="E4273" t="s">
        <v>40</v>
      </c>
      <c r="F4273">
        <v>3</v>
      </c>
      <c r="G4273">
        <v>1999</v>
      </c>
      <c r="H4273">
        <v>0.15</v>
      </c>
      <c r="I4273" t="s">
        <v>15</v>
      </c>
      <c r="J4273" t="s">
        <v>16</v>
      </c>
      <c r="K4273" t="s">
        <v>17</v>
      </c>
      <c r="L4273">
        <f>F4272*G4272*(1-H4272)</f>
        <v>1696.6</v>
      </c>
    </row>
    <row r="4274" spans="1:12">
      <c r="A4274" t="s">
        <v>5106</v>
      </c>
      <c r="B4274" s="1">
        <v>46241</v>
      </c>
      <c r="C4274" t="s">
        <v>454</v>
      </c>
      <c r="D4274" t="s">
        <v>78</v>
      </c>
      <c r="E4274" t="s">
        <v>40</v>
      </c>
      <c r="F4274">
        <v>3</v>
      </c>
      <c r="G4274">
        <v>4999</v>
      </c>
      <c r="H4274">
        <v>0.15</v>
      </c>
      <c r="I4274" t="s">
        <v>32</v>
      </c>
      <c r="J4274" t="s">
        <v>28</v>
      </c>
      <c r="K4274" t="s">
        <v>23</v>
      </c>
      <c r="L4274">
        <f>F4273*G4273*(1-H4273)</f>
        <v>5097.45</v>
      </c>
    </row>
    <row r="4275" spans="1:12">
      <c r="A4275" t="s">
        <v>5107</v>
      </c>
      <c r="B4275" s="1">
        <v>46069</v>
      </c>
      <c r="C4275" t="s">
        <v>2807</v>
      </c>
      <c r="D4275" t="s">
        <v>59</v>
      </c>
      <c r="E4275" t="s">
        <v>40</v>
      </c>
      <c r="F4275">
        <v>5</v>
      </c>
      <c r="G4275">
        <v>2499</v>
      </c>
      <c r="H4275">
        <v>0.1</v>
      </c>
      <c r="I4275" t="s">
        <v>15</v>
      </c>
      <c r="J4275" t="s">
        <v>36</v>
      </c>
      <c r="K4275" t="s">
        <v>17</v>
      </c>
      <c r="L4275">
        <f>F4274*G4274*(1-H4274)</f>
        <v>12747.449999999999</v>
      </c>
    </row>
    <row r="4276" spans="1:12">
      <c r="A4276" t="s">
        <v>5108</v>
      </c>
      <c r="B4276" s="1">
        <v>46115</v>
      </c>
      <c r="C4276" t="s">
        <v>302</v>
      </c>
      <c r="D4276" t="s">
        <v>31</v>
      </c>
      <c r="E4276" t="s">
        <v>14</v>
      </c>
      <c r="F4276">
        <v>1</v>
      </c>
      <c r="G4276">
        <v>799</v>
      </c>
      <c r="H4276">
        <v>0.15</v>
      </c>
      <c r="I4276" t="s">
        <v>47</v>
      </c>
      <c r="J4276" t="s">
        <v>51</v>
      </c>
      <c r="K4276" t="s">
        <v>17</v>
      </c>
      <c r="L4276">
        <f>F4275*G4275*(1-H4275)</f>
        <v>11245.5</v>
      </c>
    </row>
    <row r="4277" spans="1:12">
      <c r="A4277" t="s">
        <v>5109</v>
      </c>
      <c r="B4277" s="1">
        <v>46227</v>
      </c>
      <c r="C4277" t="s">
        <v>746</v>
      </c>
      <c r="D4277" t="s">
        <v>59</v>
      </c>
      <c r="E4277" t="s">
        <v>40</v>
      </c>
      <c r="F4277">
        <v>1</v>
      </c>
      <c r="G4277">
        <v>7999</v>
      </c>
      <c r="H4277">
        <v>0.1</v>
      </c>
      <c r="I4277" t="s">
        <v>44</v>
      </c>
      <c r="J4277" t="s">
        <v>51</v>
      </c>
      <c r="K4277" t="s">
        <v>17</v>
      </c>
      <c r="L4277">
        <f>F4276*G4276*(1-H4276)</f>
        <v>679.15</v>
      </c>
    </row>
    <row r="4278" spans="1:12">
      <c r="A4278" t="s">
        <v>5110</v>
      </c>
      <c r="B4278" s="1">
        <v>46273</v>
      </c>
      <c r="C4278" t="s">
        <v>470</v>
      </c>
      <c r="D4278" t="s">
        <v>71</v>
      </c>
      <c r="E4278" t="s">
        <v>14</v>
      </c>
      <c r="F4278">
        <v>5</v>
      </c>
      <c r="G4278">
        <v>7999</v>
      </c>
      <c r="H4278">
        <v>0</v>
      </c>
      <c r="I4278" t="s">
        <v>50</v>
      </c>
      <c r="J4278" t="s">
        <v>22</v>
      </c>
      <c r="K4278" t="s">
        <v>17</v>
      </c>
      <c r="L4278">
        <f>F4277*G4277*(1-H4277)</f>
        <v>7199.1</v>
      </c>
    </row>
    <row r="4279" spans="1:12">
      <c r="A4279" t="s">
        <v>5111</v>
      </c>
      <c r="B4279" s="1">
        <v>46203</v>
      </c>
      <c r="C4279" t="s">
        <v>434</v>
      </c>
      <c r="D4279" t="s">
        <v>43</v>
      </c>
      <c r="E4279" t="s">
        <v>14</v>
      </c>
      <c r="F4279">
        <v>1</v>
      </c>
      <c r="G4279">
        <v>799</v>
      </c>
      <c r="H4279">
        <v>0</v>
      </c>
      <c r="I4279" t="s">
        <v>32</v>
      </c>
      <c r="J4279" t="s">
        <v>51</v>
      </c>
      <c r="K4279" t="s">
        <v>17</v>
      </c>
      <c r="L4279">
        <f>F4278*G4278*(1-H4278)</f>
        <v>39995</v>
      </c>
    </row>
    <row r="4280" spans="1:12">
      <c r="A4280" t="s">
        <v>5112</v>
      </c>
      <c r="B4280" s="1">
        <v>46259</v>
      </c>
      <c r="C4280" t="s">
        <v>517</v>
      </c>
      <c r="D4280" t="s">
        <v>59</v>
      </c>
      <c r="E4280" t="s">
        <v>27</v>
      </c>
      <c r="F4280">
        <v>5</v>
      </c>
      <c r="G4280">
        <v>799</v>
      </c>
      <c r="H4280">
        <v>0</v>
      </c>
      <c r="I4280" t="s">
        <v>32</v>
      </c>
      <c r="J4280" t="s">
        <v>36</v>
      </c>
      <c r="K4280" t="s">
        <v>17</v>
      </c>
      <c r="L4280">
        <f>F4279*G4279*(1-H4279)</f>
        <v>799</v>
      </c>
    </row>
    <row r="4281" spans="1:12">
      <c r="A4281" t="s">
        <v>5113</v>
      </c>
      <c r="B4281" s="1">
        <v>46294</v>
      </c>
      <c r="C4281" t="s">
        <v>711</v>
      </c>
      <c r="D4281" t="s">
        <v>13</v>
      </c>
      <c r="E4281" t="s">
        <v>35</v>
      </c>
      <c r="F4281">
        <v>1</v>
      </c>
      <c r="G4281">
        <v>4999</v>
      </c>
      <c r="H4281">
        <v>0.15</v>
      </c>
      <c r="I4281" t="s">
        <v>47</v>
      </c>
      <c r="J4281" t="s">
        <v>16</v>
      </c>
      <c r="K4281" t="s">
        <v>23</v>
      </c>
      <c r="L4281">
        <f>F4280*G4280*(1-H4280)</f>
        <v>3995</v>
      </c>
    </row>
    <row r="4282" spans="1:12">
      <c r="A4282" t="s">
        <v>5114</v>
      </c>
      <c r="B4282" s="1">
        <v>46147</v>
      </c>
      <c r="C4282" t="s">
        <v>64</v>
      </c>
      <c r="D4282" t="s">
        <v>13</v>
      </c>
      <c r="E4282" t="s">
        <v>21</v>
      </c>
      <c r="F4282">
        <v>2</v>
      </c>
      <c r="G4282">
        <v>2499</v>
      </c>
      <c r="H4282">
        <v>0.15</v>
      </c>
      <c r="I4282" t="s">
        <v>32</v>
      </c>
      <c r="J4282" t="s">
        <v>51</v>
      </c>
      <c r="K4282" t="s">
        <v>23</v>
      </c>
      <c r="L4282">
        <f>F4281*G4281*(1-H4281)</f>
        <v>4249.1499999999996</v>
      </c>
    </row>
    <row r="4283" spans="1:12">
      <c r="A4283" t="s">
        <v>5115</v>
      </c>
      <c r="B4283" s="1">
        <v>46083</v>
      </c>
      <c r="C4283" t="s">
        <v>2735</v>
      </c>
      <c r="D4283" t="s">
        <v>71</v>
      </c>
      <c r="E4283" t="s">
        <v>35</v>
      </c>
      <c r="F4283">
        <v>5</v>
      </c>
      <c r="G4283">
        <v>1499</v>
      </c>
      <c r="H4283">
        <v>0.1</v>
      </c>
      <c r="I4283" t="s">
        <v>47</v>
      </c>
      <c r="J4283" t="s">
        <v>28</v>
      </c>
      <c r="K4283" t="s">
        <v>23</v>
      </c>
      <c r="L4283">
        <f>F4282*G4282*(1-H4282)</f>
        <v>4248.3</v>
      </c>
    </row>
    <row r="4284" spans="1:12">
      <c r="A4284" t="s">
        <v>5116</v>
      </c>
      <c r="B4284" s="1">
        <v>46029</v>
      </c>
      <c r="C4284" t="s">
        <v>1297</v>
      </c>
      <c r="D4284" t="s">
        <v>13</v>
      </c>
      <c r="E4284" t="s">
        <v>27</v>
      </c>
      <c r="F4284">
        <v>3</v>
      </c>
      <c r="G4284">
        <v>499</v>
      </c>
      <c r="H4284">
        <v>0.1</v>
      </c>
      <c r="I4284" t="s">
        <v>15</v>
      </c>
      <c r="J4284" t="s">
        <v>22</v>
      </c>
      <c r="K4284" t="s">
        <v>17</v>
      </c>
      <c r="L4284">
        <f>F4283*G4283*(1-H4283)</f>
        <v>6745.5</v>
      </c>
    </row>
    <row r="4285" spans="1:12">
      <c r="A4285" t="s">
        <v>5117</v>
      </c>
      <c r="B4285" s="1">
        <v>46059</v>
      </c>
      <c r="C4285" t="s">
        <v>1351</v>
      </c>
      <c r="D4285" t="s">
        <v>56</v>
      </c>
      <c r="E4285" t="s">
        <v>21</v>
      </c>
      <c r="F4285">
        <v>1</v>
      </c>
      <c r="G4285">
        <v>1299</v>
      </c>
      <c r="H4285">
        <v>0.1</v>
      </c>
      <c r="I4285" t="s">
        <v>15</v>
      </c>
      <c r="J4285" t="s">
        <v>28</v>
      </c>
      <c r="K4285" t="s">
        <v>17</v>
      </c>
      <c r="L4285">
        <f>F4284*G4284*(1-H4284)</f>
        <v>1347.3</v>
      </c>
    </row>
    <row r="4286" spans="1:12">
      <c r="A4286" t="s">
        <v>5118</v>
      </c>
      <c r="B4286" s="1">
        <v>46128</v>
      </c>
      <c r="C4286" t="s">
        <v>80</v>
      </c>
      <c r="D4286" t="s">
        <v>56</v>
      </c>
      <c r="E4286" t="s">
        <v>14</v>
      </c>
      <c r="F4286">
        <v>3</v>
      </c>
      <c r="G4286">
        <v>1499</v>
      </c>
      <c r="H4286">
        <v>0</v>
      </c>
      <c r="I4286" t="s">
        <v>44</v>
      </c>
      <c r="J4286" t="s">
        <v>22</v>
      </c>
      <c r="K4286" t="s">
        <v>17</v>
      </c>
      <c r="L4286">
        <f>F4285*G4285*(1-H4285)</f>
        <v>1169.1000000000001</v>
      </c>
    </row>
    <row r="4287" spans="1:12">
      <c r="A4287" t="s">
        <v>5119</v>
      </c>
      <c r="B4287" s="1">
        <v>46195</v>
      </c>
      <c r="C4287" t="s">
        <v>119</v>
      </c>
      <c r="D4287" t="s">
        <v>78</v>
      </c>
      <c r="E4287" t="s">
        <v>40</v>
      </c>
      <c r="F4287">
        <v>2</v>
      </c>
      <c r="G4287">
        <v>4999</v>
      </c>
      <c r="H4287">
        <v>0</v>
      </c>
      <c r="I4287" t="s">
        <v>47</v>
      </c>
      <c r="J4287" t="s">
        <v>51</v>
      </c>
      <c r="K4287" t="s">
        <v>37</v>
      </c>
      <c r="L4287">
        <f>F4286*G4286*(1-H4286)</f>
        <v>4497</v>
      </c>
    </row>
    <row r="4288" spans="1:12">
      <c r="A4288" t="s">
        <v>5120</v>
      </c>
      <c r="B4288" s="1">
        <v>46090</v>
      </c>
      <c r="C4288" t="s">
        <v>439</v>
      </c>
      <c r="D4288" t="s">
        <v>71</v>
      </c>
      <c r="E4288" t="s">
        <v>21</v>
      </c>
      <c r="F4288">
        <v>4</v>
      </c>
      <c r="G4288">
        <v>799</v>
      </c>
      <c r="H4288">
        <v>0.1</v>
      </c>
      <c r="I4288" t="s">
        <v>50</v>
      </c>
      <c r="J4288" t="s">
        <v>28</v>
      </c>
      <c r="K4288" t="s">
        <v>17</v>
      </c>
      <c r="L4288">
        <f>F4287*G4287*(1-H4287)</f>
        <v>9998</v>
      </c>
    </row>
    <row r="4289" spans="1:12">
      <c r="A4289" t="s">
        <v>5121</v>
      </c>
      <c r="B4289" s="1">
        <v>46215</v>
      </c>
      <c r="C4289" t="s">
        <v>590</v>
      </c>
      <c r="D4289" t="s">
        <v>71</v>
      </c>
      <c r="E4289" t="s">
        <v>21</v>
      </c>
      <c r="F4289">
        <v>4</v>
      </c>
      <c r="G4289">
        <v>1299</v>
      </c>
      <c r="H4289">
        <v>0</v>
      </c>
      <c r="I4289" t="s">
        <v>50</v>
      </c>
      <c r="J4289" t="s">
        <v>28</v>
      </c>
      <c r="K4289" t="s">
        <v>17</v>
      </c>
      <c r="L4289">
        <f>F4288*G4288*(1-H4288)</f>
        <v>2876.4</v>
      </c>
    </row>
    <row r="4290" spans="1:12">
      <c r="A4290" t="s">
        <v>5122</v>
      </c>
      <c r="B4290" s="1">
        <v>46214</v>
      </c>
      <c r="C4290" t="s">
        <v>462</v>
      </c>
      <c r="D4290" t="s">
        <v>13</v>
      </c>
      <c r="E4290" t="s">
        <v>21</v>
      </c>
      <c r="F4290">
        <v>5</v>
      </c>
      <c r="G4290">
        <v>4999</v>
      </c>
      <c r="H4290">
        <v>0.05</v>
      </c>
      <c r="I4290" t="s">
        <v>44</v>
      </c>
      <c r="J4290" t="s">
        <v>36</v>
      </c>
      <c r="K4290" t="s">
        <v>17</v>
      </c>
      <c r="L4290">
        <f>F4289*G4289*(1-H4289)</f>
        <v>5196</v>
      </c>
    </row>
    <row r="4291" spans="1:12">
      <c r="A4291" t="s">
        <v>5123</v>
      </c>
      <c r="B4291" s="1">
        <v>46290</v>
      </c>
      <c r="C4291" t="s">
        <v>923</v>
      </c>
      <c r="D4291" t="s">
        <v>62</v>
      </c>
      <c r="E4291" t="s">
        <v>21</v>
      </c>
      <c r="F4291">
        <v>1</v>
      </c>
      <c r="G4291">
        <v>2499</v>
      </c>
      <c r="H4291">
        <v>0.15</v>
      </c>
      <c r="I4291" t="s">
        <v>44</v>
      </c>
      <c r="J4291" t="s">
        <v>22</v>
      </c>
      <c r="K4291" t="s">
        <v>17</v>
      </c>
      <c r="L4291">
        <f>F4290*G4290*(1-H4290)</f>
        <v>23745.25</v>
      </c>
    </row>
    <row r="4292" spans="1:12">
      <c r="A4292" t="s">
        <v>5124</v>
      </c>
      <c r="B4292" s="1">
        <v>46066</v>
      </c>
      <c r="C4292" t="s">
        <v>2463</v>
      </c>
      <c r="D4292" t="s">
        <v>78</v>
      </c>
      <c r="E4292" t="s">
        <v>14</v>
      </c>
      <c r="F4292">
        <v>3</v>
      </c>
      <c r="G4292">
        <v>599</v>
      </c>
      <c r="H4292">
        <v>0</v>
      </c>
      <c r="I4292" t="s">
        <v>50</v>
      </c>
      <c r="J4292" t="s">
        <v>51</v>
      </c>
      <c r="K4292" t="s">
        <v>17</v>
      </c>
      <c r="L4292">
        <f>F4291*G4291*(1-H4291)</f>
        <v>2124.15</v>
      </c>
    </row>
    <row r="4293" spans="1:12">
      <c r="A4293" t="s">
        <v>5125</v>
      </c>
      <c r="B4293" s="1">
        <v>46263</v>
      </c>
      <c r="C4293" t="s">
        <v>349</v>
      </c>
      <c r="D4293" t="s">
        <v>62</v>
      </c>
      <c r="E4293" t="s">
        <v>40</v>
      </c>
      <c r="F4293">
        <v>3</v>
      </c>
      <c r="G4293">
        <v>7999</v>
      </c>
      <c r="H4293">
        <v>0.1</v>
      </c>
      <c r="I4293" t="s">
        <v>32</v>
      </c>
      <c r="J4293" t="s">
        <v>51</v>
      </c>
      <c r="K4293" t="s">
        <v>23</v>
      </c>
      <c r="L4293">
        <f>F4292*G4292*(1-H4292)</f>
        <v>1797</v>
      </c>
    </row>
    <row r="4294" spans="1:12">
      <c r="A4294" t="s">
        <v>5126</v>
      </c>
      <c r="B4294" s="1">
        <v>46145</v>
      </c>
      <c r="C4294" t="s">
        <v>528</v>
      </c>
      <c r="D4294" t="s">
        <v>62</v>
      </c>
      <c r="E4294" t="s">
        <v>35</v>
      </c>
      <c r="F4294">
        <v>4</v>
      </c>
      <c r="G4294">
        <v>2499</v>
      </c>
      <c r="H4294">
        <v>0.1</v>
      </c>
      <c r="I4294" t="s">
        <v>15</v>
      </c>
      <c r="J4294" t="s">
        <v>22</v>
      </c>
      <c r="K4294" t="s">
        <v>17</v>
      </c>
      <c r="L4294">
        <f>F4293*G4293*(1-H4293)</f>
        <v>21597.3</v>
      </c>
    </row>
    <row r="4295" spans="1:12">
      <c r="A4295" t="s">
        <v>5127</v>
      </c>
      <c r="B4295" s="1">
        <v>46295</v>
      </c>
      <c r="C4295" t="s">
        <v>80</v>
      </c>
      <c r="D4295" t="s">
        <v>56</v>
      </c>
      <c r="E4295" t="s">
        <v>14</v>
      </c>
      <c r="F4295">
        <v>5</v>
      </c>
      <c r="G4295">
        <v>1299</v>
      </c>
      <c r="H4295">
        <v>0</v>
      </c>
      <c r="I4295" t="s">
        <v>47</v>
      </c>
      <c r="J4295" t="s">
        <v>22</v>
      </c>
      <c r="K4295" t="s">
        <v>37</v>
      </c>
      <c r="L4295">
        <f>F4294*G4294*(1-H4294)</f>
        <v>8996.4</v>
      </c>
    </row>
    <row r="4296" spans="1:12">
      <c r="A4296" t="s">
        <v>5128</v>
      </c>
      <c r="B4296" s="1">
        <v>46225</v>
      </c>
      <c r="C4296" t="s">
        <v>1763</v>
      </c>
      <c r="D4296" t="s">
        <v>26</v>
      </c>
      <c r="E4296" t="s">
        <v>14</v>
      </c>
      <c r="F4296">
        <v>1</v>
      </c>
      <c r="G4296">
        <v>1299</v>
      </c>
      <c r="H4296">
        <v>0</v>
      </c>
      <c r="I4296" t="s">
        <v>50</v>
      </c>
      <c r="J4296" t="s">
        <v>28</v>
      </c>
      <c r="K4296" t="s">
        <v>23</v>
      </c>
      <c r="L4296">
        <f>F4295*G4295*(1-H4295)</f>
        <v>6495</v>
      </c>
    </row>
    <row r="4297" spans="1:12">
      <c r="A4297" t="s">
        <v>5129</v>
      </c>
      <c r="B4297" s="1">
        <v>46284</v>
      </c>
      <c r="C4297" t="s">
        <v>1831</v>
      </c>
      <c r="D4297" t="s">
        <v>26</v>
      </c>
      <c r="E4297" t="s">
        <v>35</v>
      </c>
      <c r="F4297">
        <v>3</v>
      </c>
      <c r="G4297">
        <v>499</v>
      </c>
      <c r="H4297">
        <v>0.05</v>
      </c>
      <c r="I4297" t="s">
        <v>44</v>
      </c>
      <c r="J4297" t="s">
        <v>28</v>
      </c>
      <c r="K4297" t="s">
        <v>23</v>
      </c>
      <c r="L4297">
        <f>F4296*G4296*(1-H4296)</f>
        <v>1299</v>
      </c>
    </row>
    <row r="4298" spans="1:12">
      <c r="A4298" t="s">
        <v>5130</v>
      </c>
      <c r="B4298" s="1">
        <v>46264</v>
      </c>
      <c r="C4298" t="s">
        <v>644</v>
      </c>
      <c r="D4298" t="s">
        <v>43</v>
      </c>
      <c r="E4298" t="s">
        <v>14</v>
      </c>
      <c r="F4298">
        <v>2</v>
      </c>
      <c r="G4298">
        <v>1499</v>
      </c>
      <c r="H4298">
        <v>0.05</v>
      </c>
      <c r="I4298" t="s">
        <v>15</v>
      </c>
      <c r="J4298" t="s">
        <v>51</v>
      </c>
      <c r="K4298" t="s">
        <v>23</v>
      </c>
      <c r="L4298">
        <f>F4297*G4297*(1-H4297)</f>
        <v>1422.1499999999999</v>
      </c>
    </row>
    <row r="4299" spans="1:12">
      <c r="A4299" t="s">
        <v>5131</v>
      </c>
      <c r="B4299" s="1">
        <v>46055</v>
      </c>
      <c r="C4299" t="s">
        <v>351</v>
      </c>
      <c r="D4299" t="s">
        <v>71</v>
      </c>
      <c r="E4299" t="s">
        <v>35</v>
      </c>
      <c r="F4299">
        <v>3</v>
      </c>
      <c r="G4299">
        <v>1299</v>
      </c>
      <c r="H4299">
        <v>0.15</v>
      </c>
      <c r="I4299" t="s">
        <v>47</v>
      </c>
      <c r="J4299" t="s">
        <v>36</v>
      </c>
      <c r="K4299" t="s">
        <v>37</v>
      </c>
      <c r="L4299">
        <f>F4298*G4298*(1-H4298)</f>
        <v>2848.1</v>
      </c>
    </row>
    <row r="4300" spans="1:12">
      <c r="A4300" t="s">
        <v>5132</v>
      </c>
      <c r="B4300" s="1">
        <v>46275</v>
      </c>
      <c r="C4300" t="s">
        <v>1173</v>
      </c>
      <c r="D4300" t="s">
        <v>20</v>
      </c>
      <c r="E4300" t="s">
        <v>14</v>
      </c>
      <c r="F4300">
        <v>3</v>
      </c>
      <c r="G4300">
        <v>2499</v>
      </c>
      <c r="H4300">
        <v>0.15</v>
      </c>
      <c r="I4300" t="s">
        <v>15</v>
      </c>
      <c r="J4300" t="s">
        <v>16</v>
      </c>
      <c r="K4300" t="s">
        <v>37</v>
      </c>
      <c r="L4300">
        <f>F4299*G4299*(1-H4299)</f>
        <v>3312.45</v>
      </c>
    </row>
    <row r="4301" spans="1:12">
      <c r="A4301" t="s">
        <v>5133</v>
      </c>
      <c r="B4301" s="1">
        <v>46042</v>
      </c>
      <c r="C4301" t="s">
        <v>42</v>
      </c>
      <c r="D4301" t="s">
        <v>31</v>
      </c>
      <c r="E4301" t="s">
        <v>27</v>
      </c>
      <c r="F4301">
        <v>1</v>
      </c>
      <c r="G4301">
        <v>7999</v>
      </c>
      <c r="H4301">
        <v>0</v>
      </c>
      <c r="I4301" t="s">
        <v>32</v>
      </c>
      <c r="J4301" t="s">
        <v>16</v>
      </c>
      <c r="K4301" t="s">
        <v>37</v>
      </c>
      <c r="L4301">
        <f>F4300*G4300*(1-H4300)</f>
        <v>6372.45</v>
      </c>
    </row>
    <row r="4302" spans="1:12">
      <c r="A4302" t="s">
        <v>5134</v>
      </c>
      <c r="B4302" s="1">
        <v>46101</v>
      </c>
      <c r="C4302" t="s">
        <v>1768</v>
      </c>
      <c r="D4302" t="s">
        <v>26</v>
      </c>
      <c r="E4302" t="s">
        <v>40</v>
      </c>
      <c r="F4302">
        <v>1</v>
      </c>
      <c r="G4302">
        <v>1999</v>
      </c>
      <c r="H4302">
        <v>0.1</v>
      </c>
      <c r="I4302" t="s">
        <v>44</v>
      </c>
      <c r="J4302" t="s">
        <v>22</v>
      </c>
      <c r="K4302" t="s">
        <v>17</v>
      </c>
      <c r="L4302">
        <f>F4301*G4301*(1-H4301)</f>
        <v>7999</v>
      </c>
    </row>
    <row r="4303" spans="1:12">
      <c r="A4303" t="s">
        <v>5135</v>
      </c>
      <c r="B4303" s="1">
        <v>46044</v>
      </c>
      <c r="C4303" t="s">
        <v>2040</v>
      </c>
      <c r="D4303" t="s">
        <v>56</v>
      </c>
      <c r="E4303" t="s">
        <v>40</v>
      </c>
      <c r="F4303">
        <v>4</v>
      </c>
      <c r="G4303">
        <v>1299</v>
      </c>
      <c r="H4303">
        <v>0.1</v>
      </c>
      <c r="I4303" t="s">
        <v>47</v>
      </c>
      <c r="J4303" t="s">
        <v>22</v>
      </c>
      <c r="K4303" t="s">
        <v>17</v>
      </c>
      <c r="L4303">
        <f>F4302*G4302*(1-H4302)</f>
        <v>1799.1000000000001</v>
      </c>
    </row>
    <row r="4304" spans="1:12">
      <c r="A4304" t="s">
        <v>5136</v>
      </c>
      <c r="B4304" s="1">
        <v>46147</v>
      </c>
      <c r="C4304" t="s">
        <v>2713</v>
      </c>
      <c r="D4304" t="s">
        <v>71</v>
      </c>
      <c r="E4304" t="s">
        <v>35</v>
      </c>
      <c r="F4304">
        <v>4</v>
      </c>
      <c r="G4304">
        <v>1499</v>
      </c>
      <c r="H4304">
        <v>0.15</v>
      </c>
      <c r="I4304" t="s">
        <v>50</v>
      </c>
      <c r="J4304" t="s">
        <v>22</v>
      </c>
      <c r="K4304" t="s">
        <v>23</v>
      </c>
      <c r="L4304">
        <f>F4303*G4303*(1-H4303)</f>
        <v>4676.4000000000005</v>
      </c>
    </row>
    <row r="4305" spans="1:12">
      <c r="A4305" t="s">
        <v>5137</v>
      </c>
      <c r="B4305" s="1">
        <v>46044</v>
      </c>
      <c r="C4305" t="s">
        <v>1058</v>
      </c>
      <c r="D4305" t="s">
        <v>62</v>
      </c>
      <c r="E4305" t="s">
        <v>40</v>
      </c>
      <c r="F4305">
        <v>4</v>
      </c>
      <c r="G4305">
        <v>599</v>
      </c>
      <c r="H4305">
        <v>0.05</v>
      </c>
      <c r="I4305" t="s">
        <v>44</v>
      </c>
      <c r="J4305" t="s">
        <v>16</v>
      </c>
      <c r="K4305" t="s">
        <v>23</v>
      </c>
      <c r="L4305">
        <f>F4304*G4304*(1-H4304)</f>
        <v>5096.5999999999995</v>
      </c>
    </row>
    <row r="4306" spans="1:12">
      <c r="A4306" t="s">
        <v>5138</v>
      </c>
      <c r="B4306" s="1">
        <v>46064</v>
      </c>
      <c r="C4306" t="s">
        <v>1666</v>
      </c>
      <c r="D4306" t="s">
        <v>78</v>
      </c>
      <c r="E4306" t="s">
        <v>40</v>
      </c>
      <c r="F4306">
        <v>5</v>
      </c>
      <c r="G4306">
        <v>1499</v>
      </c>
      <c r="H4306">
        <v>0.15</v>
      </c>
      <c r="I4306" t="s">
        <v>32</v>
      </c>
      <c r="J4306" t="s">
        <v>51</v>
      </c>
      <c r="K4306" t="s">
        <v>17</v>
      </c>
      <c r="L4306">
        <f>F4305*G4305*(1-H4305)</f>
        <v>2276.1999999999998</v>
      </c>
    </row>
    <row r="4307" spans="1:12">
      <c r="A4307" t="s">
        <v>5139</v>
      </c>
      <c r="B4307" s="1">
        <v>46106</v>
      </c>
      <c r="C4307" t="s">
        <v>302</v>
      </c>
      <c r="D4307" t="s">
        <v>13</v>
      </c>
      <c r="E4307" t="s">
        <v>14</v>
      </c>
      <c r="F4307">
        <v>5</v>
      </c>
      <c r="G4307">
        <v>2499</v>
      </c>
      <c r="H4307">
        <v>0</v>
      </c>
      <c r="I4307" t="s">
        <v>15</v>
      </c>
      <c r="J4307" t="s">
        <v>22</v>
      </c>
      <c r="K4307" t="s">
        <v>37</v>
      </c>
      <c r="L4307">
        <f>F4306*G4306*(1-H4306)</f>
        <v>6370.75</v>
      </c>
    </row>
    <row r="4308" spans="1:12">
      <c r="A4308" t="s">
        <v>5140</v>
      </c>
      <c r="B4308" s="1">
        <v>46140</v>
      </c>
      <c r="C4308" t="s">
        <v>2559</v>
      </c>
      <c r="D4308" t="s">
        <v>13</v>
      </c>
      <c r="E4308" t="s">
        <v>35</v>
      </c>
      <c r="F4308">
        <v>1</v>
      </c>
      <c r="G4308">
        <v>1499</v>
      </c>
      <c r="H4308">
        <v>0.15</v>
      </c>
      <c r="I4308" t="s">
        <v>32</v>
      </c>
      <c r="J4308" t="s">
        <v>28</v>
      </c>
      <c r="K4308" t="s">
        <v>17</v>
      </c>
      <c r="L4308">
        <f>F4307*G4307*(1-H4307)</f>
        <v>12495</v>
      </c>
    </row>
    <row r="4309" spans="1:12">
      <c r="A4309" t="s">
        <v>5141</v>
      </c>
      <c r="B4309" s="1">
        <v>46207</v>
      </c>
      <c r="C4309" t="s">
        <v>789</v>
      </c>
      <c r="D4309" t="s">
        <v>31</v>
      </c>
      <c r="E4309" t="s">
        <v>35</v>
      </c>
      <c r="F4309">
        <v>5</v>
      </c>
      <c r="G4309">
        <v>1499</v>
      </c>
      <c r="H4309">
        <v>0.15</v>
      </c>
      <c r="I4309" t="s">
        <v>44</v>
      </c>
      <c r="J4309" t="s">
        <v>16</v>
      </c>
      <c r="K4309" t="s">
        <v>17</v>
      </c>
      <c r="L4309">
        <f>F4308*G4308*(1-H4308)</f>
        <v>1274.1499999999999</v>
      </c>
    </row>
    <row r="4310" spans="1:12">
      <c r="A4310" t="s">
        <v>5142</v>
      </c>
      <c r="B4310" s="1">
        <v>46292</v>
      </c>
      <c r="C4310" t="s">
        <v>77</v>
      </c>
      <c r="D4310" t="s">
        <v>78</v>
      </c>
      <c r="E4310" t="s">
        <v>35</v>
      </c>
      <c r="F4310">
        <v>1</v>
      </c>
      <c r="G4310">
        <v>1499</v>
      </c>
      <c r="H4310">
        <v>0.15</v>
      </c>
      <c r="I4310" t="s">
        <v>50</v>
      </c>
      <c r="J4310" t="s">
        <v>28</v>
      </c>
      <c r="K4310" t="s">
        <v>17</v>
      </c>
      <c r="L4310">
        <f>F4309*G4309*(1-H4309)</f>
        <v>6370.75</v>
      </c>
    </row>
    <row r="4311" spans="1:12">
      <c r="A4311" t="s">
        <v>5143</v>
      </c>
      <c r="B4311" s="1">
        <v>46199</v>
      </c>
      <c r="C4311" t="s">
        <v>4371</v>
      </c>
      <c r="D4311" t="s">
        <v>43</v>
      </c>
      <c r="E4311" t="s">
        <v>35</v>
      </c>
      <c r="F4311">
        <v>4</v>
      </c>
      <c r="G4311">
        <v>799</v>
      </c>
      <c r="H4311">
        <v>0.1</v>
      </c>
      <c r="I4311" t="s">
        <v>32</v>
      </c>
      <c r="J4311" t="s">
        <v>16</v>
      </c>
      <c r="K4311" t="s">
        <v>23</v>
      </c>
      <c r="L4311">
        <f>F4310*G4310*(1-H4310)</f>
        <v>1274.1499999999999</v>
      </c>
    </row>
    <row r="4312" spans="1:12">
      <c r="A4312" t="s">
        <v>5144</v>
      </c>
      <c r="B4312" s="1">
        <v>46237</v>
      </c>
      <c r="C4312" t="s">
        <v>1663</v>
      </c>
      <c r="D4312" t="s">
        <v>20</v>
      </c>
      <c r="E4312" t="s">
        <v>21</v>
      </c>
      <c r="F4312">
        <v>4</v>
      </c>
      <c r="G4312">
        <v>1299</v>
      </c>
      <c r="H4312">
        <v>0.05</v>
      </c>
      <c r="I4312" t="s">
        <v>32</v>
      </c>
      <c r="J4312" t="s">
        <v>36</v>
      </c>
      <c r="K4312" t="s">
        <v>17</v>
      </c>
      <c r="L4312">
        <f>F4311*G4311*(1-H4311)</f>
        <v>2876.4</v>
      </c>
    </row>
    <row r="4313" spans="1:12">
      <c r="A4313" t="s">
        <v>5145</v>
      </c>
      <c r="B4313" s="1">
        <v>46033</v>
      </c>
      <c r="C4313" t="s">
        <v>950</v>
      </c>
      <c r="D4313" t="s">
        <v>31</v>
      </c>
      <c r="E4313" t="s">
        <v>35</v>
      </c>
      <c r="F4313">
        <v>2</v>
      </c>
      <c r="G4313">
        <v>799</v>
      </c>
      <c r="H4313">
        <v>0</v>
      </c>
      <c r="I4313" t="s">
        <v>32</v>
      </c>
      <c r="J4313" t="s">
        <v>28</v>
      </c>
      <c r="K4313" t="s">
        <v>17</v>
      </c>
      <c r="L4313">
        <f>F4312*G4312*(1-H4312)</f>
        <v>4936.2</v>
      </c>
    </row>
    <row r="4314" spans="1:12">
      <c r="A4314" t="s">
        <v>5146</v>
      </c>
      <c r="B4314" s="1">
        <v>46234</v>
      </c>
      <c r="C4314" t="s">
        <v>539</v>
      </c>
      <c r="D4314" t="s">
        <v>20</v>
      </c>
      <c r="E4314" t="s">
        <v>21</v>
      </c>
      <c r="F4314">
        <v>4</v>
      </c>
      <c r="G4314">
        <v>1299</v>
      </c>
      <c r="H4314">
        <v>0</v>
      </c>
      <c r="I4314" t="s">
        <v>15</v>
      </c>
      <c r="J4314" t="s">
        <v>22</v>
      </c>
      <c r="K4314" t="s">
        <v>17</v>
      </c>
      <c r="L4314">
        <f>F4313*G4313*(1-H4313)</f>
        <v>1598</v>
      </c>
    </row>
    <row r="4315" spans="1:12">
      <c r="A4315" t="s">
        <v>5147</v>
      </c>
      <c r="B4315" s="1">
        <v>46102</v>
      </c>
      <c r="C4315" t="s">
        <v>835</v>
      </c>
      <c r="D4315" t="s">
        <v>26</v>
      </c>
      <c r="E4315" t="s">
        <v>40</v>
      </c>
      <c r="F4315">
        <v>1</v>
      </c>
      <c r="G4315">
        <v>1299</v>
      </c>
      <c r="H4315">
        <v>0.05</v>
      </c>
      <c r="I4315" t="s">
        <v>50</v>
      </c>
      <c r="J4315" t="s">
        <v>36</v>
      </c>
      <c r="K4315" t="s">
        <v>17</v>
      </c>
      <c r="L4315">
        <f>F4314*G4314*(1-H4314)</f>
        <v>5196</v>
      </c>
    </row>
    <row r="4316" spans="1:12">
      <c r="A4316" t="s">
        <v>5148</v>
      </c>
      <c r="B4316" s="1">
        <v>46224</v>
      </c>
      <c r="C4316" t="s">
        <v>991</v>
      </c>
      <c r="D4316" t="s">
        <v>20</v>
      </c>
      <c r="E4316" t="s">
        <v>40</v>
      </c>
      <c r="F4316">
        <v>5</v>
      </c>
      <c r="G4316">
        <v>2499</v>
      </c>
      <c r="H4316">
        <v>0</v>
      </c>
      <c r="I4316" t="s">
        <v>47</v>
      </c>
      <c r="J4316" t="s">
        <v>16</v>
      </c>
      <c r="K4316" t="s">
        <v>17</v>
      </c>
      <c r="L4316">
        <f>F4315*G4315*(1-H4315)</f>
        <v>1234.05</v>
      </c>
    </row>
    <row r="4317" spans="1:12">
      <c r="A4317" t="s">
        <v>5149</v>
      </c>
      <c r="B4317" s="1">
        <v>46245</v>
      </c>
      <c r="C4317" t="s">
        <v>751</v>
      </c>
      <c r="D4317" t="s">
        <v>26</v>
      </c>
      <c r="E4317" t="s">
        <v>40</v>
      </c>
      <c r="F4317">
        <v>2</v>
      </c>
      <c r="G4317">
        <v>1299</v>
      </c>
      <c r="H4317">
        <v>0.15</v>
      </c>
      <c r="I4317" t="s">
        <v>50</v>
      </c>
      <c r="J4317" t="s">
        <v>22</v>
      </c>
      <c r="K4317" t="s">
        <v>17</v>
      </c>
      <c r="L4317">
        <f>F4316*G4316*(1-H4316)</f>
        <v>12495</v>
      </c>
    </row>
    <row r="4318" spans="1:12">
      <c r="A4318" t="s">
        <v>5150</v>
      </c>
      <c r="B4318" s="1">
        <v>46252</v>
      </c>
      <c r="C4318" t="s">
        <v>132</v>
      </c>
      <c r="D4318" t="s">
        <v>56</v>
      </c>
      <c r="E4318" t="s">
        <v>27</v>
      </c>
      <c r="F4318">
        <v>3</v>
      </c>
      <c r="G4318">
        <v>4999</v>
      </c>
      <c r="H4318">
        <v>0</v>
      </c>
      <c r="I4318" t="s">
        <v>15</v>
      </c>
      <c r="J4318" t="s">
        <v>51</v>
      </c>
      <c r="K4318" t="s">
        <v>37</v>
      </c>
      <c r="L4318">
        <f>F4317*G4317*(1-H4317)</f>
        <v>2208.2999999999997</v>
      </c>
    </row>
    <row r="4319" spans="1:12">
      <c r="A4319" t="s">
        <v>5151</v>
      </c>
      <c r="B4319" s="1">
        <v>46145</v>
      </c>
      <c r="C4319" t="s">
        <v>2113</v>
      </c>
      <c r="D4319" t="s">
        <v>62</v>
      </c>
      <c r="E4319" t="s">
        <v>27</v>
      </c>
      <c r="F4319">
        <v>2</v>
      </c>
      <c r="G4319">
        <v>1299</v>
      </c>
      <c r="H4319">
        <v>0.05</v>
      </c>
      <c r="I4319" t="s">
        <v>15</v>
      </c>
      <c r="J4319" t="s">
        <v>51</v>
      </c>
      <c r="K4319" t="s">
        <v>23</v>
      </c>
      <c r="L4319">
        <f>F4318*G4318*(1-H4318)</f>
        <v>14997</v>
      </c>
    </row>
    <row r="4320" spans="1:12">
      <c r="A4320" t="s">
        <v>5152</v>
      </c>
      <c r="B4320" s="1">
        <v>46294</v>
      </c>
      <c r="C4320" t="s">
        <v>49</v>
      </c>
      <c r="D4320" t="s">
        <v>43</v>
      </c>
      <c r="E4320" t="s">
        <v>21</v>
      </c>
      <c r="F4320">
        <v>3</v>
      </c>
      <c r="G4320">
        <v>799</v>
      </c>
      <c r="H4320">
        <v>0.1</v>
      </c>
      <c r="I4320" t="s">
        <v>15</v>
      </c>
      <c r="J4320" t="s">
        <v>36</v>
      </c>
      <c r="K4320" t="s">
        <v>17</v>
      </c>
      <c r="L4320">
        <f>F4319*G4319*(1-H4319)</f>
        <v>2468.1</v>
      </c>
    </row>
    <row r="4321" spans="1:12">
      <c r="A4321" t="s">
        <v>5153</v>
      </c>
      <c r="B4321" s="1">
        <v>46040</v>
      </c>
      <c r="C4321" t="s">
        <v>496</v>
      </c>
      <c r="D4321" t="s">
        <v>20</v>
      </c>
      <c r="E4321" t="s">
        <v>35</v>
      </c>
      <c r="F4321">
        <v>3</v>
      </c>
      <c r="G4321">
        <v>499</v>
      </c>
      <c r="H4321">
        <v>0</v>
      </c>
      <c r="I4321" t="s">
        <v>15</v>
      </c>
      <c r="J4321" t="s">
        <v>22</v>
      </c>
      <c r="K4321" t="s">
        <v>17</v>
      </c>
      <c r="L4321">
        <f>F4320*G4320*(1-H4320)</f>
        <v>2157.3000000000002</v>
      </c>
    </row>
    <row r="4322" spans="1:12">
      <c r="A4322" t="s">
        <v>5154</v>
      </c>
      <c r="B4322" s="1">
        <v>46181</v>
      </c>
      <c r="C4322" t="s">
        <v>2403</v>
      </c>
      <c r="D4322" t="s">
        <v>26</v>
      </c>
      <c r="E4322" t="s">
        <v>27</v>
      </c>
      <c r="F4322">
        <v>3</v>
      </c>
      <c r="G4322">
        <v>1299</v>
      </c>
      <c r="H4322">
        <v>0</v>
      </c>
      <c r="I4322" t="s">
        <v>47</v>
      </c>
      <c r="J4322" t="s">
        <v>28</v>
      </c>
      <c r="K4322" t="s">
        <v>17</v>
      </c>
      <c r="L4322">
        <f>F4321*G4321*(1-H4321)</f>
        <v>1497</v>
      </c>
    </row>
    <row r="4323" spans="1:12">
      <c r="A4323" t="s">
        <v>5155</v>
      </c>
      <c r="B4323" s="1">
        <v>46271</v>
      </c>
      <c r="C4323" t="s">
        <v>66</v>
      </c>
      <c r="D4323" t="s">
        <v>78</v>
      </c>
      <c r="E4323" t="s">
        <v>27</v>
      </c>
      <c r="F4323">
        <v>2</v>
      </c>
      <c r="G4323">
        <v>1999</v>
      </c>
      <c r="H4323">
        <v>0.1</v>
      </c>
      <c r="I4323" t="s">
        <v>44</v>
      </c>
      <c r="J4323" t="s">
        <v>51</v>
      </c>
      <c r="K4323" t="s">
        <v>23</v>
      </c>
      <c r="L4323">
        <f>F4322*G4322*(1-H4322)</f>
        <v>3897</v>
      </c>
    </row>
    <row r="4324" spans="1:12">
      <c r="A4324" t="s">
        <v>5156</v>
      </c>
      <c r="B4324" s="1">
        <v>46092</v>
      </c>
      <c r="C4324" t="s">
        <v>259</v>
      </c>
      <c r="D4324" t="s">
        <v>26</v>
      </c>
      <c r="E4324" t="s">
        <v>27</v>
      </c>
      <c r="F4324">
        <v>3</v>
      </c>
      <c r="G4324">
        <v>1999</v>
      </c>
      <c r="H4324">
        <v>0.1</v>
      </c>
      <c r="I4324" t="s">
        <v>15</v>
      </c>
      <c r="J4324" t="s">
        <v>51</v>
      </c>
      <c r="K4324" t="s">
        <v>23</v>
      </c>
      <c r="L4324">
        <f>F4323*G4323*(1-H4323)</f>
        <v>3598.2000000000003</v>
      </c>
    </row>
    <row r="4325" spans="1:12">
      <c r="A4325" t="s">
        <v>5157</v>
      </c>
      <c r="B4325" s="1">
        <v>46135</v>
      </c>
      <c r="C4325" t="s">
        <v>746</v>
      </c>
      <c r="D4325" t="s">
        <v>31</v>
      </c>
      <c r="E4325" t="s">
        <v>21</v>
      </c>
      <c r="F4325">
        <v>5</v>
      </c>
      <c r="G4325">
        <v>7999</v>
      </c>
      <c r="H4325">
        <v>0</v>
      </c>
      <c r="I4325" t="s">
        <v>44</v>
      </c>
      <c r="J4325" t="s">
        <v>51</v>
      </c>
      <c r="K4325" t="s">
        <v>23</v>
      </c>
      <c r="L4325">
        <f>F4324*G4324*(1-H4324)</f>
        <v>5397.3</v>
      </c>
    </row>
    <row r="4326" spans="1:12">
      <c r="A4326" t="s">
        <v>5158</v>
      </c>
      <c r="B4326" s="1">
        <v>46028</v>
      </c>
      <c r="C4326" t="s">
        <v>296</v>
      </c>
      <c r="D4326" t="s">
        <v>59</v>
      </c>
      <c r="E4326" t="s">
        <v>14</v>
      </c>
      <c r="F4326">
        <v>2</v>
      </c>
      <c r="G4326">
        <v>2499</v>
      </c>
      <c r="H4326">
        <v>0.15</v>
      </c>
      <c r="I4326" t="s">
        <v>50</v>
      </c>
      <c r="J4326" t="s">
        <v>36</v>
      </c>
      <c r="K4326" t="s">
        <v>17</v>
      </c>
      <c r="L4326">
        <f>F4325*G4325*(1-H4325)</f>
        <v>39995</v>
      </c>
    </row>
    <row r="4327" spans="1:12">
      <c r="A4327" t="s">
        <v>5159</v>
      </c>
      <c r="B4327" s="1">
        <v>46164</v>
      </c>
      <c r="C4327" t="s">
        <v>1169</v>
      </c>
      <c r="D4327" t="s">
        <v>71</v>
      </c>
      <c r="E4327" t="s">
        <v>35</v>
      </c>
      <c r="F4327">
        <v>2</v>
      </c>
      <c r="G4327">
        <v>7999</v>
      </c>
      <c r="H4327">
        <v>0.1</v>
      </c>
      <c r="I4327" t="s">
        <v>50</v>
      </c>
      <c r="J4327" t="s">
        <v>22</v>
      </c>
      <c r="K4327" t="s">
        <v>23</v>
      </c>
      <c r="L4327">
        <f>F4326*G4326*(1-H4326)</f>
        <v>4248.3</v>
      </c>
    </row>
    <row r="4328" spans="1:12">
      <c r="A4328" t="s">
        <v>5160</v>
      </c>
      <c r="B4328" s="1">
        <v>46121</v>
      </c>
      <c r="C4328" t="s">
        <v>2023</v>
      </c>
      <c r="D4328" t="s">
        <v>13</v>
      </c>
      <c r="E4328" t="s">
        <v>14</v>
      </c>
      <c r="F4328">
        <v>1</v>
      </c>
      <c r="G4328">
        <v>4999</v>
      </c>
      <c r="H4328">
        <v>0</v>
      </c>
      <c r="I4328" t="s">
        <v>15</v>
      </c>
      <c r="J4328" t="s">
        <v>16</v>
      </c>
      <c r="K4328" t="s">
        <v>17</v>
      </c>
      <c r="L4328">
        <f>F4327*G4327*(1-H4327)</f>
        <v>14398.2</v>
      </c>
    </row>
    <row r="4329" spans="1:12">
      <c r="A4329" t="s">
        <v>5161</v>
      </c>
      <c r="B4329" s="1">
        <v>46071</v>
      </c>
      <c r="C4329" t="s">
        <v>158</v>
      </c>
      <c r="D4329" t="s">
        <v>56</v>
      </c>
      <c r="E4329" t="s">
        <v>14</v>
      </c>
      <c r="F4329">
        <v>2</v>
      </c>
      <c r="G4329">
        <v>799</v>
      </c>
      <c r="H4329">
        <v>0.1</v>
      </c>
      <c r="I4329" t="s">
        <v>44</v>
      </c>
      <c r="J4329" t="s">
        <v>28</v>
      </c>
      <c r="K4329" t="s">
        <v>37</v>
      </c>
      <c r="L4329">
        <f>F4328*G4328*(1-H4328)</f>
        <v>4999</v>
      </c>
    </row>
    <row r="4330" spans="1:12">
      <c r="A4330" t="s">
        <v>5162</v>
      </c>
      <c r="B4330" s="1">
        <v>46172</v>
      </c>
      <c r="C4330" t="s">
        <v>694</v>
      </c>
      <c r="D4330" t="s">
        <v>20</v>
      </c>
      <c r="E4330" t="s">
        <v>14</v>
      </c>
      <c r="F4330">
        <v>2</v>
      </c>
      <c r="G4330">
        <v>1299</v>
      </c>
      <c r="H4330">
        <v>0.1</v>
      </c>
      <c r="I4330" t="s">
        <v>50</v>
      </c>
      <c r="J4330" t="s">
        <v>36</v>
      </c>
      <c r="K4330" t="s">
        <v>17</v>
      </c>
      <c r="L4330">
        <f>F4329*G4329*(1-H4329)</f>
        <v>1438.2</v>
      </c>
    </row>
    <row r="4331" spans="1:12">
      <c r="A4331" t="s">
        <v>5163</v>
      </c>
      <c r="B4331" s="1">
        <v>46242</v>
      </c>
      <c r="C4331" t="s">
        <v>336</v>
      </c>
      <c r="D4331" t="s">
        <v>31</v>
      </c>
      <c r="E4331" t="s">
        <v>21</v>
      </c>
      <c r="F4331">
        <v>4</v>
      </c>
      <c r="G4331">
        <v>4999</v>
      </c>
      <c r="H4331">
        <v>0.05</v>
      </c>
      <c r="I4331" t="s">
        <v>47</v>
      </c>
      <c r="J4331" t="s">
        <v>22</v>
      </c>
      <c r="K4331" t="s">
        <v>17</v>
      </c>
      <c r="L4331">
        <f>F4330*G4330*(1-H4330)</f>
        <v>2338.2000000000003</v>
      </c>
    </row>
    <row r="4332" spans="1:12">
      <c r="A4332" t="s">
        <v>5164</v>
      </c>
      <c r="B4332" s="1">
        <v>46028</v>
      </c>
      <c r="C4332" t="s">
        <v>2882</v>
      </c>
      <c r="D4332" t="s">
        <v>43</v>
      </c>
      <c r="E4332" t="s">
        <v>27</v>
      </c>
      <c r="F4332">
        <v>5</v>
      </c>
      <c r="G4332">
        <v>799</v>
      </c>
      <c r="H4332">
        <v>0.1</v>
      </c>
      <c r="I4332" t="s">
        <v>50</v>
      </c>
      <c r="J4332" t="s">
        <v>22</v>
      </c>
      <c r="K4332" t="s">
        <v>17</v>
      </c>
      <c r="L4332">
        <f>F4331*G4331*(1-H4331)</f>
        <v>18996.2</v>
      </c>
    </row>
    <row r="4333" spans="1:12">
      <c r="A4333" t="s">
        <v>5165</v>
      </c>
      <c r="B4333" s="1">
        <v>46185</v>
      </c>
      <c r="C4333" t="s">
        <v>4533</v>
      </c>
      <c r="D4333" t="s">
        <v>78</v>
      </c>
      <c r="E4333" t="s">
        <v>27</v>
      </c>
      <c r="F4333">
        <v>2</v>
      </c>
      <c r="G4333">
        <v>1299</v>
      </c>
      <c r="H4333">
        <v>0</v>
      </c>
      <c r="I4333" t="s">
        <v>44</v>
      </c>
      <c r="J4333" t="s">
        <v>36</v>
      </c>
      <c r="K4333" t="s">
        <v>17</v>
      </c>
      <c r="L4333">
        <f>F4332*G4332*(1-H4332)</f>
        <v>3595.5</v>
      </c>
    </row>
    <row r="4334" spans="1:12">
      <c r="A4334" t="s">
        <v>5166</v>
      </c>
      <c r="B4334" s="1">
        <v>46076</v>
      </c>
      <c r="C4334" t="s">
        <v>938</v>
      </c>
      <c r="D4334" t="s">
        <v>13</v>
      </c>
      <c r="E4334" t="s">
        <v>35</v>
      </c>
      <c r="F4334">
        <v>3</v>
      </c>
      <c r="G4334">
        <v>999</v>
      </c>
      <c r="H4334">
        <v>0</v>
      </c>
      <c r="I4334" t="s">
        <v>44</v>
      </c>
      <c r="J4334" t="s">
        <v>28</v>
      </c>
      <c r="K4334" t="s">
        <v>17</v>
      </c>
      <c r="L4334">
        <f>F4333*G4333*(1-H4333)</f>
        <v>2598</v>
      </c>
    </row>
    <row r="4335" spans="1:12">
      <c r="A4335" t="s">
        <v>5167</v>
      </c>
      <c r="B4335" s="1">
        <v>46284</v>
      </c>
      <c r="C4335" t="s">
        <v>378</v>
      </c>
      <c r="D4335" t="s">
        <v>20</v>
      </c>
      <c r="E4335" t="s">
        <v>40</v>
      </c>
      <c r="F4335">
        <v>2</v>
      </c>
      <c r="G4335">
        <v>999</v>
      </c>
      <c r="H4335">
        <v>0</v>
      </c>
      <c r="I4335" t="s">
        <v>47</v>
      </c>
      <c r="J4335" t="s">
        <v>51</v>
      </c>
      <c r="K4335" t="s">
        <v>23</v>
      </c>
      <c r="L4335">
        <f>F4334*G4334*(1-H4334)</f>
        <v>2997</v>
      </c>
    </row>
    <row r="4336" spans="1:12">
      <c r="A4336" t="s">
        <v>5168</v>
      </c>
      <c r="B4336" s="1">
        <v>46229</v>
      </c>
      <c r="C4336" t="s">
        <v>3950</v>
      </c>
      <c r="D4336" t="s">
        <v>59</v>
      </c>
      <c r="E4336" t="s">
        <v>21</v>
      </c>
      <c r="F4336">
        <v>2</v>
      </c>
      <c r="G4336">
        <v>2499</v>
      </c>
      <c r="H4336">
        <v>0.1</v>
      </c>
      <c r="I4336" t="s">
        <v>32</v>
      </c>
      <c r="J4336" t="s">
        <v>51</v>
      </c>
      <c r="K4336" t="s">
        <v>17</v>
      </c>
      <c r="L4336">
        <f>F4335*G4335*(1-H4335)</f>
        <v>1998</v>
      </c>
    </row>
    <row r="4337" spans="1:12">
      <c r="A4337" t="s">
        <v>5169</v>
      </c>
      <c r="B4337" s="1">
        <v>46285</v>
      </c>
      <c r="C4337" t="s">
        <v>92</v>
      </c>
      <c r="D4337" t="s">
        <v>43</v>
      </c>
      <c r="E4337" t="s">
        <v>27</v>
      </c>
      <c r="F4337">
        <v>1</v>
      </c>
      <c r="G4337">
        <v>1499</v>
      </c>
      <c r="H4337">
        <v>0</v>
      </c>
      <c r="I4337" t="s">
        <v>32</v>
      </c>
      <c r="J4337" t="s">
        <v>51</v>
      </c>
      <c r="K4337" t="s">
        <v>37</v>
      </c>
      <c r="L4337">
        <f>F4336*G4336*(1-H4336)</f>
        <v>4498.2</v>
      </c>
    </row>
    <row r="4338" spans="1:12">
      <c r="A4338" t="s">
        <v>5170</v>
      </c>
      <c r="B4338" s="1">
        <v>46140</v>
      </c>
      <c r="C4338" t="s">
        <v>2697</v>
      </c>
      <c r="D4338" t="s">
        <v>56</v>
      </c>
      <c r="E4338" t="s">
        <v>21</v>
      </c>
      <c r="F4338">
        <v>2</v>
      </c>
      <c r="G4338">
        <v>7999</v>
      </c>
      <c r="H4338">
        <v>0.1</v>
      </c>
      <c r="I4338" t="s">
        <v>15</v>
      </c>
      <c r="J4338" t="s">
        <v>28</v>
      </c>
      <c r="K4338" t="s">
        <v>17</v>
      </c>
      <c r="L4338">
        <f>F4337*G4337*(1-H4337)</f>
        <v>1499</v>
      </c>
    </row>
    <row r="4339" spans="1:12">
      <c r="A4339" t="s">
        <v>5171</v>
      </c>
      <c r="B4339" s="1">
        <v>46182</v>
      </c>
      <c r="C4339" t="s">
        <v>1903</v>
      </c>
      <c r="D4339" t="s">
        <v>43</v>
      </c>
      <c r="E4339" t="s">
        <v>27</v>
      </c>
      <c r="F4339">
        <v>2</v>
      </c>
      <c r="G4339">
        <v>999</v>
      </c>
      <c r="H4339">
        <v>0</v>
      </c>
      <c r="I4339" t="s">
        <v>32</v>
      </c>
      <c r="J4339" t="s">
        <v>16</v>
      </c>
      <c r="K4339" t="s">
        <v>37</v>
      </c>
      <c r="L4339">
        <f>F4338*G4338*(1-H4338)</f>
        <v>14398.2</v>
      </c>
    </row>
    <row r="4340" spans="1:12">
      <c r="A4340" t="s">
        <v>5172</v>
      </c>
      <c r="B4340" s="1">
        <v>46073</v>
      </c>
      <c r="C4340" t="s">
        <v>843</v>
      </c>
      <c r="D4340" t="s">
        <v>20</v>
      </c>
      <c r="E4340" t="s">
        <v>40</v>
      </c>
      <c r="F4340">
        <v>1</v>
      </c>
      <c r="G4340">
        <v>2499</v>
      </c>
      <c r="H4340">
        <v>0.1</v>
      </c>
      <c r="I4340" t="s">
        <v>50</v>
      </c>
      <c r="J4340" t="s">
        <v>22</v>
      </c>
      <c r="K4340" t="s">
        <v>17</v>
      </c>
      <c r="L4340">
        <f>F4339*G4339*(1-H4339)</f>
        <v>1998</v>
      </c>
    </row>
    <row r="4341" spans="1:12">
      <c r="A4341" t="s">
        <v>5173</v>
      </c>
      <c r="B4341" s="1">
        <v>46286</v>
      </c>
      <c r="C4341" t="s">
        <v>1695</v>
      </c>
      <c r="D4341" t="s">
        <v>71</v>
      </c>
      <c r="E4341" t="s">
        <v>21</v>
      </c>
      <c r="F4341">
        <v>1</v>
      </c>
      <c r="G4341">
        <v>1499</v>
      </c>
      <c r="H4341">
        <v>0.15</v>
      </c>
      <c r="I4341" t="s">
        <v>44</v>
      </c>
      <c r="J4341" t="s">
        <v>28</v>
      </c>
      <c r="K4341" t="s">
        <v>17</v>
      </c>
      <c r="L4341">
        <f>F4340*G4340*(1-H4340)</f>
        <v>2249.1</v>
      </c>
    </row>
    <row r="4342" spans="1:12">
      <c r="A4342" t="s">
        <v>5174</v>
      </c>
      <c r="B4342" s="1">
        <v>46259</v>
      </c>
      <c r="C4342" t="s">
        <v>1320</v>
      </c>
      <c r="D4342" t="s">
        <v>26</v>
      </c>
      <c r="E4342" t="s">
        <v>14</v>
      </c>
      <c r="F4342">
        <v>4</v>
      </c>
      <c r="G4342">
        <v>7999</v>
      </c>
      <c r="H4342">
        <v>0</v>
      </c>
      <c r="I4342" t="s">
        <v>44</v>
      </c>
      <c r="J4342" t="s">
        <v>16</v>
      </c>
      <c r="K4342" t="s">
        <v>17</v>
      </c>
      <c r="L4342">
        <f>F4341*G4341*(1-H4341)</f>
        <v>1274.1499999999999</v>
      </c>
    </row>
    <row r="4343" spans="1:12">
      <c r="A4343" t="s">
        <v>5175</v>
      </c>
      <c r="B4343" s="1">
        <v>46163</v>
      </c>
      <c r="C4343" t="s">
        <v>226</v>
      </c>
      <c r="D4343" t="s">
        <v>13</v>
      </c>
      <c r="E4343" t="s">
        <v>14</v>
      </c>
      <c r="F4343">
        <v>5</v>
      </c>
      <c r="G4343">
        <v>1299</v>
      </c>
      <c r="H4343">
        <v>0.1</v>
      </c>
      <c r="I4343" t="s">
        <v>32</v>
      </c>
      <c r="J4343" t="s">
        <v>16</v>
      </c>
      <c r="K4343" t="s">
        <v>17</v>
      </c>
      <c r="L4343">
        <f>F4342*G4342*(1-H4342)</f>
        <v>31996</v>
      </c>
    </row>
    <row r="4344" spans="1:12">
      <c r="A4344" t="s">
        <v>5176</v>
      </c>
      <c r="B4344" s="1">
        <v>46085</v>
      </c>
      <c r="C4344" t="s">
        <v>275</v>
      </c>
      <c r="D4344" t="s">
        <v>62</v>
      </c>
      <c r="E4344" t="s">
        <v>21</v>
      </c>
      <c r="F4344">
        <v>4</v>
      </c>
      <c r="G4344">
        <v>499</v>
      </c>
      <c r="H4344">
        <v>0</v>
      </c>
      <c r="I4344" t="s">
        <v>47</v>
      </c>
      <c r="J4344" t="s">
        <v>28</v>
      </c>
      <c r="K4344" t="s">
        <v>23</v>
      </c>
      <c r="L4344">
        <f>F4343*G4343*(1-H4343)</f>
        <v>5845.5</v>
      </c>
    </row>
    <row r="4345" spans="1:12">
      <c r="A4345" t="s">
        <v>5177</v>
      </c>
      <c r="B4345" s="1">
        <v>46252</v>
      </c>
      <c r="C4345" t="s">
        <v>1698</v>
      </c>
      <c r="D4345" t="s">
        <v>20</v>
      </c>
      <c r="E4345" t="s">
        <v>14</v>
      </c>
      <c r="F4345">
        <v>3</v>
      </c>
      <c r="G4345">
        <v>2499</v>
      </c>
      <c r="H4345">
        <v>0.1</v>
      </c>
      <c r="I4345" t="s">
        <v>50</v>
      </c>
      <c r="J4345" t="s">
        <v>28</v>
      </c>
      <c r="K4345" t="s">
        <v>17</v>
      </c>
      <c r="L4345">
        <f>F4344*G4344*(1-H4344)</f>
        <v>1996</v>
      </c>
    </row>
    <row r="4346" spans="1:12">
      <c r="A4346" t="s">
        <v>5178</v>
      </c>
      <c r="B4346" s="1">
        <v>46240</v>
      </c>
      <c r="C4346" t="s">
        <v>283</v>
      </c>
      <c r="D4346" t="s">
        <v>20</v>
      </c>
      <c r="E4346" t="s">
        <v>14</v>
      </c>
      <c r="F4346">
        <v>4</v>
      </c>
      <c r="G4346">
        <v>1999</v>
      </c>
      <c r="H4346">
        <v>0.05</v>
      </c>
      <c r="I4346" t="s">
        <v>50</v>
      </c>
      <c r="J4346" t="s">
        <v>22</v>
      </c>
      <c r="K4346" t="s">
        <v>17</v>
      </c>
      <c r="L4346">
        <f>F4345*G4345*(1-H4345)</f>
        <v>6747.3</v>
      </c>
    </row>
    <row r="4347" spans="1:12">
      <c r="A4347" t="s">
        <v>5179</v>
      </c>
      <c r="B4347" s="1">
        <v>46264</v>
      </c>
      <c r="C4347" t="s">
        <v>886</v>
      </c>
      <c r="D4347" t="s">
        <v>59</v>
      </c>
      <c r="E4347" t="s">
        <v>21</v>
      </c>
      <c r="F4347">
        <v>3</v>
      </c>
      <c r="G4347">
        <v>999</v>
      </c>
      <c r="H4347">
        <v>0.15</v>
      </c>
      <c r="I4347" t="s">
        <v>50</v>
      </c>
      <c r="J4347" t="s">
        <v>51</v>
      </c>
      <c r="K4347" t="s">
        <v>37</v>
      </c>
      <c r="L4347">
        <f>F4346*G4346*(1-H4346)</f>
        <v>7596.2</v>
      </c>
    </row>
    <row r="4348" spans="1:12">
      <c r="A4348" t="s">
        <v>5180</v>
      </c>
      <c r="B4348" s="1">
        <v>46158</v>
      </c>
      <c r="C4348" t="s">
        <v>359</v>
      </c>
      <c r="D4348" t="s">
        <v>13</v>
      </c>
      <c r="E4348" t="s">
        <v>27</v>
      </c>
      <c r="F4348">
        <v>3</v>
      </c>
      <c r="G4348">
        <v>1999</v>
      </c>
      <c r="H4348">
        <v>0.1</v>
      </c>
      <c r="I4348" t="s">
        <v>32</v>
      </c>
      <c r="J4348" t="s">
        <v>16</v>
      </c>
      <c r="K4348" t="s">
        <v>17</v>
      </c>
      <c r="L4348">
        <f>F4347*G4347*(1-H4347)</f>
        <v>2547.4499999999998</v>
      </c>
    </row>
    <row r="4349" spans="1:12">
      <c r="A4349" t="s">
        <v>5181</v>
      </c>
      <c r="B4349" s="1">
        <v>46289</v>
      </c>
      <c r="C4349" t="s">
        <v>355</v>
      </c>
      <c r="D4349" t="s">
        <v>43</v>
      </c>
      <c r="E4349" t="s">
        <v>21</v>
      </c>
      <c r="F4349">
        <v>1</v>
      </c>
      <c r="G4349">
        <v>1499</v>
      </c>
      <c r="H4349">
        <v>0</v>
      </c>
      <c r="I4349" t="s">
        <v>50</v>
      </c>
      <c r="J4349" t="s">
        <v>36</v>
      </c>
      <c r="K4349" t="s">
        <v>17</v>
      </c>
      <c r="L4349">
        <f>F4348*G4348*(1-H4348)</f>
        <v>5397.3</v>
      </c>
    </row>
    <row r="4350" spans="1:12">
      <c r="A4350" t="s">
        <v>5182</v>
      </c>
      <c r="B4350" s="1">
        <v>46172</v>
      </c>
      <c r="C4350" t="s">
        <v>1887</v>
      </c>
      <c r="D4350" t="s">
        <v>71</v>
      </c>
      <c r="E4350" t="s">
        <v>14</v>
      </c>
      <c r="F4350">
        <v>3</v>
      </c>
      <c r="G4350">
        <v>1999</v>
      </c>
      <c r="H4350">
        <v>0</v>
      </c>
      <c r="I4350" t="s">
        <v>50</v>
      </c>
      <c r="J4350" t="s">
        <v>51</v>
      </c>
      <c r="K4350" t="s">
        <v>23</v>
      </c>
      <c r="L4350">
        <f>F4349*G4349*(1-H4349)</f>
        <v>1499</v>
      </c>
    </row>
    <row r="4351" spans="1:12">
      <c r="A4351" t="s">
        <v>5183</v>
      </c>
      <c r="B4351" s="1">
        <v>46159</v>
      </c>
      <c r="C4351" t="s">
        <v>560</v>
      </c>
      <c r="D4351" t="s">
        <v>13</v>
      </c>
      <c r="E4351" t="s">
        <v>14</v>
      </c>
      <c r="F4351">
        <v>2</v>
      </c>
      <c r="G4351">
        <v>4999</v>
      </c>
      <c r="H4351">
        <v>0.1</v>
      </c>
      <c r="I4351" t="s">
        <v>32</v>
      </c>
      <c r="J4351" t="s">
        <v>36</v>
      </c>
      <c r="K4351" t="s">
        <v>17</v>
      </c>
      <c r="L4351">
        <f>F4350*G4350*(1-H4350)</f>
        <v>5997</v>
      </c>
    </row>
    <row r="4352" spans="1:12">
      <c r="A4352" t="s">
        <v>5184</v>
      </c>
      <c r="B4352" s="1">
        <v>46060</v>
      </c>
      <c r="C4352" t="s">
        <v>193</v>
      </c>
      <c r="D4352" t="s">
        <v>20</v>
      </c>
      <c r="E4352" t="s">
        <v>21</v>
      </c>
      <c r="F4352">
        <v>1</v>
      </c>
      <c r="G4352">
        <v>7999</v>
      </c>
      <c r="H4352">
        <v>0.15</v>
      </c>
      <c r="I4352" t="s">
        <v>44</v>
      </c>
      <c r="J4352" t="s">
        <v>28</v>
      </c>
      <c r="K4352" t="s">
        <v>17</v>
      </c>
      <c r="L4352">
        <f>F4351*G4351*(1-H4351)</f>
        <v>8998.2000000000007</v>
      </c>
    </row>
    <row r="4353" spans="1:12">
      <c r="A4353" t="s">
        <v>5185</v>
      </c>
      <c r="B4353" s="1">
        <v>46167</v>
      </c>
      <c r="C4353" t="s">
        <v>515</v>
      </c>
      <c r="D4353" t="s">
        <v>71</v>
      </c>
      <c r="E4353" t="s">
        <v>35</v>
      </c>
      <c r="F4353">
        <v>1</v>
      </c>
      <c r="G4353">
        <v>1999</v>
      </c>
      <c r="H4353">
        <v>0</v>
      </c>
      <c r="I4353" t="s">
        <v>47</v>
      </c>
      <c r="J4353" t="s">
        <v>51</v>
      </c>
      <c r="K4353" t="s">
        <v>17</v>
      </c>
      <c r="L4353">
        <f>F4352*G4352*(1-H4352)</f>
        <v>6799.15</v>
      </c>
    </row>
    <row r="4354" spans="1:12">
      <c r="A4354" t="s">
        <v>5186</v>
      </c>
      <c r="B4354" s="1">
        <v>46179</v>
      </c>
      <c r="C4354" t="s">
        <v>166</v>
      </c>
      <c r="D4354" t="s">
        <v>20</v>
      </c>
      <c r="E4354" t="s">
        <v>21</v>
      </c>
      <c r="F4354">
        <v>5</v>
      </c>
      <c r="G4354">
        <v>799</v>
      </c>
      <c r="H4354">
        <v>0.15</v>
      </c>
      <c r="I4354" t="s">
        <v>32</v>
      </c>
      <c r="J4354" t="s">
        <v>51</v>
      </c>
      <c r="K4354" t="s">
        <v>17</v>
      </c>
      <c r="L4354">
        <f>F4353*G4353*(1-H4353)</f>
        <v>1999</v>
      </c>
    </row>
    <row r="4355" spans="1:12">
      <c r="A4355" t="s">
        <v>5187</v>
      </c>
      <c r="B4355" s="1">
        <v>46152</v>
      </c>
      <c r="C4355" t="s">
        <v>1347</v>
      </c>
      <c r="D4355" t="s">
        <v>26</v>
      </c>
      <c r="E4355" t="s">
        <v>35</v>
      </c>
      <c r="F4355">
        <v>4</v>
      </c>
      <c r="G4355">
        <v>499</v>
      </c>
      <c r="H4355">
        <v>0</v>
      </c>
      <c r="I4355" t="s">
        <v>44</v>
      </c>
      <c r="J4355" t="s">
        <v>36</v>
      </c>
      <c r="K4355" t="s">
        <v>17</v>
      </c>
      <c r="L4355">
        <f>F4354*G4354*(1-H4354)</f>
        <v>3395.75</v>
      </c>
    </row>
    <row r="4356" spans="1:12">
      <c r="A4356" t="s">
        <v>5188</v>
      </c>
      <c r="B4356" s="1">
        <v>46036</v>
      </c>
      <c r="C4356" t="s">
        <v>577</v>
      </c>
      <c r="D4356" t="s">
        <v>13</v>
      </c>
      <c r="E4356" t="s">
        <v>40</v>
      </c>
      <c r="F4356">
        <v>4</v>
      </c>
      <c r="G4356">
        <v>4999</v>
      </c>
      <c r="H4356">
        <v>0.1</v>
      </c>
      <c r="I4356" t="s">
        <v>44</v>
      </c>
      <c r="J4356" t="s">
        <v>36</v>
      </c>
      <c r="K4356" t="s">
        <v>17</v>
      </c>
      <c r="L4356">
        <f>F4355*G4355*(1-H4355)</f>
        <v>1996</v>
      </c>
    </row>
    <row r="4357" spans="1:12">
      <c r="A4357" t="s">
        <v>5189</v>
      </c>
      <c r="B4357" s="1">
        <v>46268</v>
      </c>
      <c r="C4357" t="s">
        <v>608</v>
      </c>
      <c r="D4357" t="s">
        <v>31</v>
      </c>
      <c r="E4357" t="s">
        <v>27</v>
      </c>
      <c r="F4357">
        <v>2</v>
      </c>
      <c r="G4357">
        <v>499</v>
      </c>
      <c r="H4357">
        <v>0.15</v>
      </c>
      <c r="I4357" t="s">
        <v>15</v>
      </c>
      <c r="J4357" t="s">
        <v>16</v>
      </c>
      <c r="K4357" t="s">
        <v>17</v>
      </c>
      <c r="L4357">
        <f>F4356*G4356*(1-H4356)</f>
        <v>17996.400000000001</v>
      </c>
    </row>
    <row r="4358" spans="1:12">
      <c r="A4358" t="s">
        <v>5190</v>
      </c>
      <c r="B4358" s="1">
        <v>46257</v>
      </c>
      <c r="C4358" t="s">
        <v>3414</v>
      </c>
      <c r="D4358" t="s">
        <v>59</v>
      </c>
      <c r="E4358" t="s">
        <v>27</v>
      </c>
      <c r="F4358">
        <v>2</v>
      </c>
      <c r="G4358">
        <v>799</v>
      </c>
      <c r="H4358">
        <v>0</v>
      </c>
      <c r="I4358" t="s">
        <v>47</v>
      </c>
      <c r="J4358" t="s">
        <v>36</v>
      </c>
      <c r="K4358" t="s">
        <v>17</v>
      </c>
      <c r="L4358">
        <f>F4357*G4357*(1-H4357)</f>
        <v>848.3</v>
      </c>
    </row>
    <row r="4359" spans="1:12">
      <c r="A4359" t="s">
        <v>5191</v>
      </c>
      <c r="B4359" s="1">
        <v>46029</v>
      </c>
      <c r="C4359" t="s">
        <v>940</v>
      </c>
      <c r="D4359" t="s">
        <v>59</v>
      </c>
      <c r="E4359" t="s">
        <v>35</v>
      </c>
      <c r="F4359">
        <v>3</v>
      </c>
      <c r="G4359">
        <v>1299</v>
      </c>
      <c r="H4359">
        <v>0.1</v>
      </c>
      <c r="I4359" t="s">
        <v>32</v>
      </c>
      <c r="J4359" t="s">
        <v>16</v>
      </c>
      <c r="K4359" t="s">
        <v>17</v>
      </c>
      <c r="L4359">
        <f>F4358*G4358*(1-H4358)</f>
        <v>1598</v>
      </c>
    </row>
    <row r="4360" spans="1:12">
      <c r="A4360" t="s">
        <v>5192</v>
      </c>
      <c r="B4360" s="1">
        <v>46090</v>
      </c>
      <c r="C4360" t="s">
        <v>2689</v>
      </c>
      <c r="D4360" t="s">
        <v>31</v>
      </c>
      <c r="E4360" t="s">
        <v>35</v>
      </c>
      <c r="F4360">
        <v>4</v>
      </c>
      <c r="G4360">
        <v>499</v>
      </c>
      <c r="H4360">
        <v>0.15</v>
      </c>
      <c r="I4360" t="s">
        <v>44</v>
      </c>
      <c r="J4360" t="s">
        <v>36</v>
      </c>
      <c r="K4360" t="s">
        <v>23</v>
      </c>
      <c r="L4360">
        <f>F4359*G4359*(1-H4359)</f>
        <v>3507.3</v>
      </c>
    </row>
    <row r="4361" spans="1:12">
      <c r="A4361" t="s">
        <v>5193</v>
      </c>
      <c r="B4361" s="1">
        <v>46175</v>
      </c>
      <c r="C4361" t="s">
        <v>683</v>
      </c>
      <c r="D4361" t="s">
        <v>20</v>
      </c>
      <c r="E4361" t="s">
        <v>40</v>
      </c>
      <c r="F4361">
        <v>5</v>
      </c>
      <c r="G4361">
        <v>1299</v>
      </c>
      <c r="H4361">
        <v>0</v>
      </c>
      <c r="I4361" t="s">
        <v>47</v>
      </c>
      <c r="J4361" t="s">
        <v>36</v>
      </c>
      <c r="K4361" t="s">
        <v>37</v>
      </c>
      <c r="L4361">
        <f>F4360*G4360*(1-H4360)</f>
        <v>1696.6</v>
      </c>
    </row>
    <row r="4362" spans="1:12">
      <c r="A4362" t="s">
        <v>5194</v>
      </c>
      <c r="B4362" s="1">
        <v>46209</v>
      </c>
      <c r="C4362" t="s">
        <v>3000</v>
      </c>
      <c r="D4362" t="s">
        <v>71</v>
      </c>
      <c r="E4362" t="s">
        <v>21</v>
      </c>
      <c r="F4362">
        <v>4</v>
      </c>
      <c r="G4362">
        <v>1499</v>
      </c>
      <c r="H4362">
        <v>0</v>
      </c>
      <c r="I4362" t="s">
        <v>44</v>
      </c>
      <c r="J4362" t="s">
        <v>16</v>
      </c>
      <c r="K4362" t="s">
        <v>37</v>
      </c>
      <c r="L4362">
        <f>F4361*G4361*(1-H4361)</f>
        <v>6495</v>
      </c>
    </row>
    <row r="4363" spans="1:12">
      <c r="A4363" t="s">
        <v>5195</v>
      </c>
      <c r="B4363" s="1">
        <v>46076</v>
      </c>
      <c r="C4363" t="s">
        <v>104</v>
      </c>
      <c r="D4363" t="s">
        <v>71</v>
      </c>
      <c r="E4363" t="s">
        <v>21</v>
      </c>
      <c r="F4363">
        <v>4</v>
      </c>
      <c r="G4363">
        <v>1299</v>
      </c>
      <c r="H4363">
        <v>0.05</v>
      </c>
      <c r="I4363" t="s">
        <v>47</v>
      </c>
      <c r="J4363" t="s">
        <v>22</v>
      </c>
      <c r="K4363" t="s">
        <v>17</v>
      </c>
      <c r="L4363">
        <f>F4362*G4362*(1-H4362)</f>
        <v>5996</v>
      </c>
    </row>
    <row r="4364" spans="1:12">
      <c r="A4364" t="s">
        <v>5196</v>
      </c>
      <c r="B4364" s="1">
        <v>46251</v>
      </c>
      <c r="C4364" t="s">
        <v>1768</v>
      </c>
      <c r="D4364" t="s">
        <v>62</v>
      </c>
      <c r="E4364" t="s">
        <v>21</v>
      </c>
      <c r="F4364">
        <v>3</v>
      </c>
      <c r="G4364">
        <v>1499</v>
      </c>
      <c r="H4364">
        <v>0.05</v>
      </c>
      <c r="I4364" t="s">
        <v>47</v>
      </c>
      <c r="J4364" t="s">
        <v>28</v>
      </c>
      <c r="K4364" t="s">
        <v>23</v>
      </c>
      <c r="L4364">
        <f>F4363*G4363*(1-H4363)</f>
        <v>4936.2</v>
      </c>
    </row>
    <row r="4365" spans="1:12">
      <c r="A4365" t="s">
        <v>5197</v>
      </c>
      <c r="B4365" s="1">
        <v>46044</v>
      </c>
      <c r="C4365" t="s">
        <v>294</v>
      </c>
      <c r="D4365" t="s">
        <v>59</v>
      </c>
      <c r="E4365" t="s">
        <v>35</v>
      </c>
      <c r="F4365">
        <v>5</v>
      </c>
      <c r="G4365">
        <v>999</v>
      </c>
      <c r="H4365">
        <v>0.05</v>
      </c>
      <c r="I4365" t="s">
        <v>47</v>
      </c>
      <c r="J4365" t="s">
        <v>51</v>
      </c>
      <c r="K4365" t="s">
        <v>23</v>
      </c>
      <c r="L4365">
        <f>F4364*G4364*(1-H4364)</f>
        <v>4272.1499999999996</v>
      </c>
    </row>
    <row r="4366" spans="1:12">
      <c r="A4366" t="s">
        <v>5198</v>
      </c>
      <c r="B4366" s="1">
        <v>46190</v>
      </c>
      <c r="C4366" t="s">
        <v>577</v>
      </c>
      <c r="D4366" t="s">
        <v>56</v>
      </c>
      <c r="E4366" t="s">
        <v>21</v>
      </c>
      <c r="F4366">
        <v>3</v>
      </c>
      <c r="G4366">
        <v>1499</v>
      </c>
      <c r="H4366">
        <v>0.1</v>
      </c>
      <c r="I4366" t="s">
        <v>47</v>
      </c>
      <c r="J4366" t="s">
        <v>16</v>
      </c>
      <c r="K4366" t="s">
        <v>17</v>
      </c>
      <c r="L4366">
        <f>F4365*G4365*(1-H4365)</f>
        <v>4745.25</v>
      </c>
    </row>
    <row r="4367" spans="1:12">
      <c r="A4367" t="s">
        <v>5199</v>
      </c>
      <c r="B4367" s="1">
        <v>46165</v>
      </c>
      <c r="C4367" t="s">
        <v>818</v>
      </c>
      <c r="D4367" t="s">
        <v>62</v>
      </c>
      <c r="E4367" t="s">
        <v>35</v>
      </c>
      <c r="F4367">
        <v>2</v>
      </c>
      <c r="G4367">
        <v>1999</v>
      </c>
      <c r="H4367">
        <v>0.15</v>
      </c>
      <c r="I4367" t="s">
        <v>50</v>
      </c>
      <c r="J4367" t="s">
        <v>22</v>
      </c>
      <c r="K4367" t="s">
        <v>17</v>
      </c>
      <c r="L4367">
        <f>F4366*G4366*(1-H4366)</f>
        <v>4047.3</v>
      </c>
    </row>
    <row r="4368" spans="1:12">
      <c r="A4368" t="s">
        <v>5200</v>
      </c>
      <c r="B4368" s="1">
        <v>46190</v>
      </c>
      <c r="C4368" t="s">
        <v>1898</v>
      </c>
      <c r="D4368" t="s">
        <v>59</v>
      </c>
      <c r="E4368" t="s">
        <v>40</v>
      </c>
      <c r="F4368">
        <v>3</v>
      </c>
      <c r="G4368">
        <v>4999</v>
      </c>
      <c r="H4368">
        <v>0.1</v>
      </c>
      <c r="I4368" t="s">
        <v>47</v>
      </c>
      <c r="J4368" t="s">
        <v>36</v>
      </c>
      <c r="K4368" t="s">
        <v>37</v>
      </c>
      <c r="L4368">
        <f>F4367*G4367*(1-H4367)</f>
        <v>3398.2999999999997</v>
      </c>
    </row>
    <row r="4369" spans="1:12">
      <c r="A4369" t="s">
        <v>5201</v>
      </c>
      <c r="B4369" s="1">
        <v>46095</v>
      </c>
      <c r="C4369" t="s">
        <v>102</v>
      </c>
      <c r="D4369" t="s">
        <v>62</v>
      </c>
      <c r="E4369" t="s">
        <v>40</v>
      </c>
      <c r="F4369">
        <v>2</v>
      </c>
      <c r="G4369">
        <v>599</v>
      </c>
      <c r="H4369">
        <v>0</v>
      </c>
      <c r="I4369" t="s">
        <v>15</v>
      </c>
      <c r="J4369" t="s">
        <v>36</v>
      </c>
      <c r="K4369" t="s">
        <v>37</v>
      </c>
      <c r="L4369">
        <f>F4368*G4368*(1-H4368)</f>
        <v>13497.300000000001</v>
      </c>
    </row>
    <row r="4370" spans="1:12">
      <c r="A4370" t="s">
        <v>5202</v>
      </c>
      <c r="B4370" s="1">
        <v>46051</v>
      </c>
      <c r="C4370" t="s">
        <v>1011</v>
      </c>
      <c r="D4370" t="s">
        <v>31</v>
      </c>
      <c r="E4370" t="s">
        <v>21</v>
      </c>
      <c r="F4370">
        <v>5</v>
      </c>
      <c r="G4370">
        <v>1499</v>
      </c>
      <c r="H4370">
        <v>0.15</v>
      </c>
      <c r="I4370" t="s">
        <v>44</v>
      </c>
      <c r="J4370" t="s">
        <v>51</v>
      </c>
      <c r="K4370" t="s">
        <v>17</v>
      </c>
      <c r="L4370">
        <f>F4369*G4369*(1-H4369)</f>
        <v>1198</v>
      </c>
    </row>
    <row r="4371" spans="1:12">
      <c r="A4371" t="s">
        <v>5203</v>
      </c>
      <c r="B4371" s="1">
        <v>46102</v>
      </c>
      <c r="C4371" t="s">
        <v>88</v>
      </c>
      <c r="D4371" t="s">
        <v>31</v>
      </c>
      <c r="E4371" t="s">
        <v>35</v>
      </c>
      <c r="F4371">
        <v>4</v>
      </c>
      <c r="G4371">
        <v>7999</v>
      </c>
      <c r="H4371">
        <v>0.1</v>
      </c>
      <c r="I4371" t="s">
        <v>32</v>
      </c>
      <c r="J4371" t="s">
        <v>16</v>
      </c>
      <c r="K4371" t="s">
        <v>37</v>
      </c>
      <c r="L4371">
        <f>F4370*G4370*(1-H4370)</f>
        <v>6370.75</v>
      </c>
    </row>
    <row r="4372" spans="1:12">
      <c r="A4372" t="s">
        <v>5204</v>
      </c>
      <c r="B4372" s="1">
        <v>46116</v>
      </c>
      <c r="C4372" t="s">
        <v>1196</v>
      </c>
      <c r="D4372" t="s">
        <v>62</v>
      </c>
      <c r="E4372" t="s">
        <v>40</v>
      </c>
      <c r="F4372">
        <v>3</v>
      </c>
      <c r="G4372">
        <v>799</v>
      </c>
      <c r="H4372">
        <v>0.1</v>
      </c>
      <c r="I4372" t="s">
        <v>15</v>
      </c>
      <c r="J4372" t="s">
        <v>28</v>
      </c>
      <c r="K4372" t="s">
        <v>17</v>
      </c>
      <c r="L4372">
        <f>F4371*G4371*(1-H4371)</f>
        <v>28796.400000000001</v>
      </c>
    </row>
    <row r="4373" spans="1:12">
      <c r="A4373" t="s">
        <v>5205</v>
      </c>
      <c r="B4373" s="1">
        <v>46257</v>
      </c>
      <c r="C4373" t="s">
        <v>2322</v>
      </c>
      <c r="D4373" t="s">
        <v>31</v>
      </c>
      <c r="E4373" t="s">
        <v>14</v>
      </c>
      <c r="F4373">
        <v>5</v>
      </c>
      <c r="G4373">
        <v>799</v>
      </c>
      <c r="H4373">
        <v>0</v>
      </c>
      <c r="I4373" t="s">
        <v>15</v>
      </c>
      <c r="J4373" t="s">
        <v>36</v>
      </c>
      <c r="K4373" t="s">
        <v>17</v>
      </c>
      <c r="L4373">
        <f>F4372*G4372*(1-H4372)</f>
        <v>2157.3000000000002</v>
      </c>
    </row>
    <row r="4374" spans="1:12">
      <c r="A4374" t="s">
        <v>5206</v>
      </c>
      <c r="B4374" s="1">
        <v>46085</v>
      </c>
      <c r="C4374" t="s">
        <v>1125</v>
      </c>
      <c r="D4374" t="s">
        <v>59</v>
      </c>
      <c r="E4374" t="s">
        <v>35</v>
      </c>
      <c r="F4374">
        <v>5</v>
      </c>
      <c r="G4374">
        <v>1299</v>
      </c>
      <c r="H4374">
        <v>0.1</v>
      </c>
      <c r="I4374" t="s">
        <v>15</v>
      </c>
      <c r="J4374" t="s">
        <v>51</v>
      </c>
      <c r="K4374" t="s">
        <v>37</v>
      </c>
      <c r="L4374">
        <f>F4373*G4373*(1-H4373)</f>
        <v>3995</v>
      </c>
    </row>
    <row r="4375" spans="1:12">
      <c r="A4375" t="s">
        <v>5207</v>
      </c>
      <c r="B4375" s="1">
        <v>46173</v>
      </c>
      <c r="C4375" t="s">
        <v>2113</v>
      </c>
      <c r="D4375" t="s">
        <v>26</v>
      </c>
      <c r="E4375" t="s">
        <v>27</v>
      </c>
      <c r="F4375">
        <v>3</v>
      </c>
      <c r="G4375">
        <v>999</v>
      </c>
      <c r="H4375">
        <v>0</v>
      </c>
      <c r="I4375" t="s">
        <v>15</v>
      </c>
      <c r="J4375" t="s">
        <v>51</v>
      </c>
      <c r="K4375" t="s">
        <v>17</v>
      </c>
      <c r="L4375">
        <f>F4374*G4374*(1-H4374)</f>
        <v>5845.5</v>
      </c>
    </row>
    <row r="4376" spans="1:12">
      <c r="A4376" t="s">
        <v>5208</v>
      </c>
      <c r="B4376" s="1">
        <v>46058</v>
      </c>
      <c r="C4376" t="s">
        <v>1462</v>
      </c>
      <c r="D4376" t="s">
        <v>78</v>
      </c>
      <c r="E4376" t="s">
        <v>35</v>
      </c>
      <c r="F4376">
        <v>4</v>
      </c>
      <c r="G4376">
        <v>799</v>
      </c>
      <c r="H4376">
        <v>0.1</v>
      </c>
      <c r="I4376" t="s">
        <v>47</v>
      </c>
      <c r="J4376" t="s">
        <v>51</v>
      </c>
      <c r="K4376" t="s">
        <v>17</v>
      </c>
      <c r="L4376">
        <f>F4375*G4375*(1-H4375)</f>
        <v>2997</v>
      </c>
    </row>
    <row r="4377" spans="1:12">
      <c r="A4377" t="s">
        <v>5209</v>
      </c>
      <c r="B4377" s="1">
        <v>46046</v>
      </c>
      <c r="C4377" t="s">
        <v>162</v>
      </c>
      <c r="D4377" t="s">
        <v>62</v>
      </c>
      <c r="E4377" t="s">
        <v>14</v>
      </c>
      <c r="F4377">
        <v>1</v>
      </c>
      <c r="G4377">
        <v>2499</v>
      </c>
      <c r="H4377">
        <v>0</v>
      </c>
      <c r="I4377" t="s">
        <v>47</v>
      </c>
      <c r="J4377" t="s">
        <v>28</v>
      </c>
      <c r="K4377" t="s">
        <v>37</v>
      </c>
      <c r="L4377">
        <f>F4376*G4376*(1-H4376)</f>
        <v>2876.4</v>
      </c>
    </row>
    <row r="4378" spans="1:12">
      <c r="A4378" t="s">
        <v>5210</v>
      </c>
      <c r="B4378" s="1">
        <v>46126</v>
      </c>
      <c r="C4378" t="s">
        <v>656</v>
      </c>
      <c r="D4378" t="s">
        <v>78</v>
      </c>
      <c r="E4378" t="s">
        <v>21</v>
      </c>
      <c r="F4378">
        <v>3</v>
      </c>
      <c r="G4378">
        <v>4999</v>
      </c>
      <c r="H4378">
        <v>0.15</v>
      </c>
      <c r="I4378" t="s">
        <v>50</v>
      </c>
      <c r="J4378" t="s">
        <v>22</v>
      </c>
      <c r="K4378" t="s">
        <v>17</v>
      </c>
      <c r="L4378">
        <f>F4377*G4377*(1-H4377)</f>
        <v>2499</v>
      </c>
    </row>
    <row r="4379" spans="1:12">
      <c r="A4379" t="s">
        <v>5211</v>
      </c>
      <c r="B4379" s="1">
        <v>46166</v>
      </c>
      <c r="C4379" t="s">
        <v>215</v>
      </c>
      <c r="D4379" t="s">
        <v>20</v>
      </c>
      <c r="E4379" t="s">
        <v>27</v>
      </c>
      <c r="F4379">
        <v>5</v>
      </c>
      <c r="G4379">
        <v>499</v>
      </c>
      <c r="H4379">
        <v>0.1</v>
      </c>
      <c r="I4379" t="s">
        <v>47</v>
      </c>
      <c r="J4379" t="s">
        <v>16</v>
      </c>
      <c r="K4379" t="s">
        <v>17</v>
      </c>
      <c r="L4379">
        <f>F4378*G4378*(1-H4378)</f>
        <v>12747.449999999999</v>
      </c>
    </row>
    <row r="4380" spans="1:12">
      <c r="A4380" t="s">
        <v>5212</v>
      </c>
      <c r="B4380" s="1">
        <v>46228</v>
      </c>
      <c r="C4380" t="s">
        <v>727</v>
      </c>
      <c r="D4380" t="s">
        <v>26</v>
      </c>
      <c r="E4380" t="s">
        <v>35</v>
      </c>
      <c r="F4380">
        <v>4</v>
      </c>
      <c r="G4380">
        <v>7999</v>
      </c>
      <c r="H4380">
        <v>0.1</v>
      </c>
      <c r="I4380" t="s">
        <v>47</v>
      </c>
      <c r="J4380" t="s">
        <v>51</v>
      </c>
      <c r="K4380" t="s">
        <v>23</v>
      </c>
      <c r="L4380">
        <f>F4379*G4379*(1-H4379)</f>
        <v>2245.5</v>
      </c>
    </row>
    <row r="4381" spans="1:12">
      <c r="A4381" t="s">
        <v>5213</v>
      </c>
      <c r="B4381" s="1">
        <v>46187</v>
      </c>
      <c r="C4381" t="s">
        <v>1740</v>
      </c>
      <c r="D4381" t="s">
        <v>20</v>
      </c>
      <c r="E4381" t="s">
        <v>14</v>
      </c>
      <c r="F4381">
        <v>2</v>
      </c>
      <c r="G4381">
        <v>499</v>
      </c>
      <c r="H4381">
        <v>0.05</v>
      </c>
      <c r="I4381" t="s">
        <v>44</v>
      </c>
      <c r="J4381" t="s">
        <v>36</v>
      </c>
      <c r="K4381" t="s">
        <v>23</v>
      </c>
      <c r="L4381">
        <f>F4380*G4380*(1-H4380)</f>
        <v>28796.400000000001</v>
      </c>
    </row>
    <row r="4382" spans="1:12">
      <c r="A4382" t="s">
        <v>5214</v>
      </c>
      <c r="B4382" s="1">
        <v>46274</v>
      </c>
      <c r="C4382" t="s">
        <v>277</v>
      </c>
      <c r="D4382" t="s">
        <v>62</v>
      </c>
      <c r="E4382" t="s">
        <v>21</v>
      </c>
      <c r="F4382">
        <v>3</v>
      </c>
      <c r="G4382">
        <v>2499</v>
      </c>
      <c r="H4382">
        <v>0.15</v>
      </c>
      <c r="I4382" t="s">
        <v>47</v>
      </c>
      <c r="J4382" t="s">
        <v>28</v>
      </c>
      <c r="K4382" t="s">
        <v>23</v>
      </c>
      <c r="L4382">
        <f>F4381*G4381*(1-H4381)</f>
        <v>948.09999999999991</v>
      </c>
    </row>
    <row r="4383" spans="1:12">
      <c r="A4383" t="s">
        <v>5215</v>
      </c>
      <c r="B4383" s="1">
        <v>46094</v>
      </c>
      <c r="C4383" t="s">
        <v>3072</v>
      </c>
      <c r="D4383" t="s">
        <v>13</v>
      </c>
      <c r="E4383" t="s">
        <v>35</v>
      </c>
      <c r="F4383">
        <v>4</v>
      </c>
      <c r="G4383">
        <v>1299</v>
      </c>
      <c r="H4383">
        <v>0</v>
      </c>
      <c r="I4383" t="s">
        <v>50</v>
      </c>
      <c r="J4383" t="s">
        <v>16</v>
      </c>
      <c r="K4383" t="s">
        <v>17</v>
      </c>
      <c r="L4383">
        <f>F4382*G4382*(1-H4382)</f>
        <v>6372.45</v>
      </c>
    </row>
    <row r="4384" spans="1:12">
      <c r="A4384" t="s">
        <v>5216</v>
      </c>
      <c r="B4384" s="1">
        <v>46203</v>
      </c>
      <c r="C4384" t="s">
        <v>1465</v>
      </c>
      <c r="D4384" t="s">
        <v>13</v>
      </c>
      <c r="E4384" t="s">
        <v>21</v>
      </c>
      <c r="F4384">
        <v>4</v>
      </c>
      <c r="G4384">
        <v>1499</v>
      </c>
      <c r="H4384">
        <v>0.15</v>
      </c>
      <c r="I4384" t="s">
        <v>47</v>
      </c>
      <c r="J4384" t="s">
        <v>28</v>
      </c>
      <c r="K4384" t="s">
        <v>17</v>
      </c>
      <c r="L4384">
        <f>F4383*G4383*(1-H4383)</f>
        <v>5196</v>
      </c>
    </row>
    <row r="4385" spans="1:12">
      <c r="A4385" t="s">
        <v>5217</v>
      </c>
      <c r="B4385" s="1">
        <v>46028</v>
      </c>
      <c r="C4385" t="s">
        <v>635</v>
      </c>
      <c r="D4385" t="s">
        <v>78</v>
      </c>
      <c r="E4385" t="s">
        <v>35</v>
      </c>
      <c r="F4385">
        <v>2</v>
      </c>
      <c r="G4385">
        <v>799</v>
      </c>
      <c r="H4385">
        <v>0.1</v>
      </c>
      <c r="I4385" t="s">
        <v>32</v>
      </c>
      <c r="J4385" t="s">
        <v>28</v>
      </c>
      <c r="K4385" t="s">
        <v>17</v>
      </c>
      <c r="L4385">
        <f>F4384*G4384*(1-H4384)</f>
        <v>5096.5999999999995</v>
      </c>
    </row>
    <row r="4386" spans="1:12">
      <c r="A4386" t="s">
        <v>5218</v>
      </c>
      <c r="B4386" s="1">
        <v>46273</v>
      </c>
      <c r="C4386" t="s">
        <v>399</v>
      </c>
      <c r="D4386" t="s">
        <v>13</v>
      </c>
      <c r="E4386" t="s">
        <v>14</v>
      </c>
      <c r="F4386">
        <v>4</v>
      </c>
      <c r="G4386">
        <v>799</v>
      </c>
      <c r="H4386">
        <v>0</v>
      </c>
      <c r="I4386" t="s">
        <v>50</v>
      </c>
      <c r="J4386" t="s">
        <v>28</v>
      </c>
      <c r="K4386" t="s">
        <v>17</v>
      </c>
      <c r="L4386">
        <f>F4385*G4385*(1-H4385)</f>
        <v>1438.2</v>
      </c>
    </row>
    <row r="4387" spans="1:12">
      <c r="A4387" t="s">
        <v>5219</v>
      </c>
      <c r="B4387" s="1">
        <v>46133</v>
      </c>
      <c r="C4387" t="s">
        <v>140</v>
      </c>
      <c r="D4387" t="s">
        <v>56</v>
      </c>
      <c r="E4387" t="s">
        <v>14</v>
      </c>
      <c r="F4387">
        <v>2</v>
      </c>
      <c r="G4387">
        <v>1999</v>
      </c>
      <c r="H4387">
        <v>0.1</v>
      </c>
      <c r="I4387" t="s">
        <v>47</v>
      </c>
      <c r="J4387" t="s">
        <v>28</v>
      </c>
      <c r="K4387" t="s">
        <v>17</v>
      </c>
      <c r="L4387">
        <f>F4386*G4386*(1-H4386)</f>
        <v>3196</v>
      </c>
    </row>
    <row r="4388" spans="1:12">
      <c r="A4388" t="s">
        <v>5220</v>
      </c>
      <c r="B4388" s="1">
        <v>46113</v>
      </c>
      <c r="C4388" t="s">
        <v>952</v>
      </c>
      <c r="D4388" t="s">
        <v>56</v>
      </c>
      <c r="E4388" t="s">
        <v>40</v>
      </c>
      <c r="F4388">
        <v>3</v>
      </c>
      <c r="G4388">
        <v>7999</v>
      </c>
      <c r="H4388">
        <v>0.05</v>
      </c>
      <c r="I4388" t="s">
        <v>44</v>
      </c>
      <c r="J4388" t="s">
        <v>51</v>
      </c>
      <c r="K4388" t="s">
        <v>23</v>
      </c>
      <c r="L4388">
        <f>F4387*G4387*(1-H4387)</f>
        <v>3598.2000000000003</v>
      </c>
    </row>
    <row r="4389" spans="1:12">
      <c r="A4389" t="s">
        <v>5221</v>
      </c>
      <c r="B4389" s="1">
        <v>46138</v>
      </c>
      <c r="C4389" t="s">
        <v>444</v>
      </c>
      <c r="D4389" t="s">
        <v>62</v>
      </c>
      <c r="E4389" t="s">
        <v>14</v>
      </c>
      <c r="F4389">
        <v>2</v>
      </c>
      <c r="G4389">
        <v>599</v>
      </c>
      <c r="H4389">
        <v>0</v>
      </c>
      <c r="I4389" t="s">
        <v>15</v>
      </c>
      <c r="J4389" t="s">
        <v>28</v>
      </c>
      <c r="K4389" t="s">
        <v>37</v>
      </c>
      <c r="L4389">
        <f>F4388*G4388*(1-H4388)</f>
        <v>22797.149999999998</v>
      </c>
    </row>
    <row r="4390" spans="1:12">
      <c r="A4390" t="s">
        <v>5222</v>
      </c>
      <c r="B4390" s="1">
        <v>46212</v>
      </c>
      <c r="C4390" t="s">
        <v>4681</v>
      </c>
      <c r="D4390" t="s">
        <v>43</v>
      </c>
      <c r="E4390" t="s">
        <v>21</v>
      </c>
      <c r="F4390">
        <v>4</v>
      </c>
      <c r="G4390">
        <v>499</v>
      </c>
      <c r="H4390">
        <v>0</v>
      </c>
      <c r="I4390" t="s">
        <v>47</v>
      </c>
      <c r="J4390" t="s">
        <v>28</v>
      </c>
      <c r="K4390" t="s">
        <v>23</v>
      </c>
      <c r="L4390">
        <f>F4389*G4389*(1-H4389)</f>
        <v>1198</v>
      </c>
    </row>
    <row r="4391" spans="1:12">
      <c r="A4391" t="s">
        <v>5223</v>
      </c>
      <c r="B4391" s="1">
        <v>46288</v>
      </c>
      <c r="C4391" t="s">
        <v>1646</v>
      </c>
      <c r="D4391" t="s">
        <v>31</v>
      </c>
      <c r="E4391" t="s">
        <v>14</v>
      </c>
      <c r="F4391">
        <v>5</v>
      </c>
      <c r="G4391">
        <v>599</v>
      </c>
      <c r="H4391">
        <v>0</v>
      </c>
      <c r="I4391" t="s">
        <v>44</v>
      </c>
      <c r="J4391" t="s">
        <v>51</v>
      </c>
      <c r="K4391" t="s">
        <v>17</v>
      </c>
      <c r="L4391">
        <f>F4390*G4390*(1-H4390)</f>
        <v>1996</v>
      </c>
    </row>
    <row r="4392" spans="1:12">
      <c r="A4392" t="s">
        <v>5224</v>
      </c>
      <c r="B4392" s="1">
        <v>46266</v>
      </c>
      <c r="C4392" t="s">
        <v>331</v>
      </c>
      <c r="D4392" t="s">
        <v>20</v>
      </c>
      <c r="E4392" t="s">
        <v>21</v>
      </c>
      <c r="F4392">
        <v>5</v>
      </c>
      <c r="G4392">
        <v>499</v>
      </c>
      <c r="H4392">
        <v>0.15</v>
      </c>
      <c r="I4392" t="s">
        <v>44</v>
      </c>
      <c r="J4392" t="s">
        <v>51</v>
      </c>
      <c r="K4392" t="s">
        <v>37</v>
      </c>
      <c r="L4392">
        <f>F4391*G4391*(1-H4391)</f>
        <v>2995</v>
      </c>
    </row>
    <row r="4393" spans="1:12">
      <c r="A4393" t="s">
        <v>5225</v>
      </c>
      <c r="B4393" s="1">
        <v>46130</v>
      </c>
      <c r="C4393" t="s">
        <v>1042</v>
      </c>
      <c r="D4393" t="s">
        <v>20</v>
      </c>
      <c r="E4393" t="s">
        <v>35</v>
      </c>
      <c r="F4393">
        <v>2</v>
      </c>
      <c r="G4393">
        <v>599</v>
      </c>
      <c r="H4393">
        <v>0.05</v>
      </c>
      <c r="I4393" t="s">
        <v>50</v>
      </c>
      <c r="J4393" t="s">
        <v>51</v>
      </c>
      <c r="K4393" t="s">
        <v>17</v>
      </c>
      <c r="L4393">
        <f>F4392*G4392*(1-H4392)</f>
        <v>2120.75</v>
      </c>
    </row>
    <row r="4394" spans="1:12">
      <c r="A4394" t="s">
        <v>5226</v>
      </c>
      <c r="B4394" s="1">
        <v>46099</v>
      </c>
      <c r="C4394" t="s">
        <v>1002</v>
      </c>
      <c r="D4394" t="s">
        <v>20</v>
      </c>
      <c r="E4394" t="s">
        <v>27</v>
      </c>
      <c r="F4394">
        <v>5</v>
      </c>
      <c r="G4394">
        <v>1299</v>
      </c>
      <c r="H4394">
        <v>0</v>
      </c>
      <c r="I4394" t="s">
        <v>15</v>
      </c>
      <c r="J4394" t="s">
        <v>51</v>
      </c>
      <c r="K4394" t="s">
        <v>17</v>
      </c>
      <c r="L4394">
        <f>F4393*G4393*(1-H4393)</f>
        <v>1138.0999999999999</v>
      </c>
    </row>
    <row r="4395" spans="1:12">
      <c r="A4395" t="s">
        <v>5227</v>
      </c>
      <c r="B4395" s="1">
        <v>46196</v>
      </c>
      <c r="C4395" t="s">
        <v>353</v>
      </c>
      <c r="D4395" t="s">
        <v>62</v>
      </c>
      <c r="E4395" t="s">
        <v>40</v>
      </c>
      <c r="F4395">
        <v>3</v>
      </c>
      <c r="G4395">
        <v>499</v>
      </c>
      <c r="H4395">
        <v>0.05</v>
      </c>
      <c r="I4395" t="s">
        <v>44</v>
      </c>
      <c r="J4395" t="s">
        <v>36</v>
      </c>
      <c r="K4395" t="s">
        <v>17</v>
      </c>
      <c r="L4395">
        <f>F4394*G4394*(1-H4394)</f>
        <v>6495</v>
      </c>
    </row>
    <row r="4396" spans="1:12">
      <c r="A4396" t="s">
        <v>5228</v>
      </c>
      <c r="B4396" s="1">
        <v>46092</v>
      </c>
      <c r="C4396" t="s">
        <v>940</v>
      </c>
      <c r="D4396" t="s">
        <v>59</v>
      </c>
      <c r="E4396" t="s">
        <v>21</v>
      </c>
      <c r="F4396">
        <v>5</v>
      </c>
      <c r="G4396">
        <v>1499</v>
      </c>
      <c r="H4396">
        <v>0.15</v>
      </c>
      <c r="I4396" t="s">
        <v>15</v>
      </c>
      <c r="J4396" t="s">
        <v>22</v>
      </c>
      <c r="K4396" t="s">
        <v>23</v>
      </c>
      <c r="L4396">
        <f>F4395*G4395*(1-H4395)</f>
        <v>1422.1499999999999</v>
      </c>
    </row>
    <row r="4397" spans="1:12">
      <c r="A4397" t="s">
        <v>5229</v>
      </c>
      <c r="B4397" s="1">
        <v>46292</v>
      </c>
      <c r="C4397" t="s">
        <v>699</v>
      </c>
      <c r="D4397" t="s">
        <v>31</v>
      </c>
      <c r="E4397" t="s">
        <v>27</v>
      </c>
      <c r="F4397">
        <v>2</v>
      </c>
      <c r="G4397">
        <v>7999</v>
      </c>
      <c r="H4397">
        <v>0.1</v>
      </c>
      <c r="I4397" t="s">
        <v>44</v>
      </c>
      <c r="J4397" t="s">
        <v>28</v>
      </c>
      <c r="K4397" t="s">
        <v>23</v>
      </c>
      <c r="L4397">
        <f>F4396*G4396*(1-H4396)</f>
        <v>6370.75</v>
      </c>
    </row>
    <row r="4398" spans="1:12">
      <c r="A4398" t="s">
        <v>5230</v>
      </c>
      <c r="B4398" s="1">
        <v>46133</v>
      </c>
      <c r="C4398" t="s">
        <v>663</v>
      </c>
      <c r="D4398" t="s">
        <v>56</v>
      </c>
      <c r="E4398" t="s">
        <v>35</v>
      </c>
      <c r="F4398">
        <v>1</v>
      </c>
      <c r="G4398">
        <v>7999</v>
      </c>
      <c r="H4398">
        <v>0</v>
      </c>
      <c r="I4398" t="s">
        <v>32</v>
      </c>
      <c r="J4398" t="s">
        <v>28</v>
      </c>
      <c r="K4398" t="s">
        <v>23</v>
      </c>
      <c r="L4398">
        <f>F4397*G4397*(1-H4397)</f>
        <v>14398.2</v>
      </c>
    </row>
    <row r="4399" spans="1:12">
      <c r="A4399" t="s">
        <v>5231</v>
      </c>
      <c r="B4399" s="1">
        <v>46144</v>
      </c>
      <c r="C4399" t="s">
        <v>1486</v>
      </c>
      <c r="D4399" t="s">
        <v>71</v>
      </c>
      <c r="E4399" t="s">
        <v>14</v>
      </c>
      <c r="F4399">
        <v>2</v>
      </c>
      <c r="G4399">
        <v>799</v>
      </c>
      <c r="H4399">
        <v>0.05</v>
      </c>
      <c r="I4399" t="s">
        <v>50</v>
      </c>
      <c r="J4399" t="s">
        <v>28</v>
      </c>
      <c r="K4399" t="s">
        <v>37</v>
      </c>
      <c r="L4399">
        <f>F4398*G4398*(1-H4398)</f>
        <v>7999</v>
      </c>
    </row>
    <row r="4400" spans="1:12">
      <c r="A4400" t="s">
        <v>5232</v>
      </c>
      <c r="B4400" s="1">
        <v>46031</v>
      </c>
      <c r="C4400" t="s">
        <v>351</v>
      </c>
      <c r="D4400" t="s">
        <v>26</v>
      </c>
      <c r="E4400" t="s">
        <v>14</v>
      </c>
      <c r="F4400">
        <v>4</v>
      </c>
      <c r="G4400">
        <v>799</v>
      </c>
      <c r="H4400">
        <v>0</v>
      </c>
      <c r="I4400" t="s">
        <v>47</v>
      </c>
      <c r="J4400" t="s">
        <v>16</v>
      </c>
      <c r="K4400" t="s">
        <v>17</v>
      </c>
      <c r="L4400">
        <f>F4399*G4399*(1-H4399)</f>
        <v>1518.1</v>
      </c>
    </row>
    <row r="4401" spans="1:12">
      <c r="A4401" t="s">
        <v>5233</v>
      </c>
      <c r="B4401" s="1">
        <v>46055</v>
      </c>
      <c r="C4401" t="s">
        <v>1983</v>
      </c>
      <c r="D4401" t="s">
        <v>62</v>
      </c>
      <c r="E4401" t="s">
        <v>27</v>
      </c>
      <c r="F4401">
        <v>1</v>
      </c>
      <c r="G4401">
        <v>1999</v>
      </c>
      <c r="H4401">
        <v>0</v>
      </c>
      <c r="I4401" t="s">
        <v>44</v>
      </c>
      <c r="J4401" t="s">
        <v>22</v>
      </c>
      <c r="K4401" t="s">
        <v>17</v>
      </c>
      <c r="L4401">
        <f>F4400*G4400*(1-H4400)</f>
        <v>3196</v>
      </c>
    </row>
    <row r="4402" spans="1:12">
      <c r="A4402" t="s">
        <v>5234</v>
      </c>
      <c r="B4402" s="1">
        <v>46082</v>
      </c>
      <c r="C4402" t="s">
        <v>631</v>
      </c>
      <c r="D4402" t="s">
        <v>20</v>
      </c>
      <c r="E4402" t="s">
        <v>27</v>
      </c>
      <c r="F4402">
        <v>2</v>
      </c>
      <c r="G4402">
        <v>1299</v>
      </c>
      <c r="H4402">
        <v>0</v>
      </c>
      <c r="I4402" t="s">
        <v>47</v>
      </c>
      <c r="J4402" t="s">
        <v>22</v>
      </c>
      <c r="K4402" t="s">
        <v>17</v>
      </c>
      <c r="L4402">
        <f>F4401*G4401*(1-H4401)</f>
        <v>1999</v>
      </c>
    </row>
    <row r="4403" spans="1:12">
      <c r="A4403" t="s">
        <v>5235</v>
      </c>
      <c r="B4403" s="1">
        <v>46187</v>
      </c>
      <c r="C4403" t="s">
        <v>160</v>
      </c>
      <c r="D4403" t="s">
        <v>20</v>
      </c>
      <c r="E4403" t="s">
        <v>35</v>
      </c>
      <c r="F4403">
        <v>2</v>
      </c>
      <c r="G4403">
        <v>2499</v>
      </c>
      <c r="H4403">
        <v>0.15</v>
      </c>
      <c r="I4403" t="s">
        <v>44</v>
      </c>
      <c r="J4403" t="s">
        <v>16</v>
      </c>
      <c r="K4403" t="s">
        <v>37</v>
      </c>
      <c r="L4403">
        <f>F4402*G4402*(1-H4402)</f>
        <v>2598</v>
      </c>
    </row>
    <row r="4404" spans="1:12">
      <c r="A4404" t="s">
        <v>5236</v>
      </c>
      <c r="B4404" s="1">
        <v>46230</v>
      </c>
      <c r="C4404" t="s">
        <v>1981</v>
      </c>
      <c r="D4404" t="s">
        <v>62</v>
      </c>
      <c r="E4404" t="s">
        <v>21</v>
      </c>
      <c r="F4404">
        <v>1</v>
      </c>
      <c r="G4404">
        <v>1999</v>
      </c>
      <c r="H4404">
        <v>0.1</v>
      </c>
      <c r="I4404" t="s">
        <v>47</v>
      </c>
      <c r="J4404" t="s">
        <v>36</v>
      </c>
      <c r="K4404" t="s">
        <v>23</v>
      </c>
      <c r="L4404">
        <f>F4403*G4403*(1-H4403)</f>
        <v>4248.3</v>
      </c>
    </row>
    <row r="4405" spans="1:12">
      <c r="A4405" t="s">
        <v>5237</v>
      </c>
      <c r="B4405" s="1">
        <v>46159</v>
      </c>
      <c r="C4405" t="s">
        <v>4274</v>
      </c>
      <c r="D4405" t="s">
        <v>13</v>
      </c>
      <c r="E4405" t="s">
        <v>27</v>
      </c>
      <c r="F4405">
        <v>1</v>
      </c>
      <c r="G4405">
        <v>1499</v>
      </c>
      <c r="H4405">
        <v>0</v>
      </c>
      <c r="I4405" t="s">
        <v>15</v>
      </c>
      <c r="J4405" t="s">
        <v>51</v>
      </c>
      <c r="K4405" t="s">
        <v>17</v>
      </c>
      <c r="L4405">
        <f>F4404*G4404*(1-H4404)</f>
        <v>1799.1000000000001</v>
      </c>
    </row>
    <row r="4406" spans="1:12">
      <c r="A4406" t="s">
        <v>5238</v>
      </c>
      <c r="B4406" s="1">
        <v>46047</v>
      </c>
      <c r="C4406" t="s">
        <v>940</v>
      </c>
      <c r="D4406" t="s">
        <v>31</v>
      </c>
      <c r="E4406" t="s">
        <v>40</v>
      </c>
      <c r="F4406">
        <v>5</v>
      </c>
      <c r="G4406">
        <v>4999</v>
      </c>
      <c r="H4406">
        <v>0</v>
      </c>
      <c r="I4406" t="s">
        <v>47</v>
      </c>
      <c r="J4406" t="s">
        <v>28</v>
      </c>
      <c r="K4406" t="s">
        <v>23</v>
      </c>
      <c r="L4406">
        <f>F4405*G4405*(1-H4405)</f>
        <v>1499</v>
      </c>
    </row>
    <row r="4407" spans="1:12">
      <c r="A4407" t="s">
        <v>5239</v>
      </c>
      <c r="B4407" s="1">
        <v>46090</v>
      </c>
      <c r="C4407" t="s">
        <v>1993</v>
      </c>
      <c r="D4407" t="s">
        <v>26</v>
      </c>
      <c r="E4407" t="s">
        <v>27</v>
      </c>
      <c r="F4407">
        <v>5</v>
      </c>
      <c r="G4407">
        <v>7999</v>
      </c>
      <c r="H4407">
        <v>0.1</v>
      </c>
      <c r="I4407" t="s">
        <v>44</v>
      </c>
      <c r="J4407" t="s">
        <v>22</v>
      </c>
      <c r="K4407" t="s">
        <v>17</v>
      </c>
      <c r="L4407">
        <f>F4406*G4406*(1-H4406)</f>
        <v>24995</v>
      </c>
    </row>
    <row r="4408" spans="1:12">
      <c r="A4408" t="s">
        <v>5240</v>
      </c>
      <c r="B4408" s="1">
        <v>46153</v>
      </c>
      <c r="C4408" t="s">
        <v>2724</v>
      </c>
      <c r="D4408" t="s">
        <v>59</v>
      </c>
      <c r="E4408" t="s">
        <v>21</v>
      </c>
      <c r="F4408">
        <v>3</v>
      </c>
      <c r="G4408">
        <v>1999</v>
      </c>
      <c r="H4408">
        <v>0</v>
      </c>
      <c r="I4408" t="s">
        <v>44</v>
      </c>
      <c r="J4408" t="s">
        <v>36</v>
      </c>
      <c r="K4408" t="s">
        <v>17</v>
      </c>
      <c r="L4408">
        <f>F4407*G4407*(1-H4407)</f>
        <v>35995.5</v>
      </c>
    </row>
    <row r="4409" spans="1:12">
      <c r="A4409" t="s">
        <v>5241</v>
      </c>
      <c r="B4409" s="1">
        <v>46229</v>
      </c>
      <c r="C4409" t="s">
        <v>1845</v>
      </c>
      <c r="D4409" t="s">
        <v>31</v>
      </c>
      <c r="E4409" t="s">
        <v>40</v>
      </c>
      <c r="F4409">
        <v>1</v>
      </c>
      <c r="G4409">
        <v>1299</v>
      </c>
      <c r="H4409">
        <v>0</v>
      </c>
      <c r="I4409" t="s">
        <v>32</v>
      </c>
      <c r="J4409" t="s">
        <v>22</v>
      </c>
      <c r="K4409" t="s">
        <v>23</v>
      </c>
      <c r="L4409">
        <f>F4408*G4408*(1-H4408)</f>
        <v>5997</v>
      </c>
    </row>
    <row r="4410" spans="1:12">
      <c r="A4410" t="s">
        <v>5242</v>
      </c>
      <c r="B4410" s="1">
        <v>46053</v>
      </c>
      <c r="C4410" t="s">
        <v>92</v>
      </c>
      <c r="D4410" t="s">
        <v>26</v>
      </c>
      <c r="E4410" t="s">
        <v>21</v>
      </c>
      <c r="F4410">
        <v>3</v>
      </c>
      <c r="G4410">
        <v>2499</v>
      </c>
      <c r="H4410">
        <v>0</v>
      </c>
      <c r="I4410" t="s">
        <v>32</v>
      </c>
      <c r="J4410" t="s">
        <v>51</v>
      </c>
      <c r="K4410" t="s">
        <v>23</v>
      </c>
      <c r="L4410">
        <f>F4409*G4409*(1-H4409)</f>
        <v>1299</v>
      </c>
    </row>
    <row r="4411" spans="1:12">
      <c r="A4411" t="s">
        <v>5243</v>
      </c>
      <c r="B4411" s="1">
        <v>46025</v>
      </c>
      <c r="C4411" t="s">
        <v>3039</v>
      </c>
      <c r="D4411" t="s">
        <v>20</v>
      </c>
      <c r="E4411" t="s">
        <v>21</v>
      </c>
      <c r="F4411">
        <v>5</v>
      </c>
      <c r="G4411">
        <v>499</v>
      </c>
      <c r="H4411">
        <v>0</v>
      </c>
      <c r="I4411" t="s">
        <v>15</v>
      </c>
      <c r="J4411" t="s">
        <v>51</v>
      </c>
      <c r="K4411" t="s">
        <v>23</v>
      </c>
      <c r="L4411">
        <f>F4410*G4410*(1-H4410)</f>
        <v>7497</v>
      </c>
    </row>
    <row r="4412" spans="1:12">
      <c r="A4412" t="s">
        <v>5244</v>
      </c>
      <c r="B4412" s="1">
        <v>46090</v>
      </c>
      <c r="C4412" t="s">
        <v>4914</v>
      </c>
      <c r="D4412" t="s">
        <v>78</v>
      </c>
      <c r="E4412" t="s">
        <v>35</v>
      </c>
      <c r="F4412">
        <v>4</v>
      </c>
      <c r="G4412">
        <v>7999</v>
      </c>
      <c r="H4412">
        <v>0</v>
      </c>
      <c r="I4412" t="s">
        <v>15</v>
      </c>
      <c r="J4412" t="s">
        <v>22</v>
      </c>
      <c r="K4412" t="s">
        <v>17</v>
      </c>
      <c r="L4412">
        <f>F4411*G4411*(1-H4411)</f>
        <v>2495</v>
      </c>
    </row>
    <row r="4413" spans="1:12">
      <c r="A4413" t="s">
        <v>5245</v>
      </c>
      <c r="B4413" s="1">
        <v>46263</v>
      </c>
      <c r="C4413" t="s">
        <v>881</v>
      </c>
      <c r="D4413" t="s">
        <v>43</v>
      </c>
      <c r="E4413" t="s">
        <v>27</v>
      </c>
      <c r="F4413">
        <v>3</v>
      </c>
      <c r="G4413">
        <v>599</v>
      </c>
      <c r="H4413">
        <v>0</v>
      </c>
      <c r="I4413" t="s">
        <v>15</v>
      </c>
      <c r="J4413" t="s">
        <v>36</v>
      </c>
      <c r="K4413" t="s">
        <v>17</v>
      </c>
      <c r="L4413">
        <f>F4412*G4412*(1-H4412)</f>
        <v>31996</v>
      </c>
    </row>
    <row r="4414" spans="1:12">
      <c r="A4414" t="s">
        <v>5246</v>
      </c>
      <c r="B4414" s="1">
        <v>46088</v>
      </c>
      <c r="C4414" t="s">
        <v>136</v>
      </c>
      <c r="D4414" t="s">
        <v>26</v>
      </c>
      <c r="E4414" t="s">
        <v>21</v>
      </c>
      <c r="F4414">
        <v>5</v>
      </c>
      <c r="G4414">
        <v>499</v>
      </c>
      <c r="H4414">
        <v>0.1</v>
      </c>
      <c r="I4414" t="s">
        <v>44</v>
      </c>
      <c r="J4414" t="s">
        <v>51</v>
      </c>
      <c r="K4414" t="s">
        <v>17</v>
      </c>
      <c r="L4414">
        <f>F4413*G4413*(1-H4413)</f>
        <v>1797</v>
      </c>
    </row>
    <row r="4415" spans="1:12">
      <c r="A4415" t="s">
        <v>5247</v>
      </c>
      <c r="B4415" s="1">
        <v>46112</v>
      </c>
      <c r="C4415" t="s">
        <v>2713</v>
      </c>
      <c r="D4415" t="s">
        <v>56</v>
      </c>
      <c r="E4415" t="s">
        <v>40</v>
      </c>
      <c r="F4415">
        <v>2</v>
      </c>
      <c r="G4415">
        <v>2499</v>
      </c>
      <c r="H4415">
        <v>0</v>
      </c>
      <c r="I4415" t="s">
        <v>50</v>
      </c>
      <c r="J4415" t="s">
        <v>22</v>
      </c>
      <c r="K4415" t="s">
        <v>37</v>
      </c>
      <c r="L4415">
        <f>F4414*G4414*(1-H4414)</f>
        <v>2245.5</v>
      </c>
    </row>
    <row r="4416" spans="1:12">
      <c r="A4416" t="s">
        <v>5248</v>
      </c>
      <c r="B4416" s="1">
        <v>46131</v>
      </c>
      <c r="C4416" t="s">
        <v>651</v>
      </c>
      <c r="D4416" t="s">
        <v>59</v>
      </c>
      <c r="E4416" t="s">
        <v>21</v>
      </c>
      <c r="F4416">
        <v>3</v>
      </c>
      <c r="G4416">
        <v>599</v>
      </c>
      <c r="H4416">
        <v>0</v>
      </c>
      <c r="I4416" t="s">
        <v>44</v>
      </c>
      <c r="J4416" t="s">
        <v>22</v>
      </c>
      <c r="K4416" t="s">
        <v>17</v>
      </c>
      <c r="L4416">
        <f>F4415*G4415*(1-H4415)</f>
        <v>4998</v>
      </c>
    </row>
    <row r="4417" spans="1:12">
      <c r="A4417" t="s">
        <v>5249</v>
      </c>
      <c r="B4417" s="1">
        <v>46039</v>
      </c>
      <c r="C4417" t="s">
        <v>1235</v>
      </c>
      <c r="D4417" t="s">
        <v>59</v>
      </c>
      <c r="E4417" t="s">
        <v>21</v>
      </c>
      <c r="F4417">
        <v>2</v>
      </c>
      <c r="G4417">
        <v>1299</v>
      </c>
      <c r="H4417">
        <v>0</v>
      </c>
      <c r="I4417" t="s">
        <v>47</v>
      </c>
      <c r="J4417" t="s">
        <v>28</v>
      </c>
      <c r="K4417" t="s">
        <v>17</v>
      </c>
      <c r="L4417">
        <f>F4416*G4416*(1-H4416)</f>
        <v>1797</v>
      </c>
    </row>
    <row r="4418" spans="1:12">
      <c r="A4418" t="s">
        <v>5250</v>
      </c>
      <c r="B4418" s="1">
        <v>46029</v>
      </c>
      <c r="C4418" t="s">
        <v>2987</v>
      </c>
      <c r="D4418" t="s">
        <v>56</v>
      </c>
      <c r="E4418" t="s">
        <v>21</v>
      </c>
      <c r="F4418">
        <v>1</v>
      </c>
      <c r="G4418">
        <v>499</v>
      </c>
      <c r="H4418">
        <v>0</v>
      </c>
      <c r="I4418" t="s">
        <v>15</v>
      </c>
      <c r="J4418" t="s">
        <v>16</v>
      </c>
      <c r="K4418" t="s">
        <v>17</v>
      </c>
      <c r="L4418">
        <f>F4417*G4417*(1-H4417)</f>
        <v>2598</v>
      </c>
    </row>
    <row r="4419" spans="1:12">
      <c r="A4419" t="s">
        <v>5251</v>
      </c>
      <c r="B4419" s="1">
        <v>46294</v>
      </c>
      <c r="C4419" t="s">
        <v>182</v>
      </c>
      <c r="D4419" t="s">
        <v>59</v>
      </c>
      <c r="E4419" t="s">
        <v>40</v>
      </c>
      <c r="F4419">
        <v>5</v>
      </c>
      <c r="G4419">
        <v>499</v>
      </c>
      <c r="H4419">
        <v>0.15</v>
      </c>
      <c r="I4419" t="s">
        <v>15</v>
      </c>
      <c r="J4419" t="s">
        <v>22</v>
      </c>
      <c r="K4419" t="s">
        <v>17</v>
      </c>
      <c r="L4419">
        <f>F4418*G4418*(1-H4418)</f>
        <v>499</v>
      </c>
    </row>
    <row r="4420" spans="1:12">
      <c r="A4420" t="s">
        <v>5252</v>
      </c>
      <c r="B4420" s="1">
        <v>46160</v>
      </c>
      <c r="C4420" t="s">
        <v>4533</v>
      </c>
      <c r="D4420" t="s">
        <v>26</v>
      </c>
      <c r="E4420" t="s">
        <v>21</v>
      </c>
      <c r="F4420">
        <v>1</v>
      </c>
      <c r="G4420">
        <v>1299</v>
      </c>
      <c r="H4420">
        <v>0</v>
      </c>
      <c r="I4420" t="s">
        <v>32</v>
      </c>
      <c r="J4420" t="s">
        <v>28</v>
      </c>
      <c r="K4420" t="s">
        <v>37</v>
      </c>
      <c r="L4420">
        <f>F4419*G4419*(1-H4419)</f>
        <v>2120.75</v>
      </c>
    </row>
    <row r="4421" spans="1:12">
      <c r="A4421" t="s">
        <v>5253</v>
      </c>
      <c r="B4421" s="1">
        <v>46246</v>
      </c>
      <c r="C4421" t="s">
        <v>517</v>
      </c>
      <c r="D4421" t="s">
        <v>71</v>
      </c>
      <c r="E4421" t="s">
        <v>27</v>
      </c>
      <c r="F4421">
        <v>3</v>
      </c>
      <c r="G4421">
        <v>2499</v>
      </c>
      <c r="H4421">
        <v>0</v>
      </c>
      <c r="I4421" t="s">
        <v>32</v>
      </c>
      <c r="J4421" t="s">
        <v>51</v>
      </c>
      <c r="K4421" t="s">
        <v>37</v>
      </c>
      <c r="L4421">
        <f>F4420*G4420*(1-H4420)</f>
        <v>1299</v>
      </c>
    </row>
    <row r="4422" spans="1:12">
      <c r="A4422" t="s">
        <v>5254</v>
      </c>
      <c r="B4422" s="1">
        <v>46024</v>
      </c>
      <c r="C4422" t="s">
        <v>2882</v>
      </c>
      <c r="D4422" t="s">
        <v>78</v>
      </c>
      <c r="E4422" t="s">
        <v>21</v>
      </c>
      <c r="F4422">
        <v>4</v>
      </c>
      <c r="G4422">
        <v>799</v>
      </c>
      <c r="H4422">
        <v>0.1</v>
      </c>
      <c r="I4422" t="s">
        <v>47</v>
      </c>
      <c r="J4422" t="s">
        <v>28</v>
      </c>
      <c r="K4422" t="s">
        <v>17</v>
      </c>
      <c r="L4422">
        <f>F4421*G4421*(1-H4421)</f>
        <v>7497</v>
      </c>
    </row>
    <row r="4423" spans="1:12">
      <c r="A4423" t="s">
        <v>5255</v>
      </c>
      <c r="B4423" s="1">
        <v>46025</v>
      </c>
      <c r="C4423" t="s">
        <v>3361</v>
      </c>
      <c r="D4423" t="s">
        <v>20</v>
      </c>
      <c r="E4423" t="s">
        <v>14</v>
      </c>
      <c r="F4423">
        <v>4</v>
      </c>
      <c r="G4423">
        <v>599</v>
      </c>
      <c r="H4423">
        <v>0.05</v>
      </c>
      <c r="I4423" t="s">
        <v>32</v>
      </c>
      <c r="J4423" t="s">
        <v>36</v>
      </c>
      <c r="K4423" t="s">
        <v>17</v>
      </c>
      <c r="L4423">
        <f>F4422*G4422*(1-H4422)</f>
        <v>2876.4</v>
      </c>
    </row>
    <row r="4424" spans="1:12">
      <c r="A4424" t="s">
        <v>5256</v>
      </c>
      <c r="B4424" s="1">
        <v>46036</v>
      </c>
      <c r="C4424" t="s">
        <v>1700</v>
      </c>
      <c r="D4424" t="s">
        <v>26</v>
      </c>
      <c r="E4424" t="s">
        <v>27</v>
      </c>
      <c r="F4424">
        <v>5</v>
      </c>
      <c r="G4424">
        <v>599</v>
      </c>
      <c r="H4424">
        <v>0.1</v>
      </c>
      <c r="I4424" t="s">
        <v>50</v>
      </c>
      <c r="J4424" t="s">
        <v>28</v>
      </c>
      <c r="K4424" t="s">
        <v>17</v>
      </c>
      <c r="L4424">
        <f>F4423*G4423*(1-H4423)</f>
        <v>2276.1999999999998</v>
      </c>
    </row>
    <row r="4425" spans="1:12">
      <c r="A4425" t="s">
        <v>5257</v>
      </c>
      <c r="B4425" s="1">
        <v>46041</v>
      </c>
      <c r="C4425" t="s">
        <v>1561</v>
      </c>
      <c r="D4425" t="s">
        <v>31</v>
      </c>
      <c r="E4425" t="s">
        <v>27</v>
      </c>
      <c r="F4425">
        <v>1</v>
      </c>
      <c r="G4425">
        <v>7999</v>
      </c>
      <c r="H4425">
        <v>0</v>
      </c>
      <c r="I4425" t="s">
        <v>44</v>
      </c>
      <c r="J4425" t="s">
        <v>16</v>
      </c>
      <c r="K4425" t="s">
        <v>37</v>
      </c>
      <c r="L4425">
        <f>F4424*G4424*(1-H4424)</f>
        <v>2695.5</v>
      </c>
    </row>
    <row r="4426" spans="1:12">
      <c r="A4426" t="s">
        <v>5258</v>
      </c>
      <c r="B4426" s="1">
        <v>46137</v>
      </c>
      <c r="C4426" t="s">
        <v>808</v>
      </c>
      <c r="D4426" t="s">
        <v>71</v>
      </c>
      <c r="E4426" t="s">
        <v>40</v>
      </c>
      <c r="F4426">
        <v>3</v>
      </c>
      <c r="G4426">
        <v>599</v>
      </c>
      <c r="H4426">
        <v>0.05</v>
      </c>
      <c r="I4426" t="s">
        <v>47</v>
      </c>
      <c r="J4426" t="s">
        <v>28</v>
      </c>
      <c r="K4426" t="s">
        <v>17</v>
      </c>
      <c r="L4426">
        <f>F4425*G4425*(1-H4425)</f>
        <v>7999</v>
      </c>
    </row>
    <row r="4427" spans="1:12">
      <c r="A4427" t="s">
        <v>5259</v>
      </c>
      <c r="B4427" s="1">
        <v>46059</v>
      </c>
      <c r="C4427" t="s">
        <v>874</v>
      </c>
      <c r="D4427" t="s">
        <v>26</v>
      </c>
      <c r="E4427" t="s">
        <v>14</v>
      </c>
      <c r="F4427">
        <v>4</v>
      </c>
      <c r="G4427">
        <v>1299</v>
      </c>
      <c r="H4427">
        <v>0.1</v>
      </c>
      <c r="I4427" t="s">
        <v>47</v>
      </c>
      <c r="J4427" t="s">
        <v>28</v>
      </c>
      <c r="K4427" t="s">
        <v>17</v>
      </c>
      <c r="L4427">
        <f>F4426*G4426*(1-H4426)</f>
        <v>1707.1499999999999</v>
      </c>
    </row>
    <row r="4428" spans="1:12">
      <c r="A4428" t="s">
        <v>5260</v>
      </c>
      <c r="B4428" s="1">
        <v>46098</v>
      </c>
      <c r="C4428" t="s">
        <v>1118</v>
      </c>
      <c r="D4428" t="s">
        <v>62</v>
      </c>
      <c r="E4428" t="s">
        <v>35</v>
      </c>
      <c r="F4428">
        <v>5</v>
      </c>
      <c r="G4428">
        <v>1999</v>
      </c>
      <c r="H4428">
        <v>0.15</v>
      </c>
      <c r="I4428" t="s">
        <v>47</v>
      </c>
      <c r="J4428" t="s">
        <v>28</v>
      </c>
      <c r="K4428" t="s">
        <v>17</v>
      </c>
      <c r="L4428">
        <f>F4427*G4427*(1-H4427)</f>
        <v>4676.4000000000005</v>
      </c>
    </row>
    <row r="4429" spans="1:12">
      <c r="A4429" t="s">
        <v>5261</v>
      </c>
      <c r="B4429" s="1">
        <v>46272</v>
      </c>
      <c r="C4429" t="s">
        <v>615</v>
      </c>
      <c r="D4429" t="s">
        <v>43</v>
      </c>
      <c r="E4429" t="s">
        <v>40</v>
      </c>
      <c r="F4429">
        <v>4</v>
      </c>
      <c r="G4429">
        <v>7999</v>
      </c>
      <c r="H4429">
        <v>0.1</v>
      </c>
      <c r="I4429" t="s">
        <v>44</v>
      </c>
      <c r="J4429" t="s">
        <v>28</v>
      </c>
      <c r="K4429" t="s">
        <v>23</v>
      </c>
      <c r="L4429">
        <f>F4428*G4428*(1-H4428)</f>
        <v>8495.75</v>
      </c>
    </row>
    <row r="4430" spans="1:12">
      <c r="A4430" t="s">
        <v>5262</v>
      </c>
      <c r="B4430" s="1">
        <v>46129</v>
      </c>
      <c r="C4430" t="s">
        <v>2403</v>
      </c>
      <c r="D4430" t="s">
        <v>71</v>
      </c>
      <c r="E4430" t="s">
        <v>35</v>
      </c>
      <c r="F4430">
        <v>1</v>
      </c>
      <c r="G4430">
        <v>1299</v>
      </c>
      <c r="H4430">
        <v>0.1</v>
      </c>
      <c r="I4430" t="s">
        <v>15</v>
      </c>
      <c r="J4430" t="s">
        <v>36</v>
      </c>
      <c r="K4430" t="s">
        <v>17</v>
      </c>
      <c r="L4430">
        <f>F4429*G4429*(1-H4429)</f>
        <v>28796.400000000001</v>
      </c>
    </row>
    <row r="4431" spans="1:12">
      <c r="A4431" t="s">
        <v>5263</v>
      </c>
      <c r="B4431" s="1">
        <v>46169</v>
      </c>
      <c r="C4431" t="s">
        <v>1130</v>
      </c>
      <c r="D4431" t="s">
        <v>26</v>
      </c>
      <c r="E4431" t="s">
        <v>21</v>
      </c>
      <c r="F4431">
        <v>5</v>
      </c>
      <c r="G4431">
        <v>7999</v>
      </c>
      <c r="H4431">
        <v>0.05</v>
      </c>
      <c r="I4431" t="s">
        <v>50</v>
      </c>
      <c r="J4431" t="s">
        <v>16</v>
      </c>
      <c r="K4431" t="s">
        <v>17</v>
      </c>
      <c r="L4431">
        <f>F4430*G4430*(1-H4430)</f>
        <v>1169.1000000000001</v>
      </c>
    </row>
    <row r="4432" spans="1:12">
      <c r="A4432" t="s">
        <v>5264</v>
      </c>
      <c r="B4432" s="1">
        <v>46042</v>
      </c>
      <c r="C4432" t="s">
        <v>399</v>
      </c>
      <c r="D4432" t="s">
        <v>20</v>
      </c>
      <c r="E4432" t="s">
        <v>35</v>
      </c>
      <c r="F4432">
        <v>4</v>
      </c>
      <c r="G4432">
        <v>7999</v>
      </c>
      <c r="H4432">
        <v>0.1</v>
      </c>
      <c r="I4432" t="s">
        <v>47</v>
      </c>
      <c r="J4432" t="s">
        <v>16</v>
      </c>
      <c r="K4432" t="s">
        <v>17</v>
      </c>
      <c r="L4432">
        <f>F4431*G4431*(1-H4431)</f>
        <v>37995.25</v>
      </c>
    </row>
    <row r="4433" spans="1:12">
      <c r="A4433" t="s">
        <v>5265</v>
      </c>
      <c r="B4433" s="1">
        <v>46068</v>
      </c>
      <c r="C4433" t="s">
        <v>942</v>
      </c>
      <c r="D4433" t="s">
        <v>78</v>
      </c>
      <c r="E4433" t="s">
        <v>40</v>
      </c>
      <c r="F4433">
        <v>4</v>
      </c>
      <c r="G4433">
        <v>1999</v>
      </c>
      <c r="H4433">
        <v>0</v>
      </c>
      <c r="I4433" t="s">
        <v>44</v>
      </c>
      <c r="J4433" t="s">
        <v>36</v>
      </c>
      <c r="K4433" t="s">
        <v>37</v>
      </c>
      <c r="L4433">
        <f>F4432*G4432*(1-H4432)</f>
        <v>28796.400000000001</v>
      </c>
    </row>
    <row r="4434" spans="1:12">
      <c r="A4434" t="s">
        <v>5266</v>
      </c>
      <c r="B4434" s="1">
        <v>46039</v>
      </c>
      <c r="C4434" t="s">
        <v>2057</v>
      </c>
      <c r="D4434" t="s">
        <v>43</v>
      </c>
      <c r="E4434" t="s">
        <v>35</v>
      </c>
      <c r="F4434">
        <v>1</v>
      </c>
      <c r="G4434">
        <v>799</v>
      </c>
      <c r="H4434">
        <v>0.05</v>
      </c>
      <c r="I4434" t="s">
        <v>15</v>
      </c>
      <c r="J4434" t="s">
        <v>36</v>
      </c>
      <c r="K4434" t="s">
        <v>17</v>
      </c>
      <c r="L4434">
        <f>F4433*G4433*(1-H4433)</f>
        <v>7996</v>
      </c>
    </row>
    <row r="4435" spans="1:12">
      <c r="A4435" t="s">
        <v>5267</v>
      </c>
      <c r="B4435" s="1">
        <v>46203</v>
      </c>
      <c r="C4435" t="s">
        <v>494</v>
      </c>
      <c r="D4435" t="s">
        <v>56</v>
      </c>
      <c r="E4435" t="s">
        <v>14</v>
      </c>
      <c r="F4435">
        <v>2</v>
      </c>
      <c r="G4435">
        <v>2499</v>
      </c>
      <c r="H4435">
        <v>0</v>
      </c>
      <c r="I4435" t="s">
        <v>32</v>
      </c>
      <c r="J4435" t="s">
        <v>36</v>
      </c>
      <c r="K4435" t="s">
        <v>17</v>
      </c>
      <c r="L4435">
        <f>F4434*G4434*(1-H4434)</f>
        <v>759.05</v>
      </c>
    </row>
    <row r="4436" spans="1:12">
      <c r="A4436" t="s">
        <v>5268</v>
      </c>
      <c r="B4436" s="1">
        <v>46197</v>
      </c>
      <c r="C4436" t="s">
        <v>502</v>
      </c>
      <c r="D4436" t="s">
        <v>26</v>
      </c>
      <c r="E4436" t="s">
        <v>35</v>
      </c>
      <c r="F4436">
        <v>2</v>
      </c>
      <c r="G4436">
        <v>1499</v>
      </c>
      <c r="H4436">
        <v>0</v>
      </c>
      <c r="I4436" t="s">
        <v>32</v>
      </c>
      <c r="J4436" t="s">
        <v>36</v>
      </c>
      <c r="K4436" t="s">
        <v>17</v>
      </c>
      <c r="L4436">
        <f>F4435*G4435*(1-H4435)</f>
        <v>4998</v>
      </c>
    </row>
    <row r="4437" spans="1:12">
      <c r="A4437" t="s">
        <v>5269</v>
      </c>
      <c r="B4437" s="1">
        <v>46250</v>
      </c>
      <c r="C4437" t="s">
        <v>180</v>
      </c>
      <c r="D4437" t="s">
        <v>59</v>
      </c>
      <c r="E4437" t="s">
        <v>40</v>
      </c>
      <c r="F4437">
        <v>1</v>
      </c>
      <c r="G4437">
        <v>599</v>
      </c>
      <c r="H4437">
        <v>0.05</v>
      </c>
      <c r="I4437" t="s">
        <v>44</v>
      </c>
      <c r="J4437" t="s">
        <v>36</v>
      </c>
      <c r="K4437" t="s">
        <v>37</v>
      </c>
      <c r="L4437">
        <f>F4436*G4436*(1-H4436)</f>
        <v>2998</v>
      </c>
    </row>
    <row r="4438" spans="1:12">
      <c r="A4438" t="s">
        <v>5270</v>
      </c>
      <c r="B4438" s="1">
        <v>46221</v>
      </c>
      <c r="C4438" t="s">
        <v>717</v>
      </c>
      <c r="D4438" t="s">
        <v>43</v>
      </c>
      <c r="E4438" t="s">
        <v>27</v>
      </c>
      <c r="F4438">
        <v>1</v>
      </c>
      <c r="G4438">
        <v>1499</v>
      </c>
      <c r="H4438">
        <v>0</v>
      </c>
      <c r="I4438" t="s">
        <v>47</v>
      </c>
      <c r="J4438" t="s">
        <v>16</v>
      </c>
      <c r="K4438" t="s">
        <v>17</v>
      </c>
      <c r="L4438">
        <f>F4437*G4437*(1-H4437)</f>
        <v>569.04999999999995</v>
      </c>
    </row>
    <row r="4439" spans="1:12">
      <c r="A4439" t="s">
        <v>5271</v>
      </c>
      <c r="B4439" s="1">
        <v>46221</v>
      </c>
      <c r="C4439" t="s">
        <v>191</v>
      </c>
      <c r="D4439" t="s">
        <v>62</v>
      </c>
      <c r="E4439" t="s">
        <v>14</v>
      </c>
      <c r="F4439">
        <v>5</v>
      </c>
      <c r="G4439">
        <v>1499</v>
      </c>
      <c r="H4439">
        <v>0</v>
      </c>
      <c r="I4439" t="s">
        <v>47</v>
      </c>
      <c r="J4439" t="s">
        <v>22</v>
      </c>
      <c r="K4439" t="s">
        <v>23</v>
      </c>
      <c r="L4439">
        <f>F4438*G4438*(1-H4438)</f>
        <v>1499</v>
      </c>
    </row>
    <row r="4440" spans="1:12">
      <c r="A4440" t="s">
        <v>5272</v>
      </c>
      <c r="B4440" s="1">
        <v>46282</v>
      </c>
      <c r="C4440" t="s">
        <v>1572</v>
      </c>
      <c r="D4440" t="s">
        <v>71</v>
      </c>
      <c r="E4440" t="s">
        <v>40</v>
      </c>
      <c r="F4440">
        <v>4</v>
      </c>
      <c r="G4440">
        <v>799</v>
      </c>
      <c r="H4440">
        <v>0.1</v>
      </c>
      <c r="I4440" t="s">
        <v>47</v>
      </c>
      <c r="J4440" t="s">
        <v>51</v>
      </c>
      <c r="K4440" t="s">
        <v>17</v>
      </c>
      <c r="L4440">
        <f>F4439*G4439*(1-H4439)</f>
        <v>7495</v>
      </c>
    </row>
    <row r="4441" spans="1:12">
      <c r="A4441" t="s">
        <v>5273</v>
      </c>
      <c r="B4441" s="1">
        <v>46066</v>
      </c>
      <c r="C4441" t="s">
        <v>703</v>
      </c>
      <c r="D4441" t="s">
        <v>20</v>
      </c>
      <c r="E4441" t="s">
        <v>40</v>
      </c>
      <c r="F4441">
        <v>1</v>
      </c>
      <c r="G4441">
        <v>1299</v>
      </c>
      <c r="H4441">
        <v>0.1</v>
      </c>
      <c r="I4441" t="s">
        <v>15</v>
      </c>
      <c r="J4441" t="s">
        <v>22</v>
      </c>
      <c r="K4441" t="s">
        <v>17</v>
      </c>
      <c r="L4441">
        <f>F4440*G4440*(1-H4440)</f>
        <v>2876.4</v>
      </c>
    </row>
    <row r="4442" spans="1:12">
      <c r="A4442" t="s">
        <v>5274</v>
      </c>
      <c r="B4442" s="1">
        <v>46148</v>
      </c>
      <c r="C4442" t="s">
        <v>1136</v>
      </c>
      <c r="D4442" t="s">
        <v>56</v>
      </c>
      <c r="E4442" t="s">
        <v>14</v>
      </c>
      <c r="F4442">
        <v>1</v>
      </c>
      <c r="G4442">
        <v>799</v>
      </c>
      <c r="H4442">
        <v>0.05</v>
      </c>
      <c r="I4442" t="s">
        <v>50</v>
      </c>
      <c r="J4442" t="s">
        <v>51</v>
      </c>
      <c r="K4442" t="s">
        <v>17</v>
      </c>
      <c r="L4442">
        <f>F4441*G4441*(1-H4441)</f>
        <v>1169.1000000000001</v>
      </c>
    </row>
    <row r="4443" spans="1:12">
      <c r="A4443" t="s">
        <v>5275</v>
      </c>
      <c r="B4443" s="1">
        <v>46025</v>
      </c>
      <c r="C4443" t="s">
        <v>1163</v>
      </c>
      <c r="D4443" t="s">
        <v>31</v>
      </c>
      <c r="E4443" t="s">
        <v>35</v>
      </c>
      <c r="F4443">
        <v>2</v>
      </c>
      <c r="G4443">
        <v>799</v>
      </c>
      <c r="H4443">
        <v>0.1</v>
      </c>
      <c r="I4443" t="s">
        <v>15</v>
      </c>
      <c r="J4443" t="s">
        <v>16</v>
      </c>
      <c r="K4443" t="s">
        <v>17</v>
      </c>
      <c r="L4443">
        <f>F4442*G4442*(1-H4442)</f>
        <v>759.05</v>
      </c>
    </row>
    <row r="4444" spans="1:12">
      <c r="A4444" t="s">
        <v>5276</v>
      </c>
      <c r="B4444" s="1">
        <v>46193</v>
      </c>
      <c r="C4444" t="s">
        <v>2172</v>
      </c>
      <c r="D4444" t="s">
        <v>59</v>
      </c>
      <c r="E4444" t="s">
        <v>40</v>
      </c>
      <c r="F4444">
        <v>1</v>
      </c>
      <c r="G4444">
        <v>799</v>
      </c>
      <c r="H4444">
        <v>0.05</v>
      </c>
      <c r="I4444" t="s">
        <v>32</v>
      </c>
      <c r="J4444" t="s">
        <v>28</v>
      </c>
      <c r="K4444" t="s">
        <v>23</v>
      </c>
      <c r="L4444">
        <f>F4443*G4443*(1-H4443)</f>
        <v>1438.2</v>
      </c>
    </row>
    <row r="4445" spans="1:12">
      <c r="A4445" t="s">
        <v>5277</v>
      </c>
      <c r="B4445" s="1">
        <v>46280</v>
      </c>
      <c r="C4445" t="s">
        <v>780</v>
      </c>
      <c r="D4445" t="s">
        <v>62</v>
      </c>
      <c r="E4445" t="s">
        <v>35</v>
      </c>
      <c r="F4445">
        <v>5</v>
      </c>
      <c r="G4445">
        <v>7999</v>
      </c>
      <c r="H4445">
        <v>0.15</v>
      </c>
      <c r="I4445" t="s">
        <v>32</v>
      </c>
      <c r="J4445" t="s">
        <v>22</v>
      </c>
      <c r="K4445" t="s">
        <v>17</v>
      </c>
      <c r="L4445">
        <f>F4444*G4444*(1-H4444)</f>
        <v>759.05</v>
      </c>
    </row>
    <row r="4446" spans="1:12">
      <c r="A4446" t="s">
        <v>5278</v>
      </c>
      <c r="B4446" s="1">
        <v>46072</v>
      </c>
      <c r="C4446" t="s">
        <v>289</v>
      </c>
      <c r="D4446" t="s">
        <v>62</v>
      </c>
      <c r="E4446" t="s">
        <v>21</v>
      </c>
      <c r="F4446">
        <v>3</v>
      </c>
      <c r="G4446">
        <v>2499</v>
      </c>
      <c r="H4446">
        <v>0.05</v>
      </c>
      <c r="I4446" t="s">
        <v>50</v>
      </c>
      <c r="J4446" t="s">
        <v>36</v>
      </c>
      <c r="K4446" t="s">
        <v>17</v>
      </c>
      <c r="L4446">
        <f>F4445*G4445*(1-H4445)</f>
        <v>33995.75</v>
      </c>
    </row>
    <row r="4447" spans="1:12">
      <c r="A4447" t="s">
        <v>5279</v>
      </c>
      <c r="B4447" s="1">
        <v>46063</v>
      </c>
      <c r="C4447" t="s">
        <v>3622</v>
      </c>
      <c r="D4447" t="s">
        <v>78</v>
      </c>
      <c r="E4447" t="s">
        <v>14</v>
      </c>
      <c r="F4447">
        <v>4</v>
      </c>
      <c r="G4447">
        <v>4999</v>
      </c>
      <c r="H4447">
        <v>0.1</v>
      </c>
      <c r="I4447" t="s">
        <v>44</v>
      </c>
      <c r="J4447" t="s">
        <v>16</v>
      </c>
      <c r="K4447" t="s">
        <v>17</v>
      </c>
      <c r="L4447">
        <f>F4446*G4446*(1-H4446)</f>
        <v>7122.15</v>
      </c>
    </row>
    <row r="4448" spans="1:12">
      <c r="A4448" t="s">
        <v>5280</v>
      </c>
      <c r="B4448" s="1">
        <v>46036</v>
      </c>
      <c r="C4448" t="s">
        <v>2751</v>
      </c>
      <c r="D4448" t="s">
        <v>31</v>
      </c>
      <c r="E4448" t="s">
        <v>21</v>
      </c>
      <c r="F4448">
        <v>5</v>
      </c>
      <c r="G4448">
        <v>599</v>
      </c>
      <c r="H4448">
        <v>0.05</v>
      </c>
      <c r="I4448" t="s">
        <v>44</v>
      </c>
      <c r="J4448" t="s">
        <v>22</v>
      </c>
      <c r="K4448" t="s">
        <v>17</v>
      </c>
      <c r="L4448">
        <f>F4447*G4447*(1-H4447)</f>
        <v>17996.400000000001</v>
      </c>
    </row>
    <row r="4449" spans="1:12">
      <c r="A4449" t="s">
        <v>5281</v>
      </c>
      <c r="B4449" s="1">
        <v>46292</v>
      </c>
      <c r="C4449" t="s">
        <v>1831</v>
      </c>
      <c r="D4449" t="s">
        <v>59</v>
      </c>
      <c r="E4449" t="s">
        <v>35</v>
      </c>
      <c r="F4449">
        <v>3</v>
      </c>
      <c r="G4449">
        <v>4999</v>
      </c>
      <c r="H4449">
        <v>0</v>
      </c>
      <c r="I4449" t="s">
        <v>47</v>
      </c>
      <c r="J4449" t="s">
        <v>36</v>
      </c>
      <c r="K4449" t="s">
        <v>37</v>
      </c>
      <c r="L4449">
        <f>F4448*G4448*(1-H4448)</f>
        <v>2845.25</v>
      </c>
    </row>
    <row r="4450" spans="1:12">
      <c r="A4450" t="s">
        <v>5282</v>
      </c>
      <c r="B4450" s="1">
        <v>46042</v>
      </c>
      <c r="C4450" t="s">
        <v>432</v>
      </c>
      <c r="D4450" t="s">
        <v>20</v>
      </c>
      <c r="E4450" t="s">
        <v>40</v>
      </c>
      <c r="F4450">
        <v>2</v>
      </c>
      <c r="G4450">
        <v>999</v>
      </c>
      <c r="H4450">
        <v>0</v>
      </c>
      <c r="I4450" t="s">
        <v>32</v>
      </c>
      <c r="J4450" t="s">
        <v>16</v>
      </c>
      <c r="K4450" t="s">
        <v>23</v>
      </c>
      <c r="L4450">
        <f>F4449*G4449*(1-H4449)</f>
        <v>14997</v>
      </c>
    </row>
    <row r="4451" spans="1:12">
      <c r="A4451" t="s">
        <v>5283</v>
      </c>
      <c r="B4451" s="1">
        <v>46035</v>
      </c>
      <c r="C4451" t="s">
        <v>138</v>
      </c>
      <c r="D4451" t="s">
        <v>62</v>
      </c>
      <c r="E4451" t="s">
        <v>21</v>
      </c>
      <c r="F4451">
        <v>5</v>
      </c>
      <c r="G4451">
        <v>599</v>
      </c>
      <c r="H4451">
        <v>0</v>
      </c>
      <c r="I4451" t="s">
        <v>50</v>
      </c>
      <c r="J4451" t="s">
        <v>36</v>
      </c>
      <c r="K4451" t="s">
        <v>17</v>
      </c>
      <c r="L4451">
        <f>F4450*G4450*(1-H4450)</f>
        <v>1998</v>
      </c>
    </row>
    <row r="4452" spans="1:12">
      <c r="A4452" t="s">
        <v>5284</v>
      </c>
      <c r="B4452" s="1">
        <v>46071</v>
      </c>
      <c r="C4452" t="s">
        <v>832</v>
      </c>
      <c r="D4452" t="s">
        <v>78</v>
      </c>
      <c r="E4452" t="s">
        <v>14</v>
      </c>
      <c r="F4452">
        <v>3</v>
      </c>
      <c r="G4452">
        <v>599</v>
      </c>
      <c r="H4452">
        <v>0.1</v>
      </c>
      <c r="I4452" t="s">
        <v>44</v>
      </c>
      <c r="J4452" t="s">
        <v>36</v>
      </c>
      <c r="K4452" t="s">
        <v>23</v>
      </c>
      <c r="L4452">
        <f>F4451*G4451*(1-H4451)</f>
        <v>2995</v>
      </c>
    </row>
    <row r="4453" spans="1:12">
      <c r="A4453" t="s">
        <v>5285</v>
      </c>
      <c r="B4453" s="1">
        <v>46084</v>
      </c>
      <c r="C4453" t="s">
        <v>1020</v>
      </c>
      <c r="D4453" t="s">
        <v>26</v>
      </c>
      <c r="E4453" t="s">
        <v>27</v>
      </c>
      <c r="F4453">
        <v>5</v>
      </c>
      <c r="G4453">
        <v>2499</v>
      </c>
      <c r="H4453">
        <v>0.15</v>
      </c>
      <c r="I4453" t="s">
        <v>32</v>
      </c>
      <c r="J4453" t="s">
        <v>36</v>
      </c>
      <c r="K4453" t="s">
        <v>17</v>
      </c>
      <c r="L4453">
        <f>F4452*G4452*(1-H4452)</f>
        <v>1617.3</v>
      </c>
    </row>
    <row r="4454" spans="1:12">
      <c r="A4454" t="s">
        <v>5286</v>
      </c>
      <c r="B4454" s="1">
        <v>46212</v>
      </c>
      <c r="C4454" t="s">
        <v>1454</v>
      </c>
      <c r="D4454" t="s">
        <v>43</v>
      </c>
      <c r="E4454" t="s">
        <v>40</v>
      </c>
      <c r="F4454">
        <v>5</v>
      </c>
      <c r="G4454">
        <v>2499</v>
      </c>
      <c r="H4454">
        <v>0</v>
      </c>
      <c r="I4454" t="s">
        <v>44</v>
      </c>
      <c r="J4454" t="s">
        <v>22</v>
      </c>
      <c r="K4454" t="s">
        <v>23</v>
      </c>
      <c r="L4454">
        <f>F4453*G4453*(1-H4453)</f>
        <v>10620.75</v>
      </c>
    </row>
    <row r="4455" spans="1:12">
      <c r="A4455" t="s">
        <v>5287</v>
      </c>
      <c r="B4455" s="1">
        <v>46160</v>
      </c>
      <c r="C4455" t="s">
        <v>138</v>
      </c>
      <c r="D4455" t="s">
        <v>13</v>
      </c>
      <c r="E4455" t="s">
        <v>14</v>
      </c>
      <c r="F4455">
        <v>3</v>
      </c>
      <c r="G4455">
        <v>499</v>
      </c>
      <c r="H4455">
        <v>0.15</v>
      </c>
      <c r="I4455" t="s">
        <v>50</v>
      </c>
      <c r="J4455" t="s">
        <v>28</v>
      </c>
      <c r="K4455" t="s">
        <v>17</v>
      </c>
      <c r="L4455">
        <f>F4454*G4454*(1-H4454)</f>
        <v>12495</v>
      </c>
    </row>
    <row r="4456" spans="1:12">
      <c r="A4456" t="s">
        <v>5288</v>
      </c>
      <c r="B4456" s="1">
        <v>46190</v>
      </c>
      <c r="C4456" t="s">
        <v>1406</v>
      </c>
      <c r="D4456" t="s">
        <v>13</v>
      </c>
      <c r="E4456" t="s">
        <v>40</v>
      </c>
      <c r="F4456">
        <v>4</v>
      </c>
      <c r="G4456">
        <v>4999</v>
      </c>
      <c r="H4456">
        <v>0.1</v>
      </c>
      <c r="I4456" t="s">
        <v>47</v>
      </c>
      <c r="J4456" t="s">
        <v>28</v>
      </c>
      <c r="K4456" t="s">
        <v>17</v>
      </c>
      <c r="L4456">
        <f>F4455*G4455*(1-H4455)</f>
        <v>1272.45</v>
      </c>
    </row>
    <row r="4457" spans="1:12">
      <c r="A4457" t="s">
        <v>5289</v>
      </c>
      <c r="B4457" s="1">
        <v>46132</v>
      </c>
      <c r="C4457" t="s">
        <v>2272</v>
      </c>
      <c r="D4457" t="s">
        <v>71</v>
      </c>
      <c r="E4457" t="s">
        <v>21</v>
      </c>
      <c r="F4457">
        <v>3</v>
      </c>
      <c r="G4457">
        <v>599</v>
      </c>
      <c r="H4457">
        <v>0.15</v>
      </c>
      <c r="I4457" t="s">
        <v>44</v>
      </c>
      <c r="J4457" t="s">
        <v>28</v>
      </c>
      <c r="K4457" t="s">
        <v>17</v>
      </c>
      <c r="L4457">
        <f>F4456*G4456*(1-H4456)</f>
        <v>17996.400000000001</v>
      </c>
    </row>
    <row r="4458" spans="1:12">
      <c r="A4458" t="s">
        <v>5290</v>
      </c>
      <c r="B4458" s="1">
        <v>46039</v>
      </c>
      <c r="C4458" t="s">
        <v>154</v>
      </c>
      <c r="D4458" t="s">
        <v>71</v>
      </c>
      <c r="E4458" t="s">
        <v>35</v>
      </c>
      <c r="F4458">
        <v>5</v>
      </c>
      <c r="G4458">
        <v>1499</v>
      </c>
      <c r="H4458">
        <v>0.1</v>
      </c>
      <c r="I4458" t="s">
        <v>50</v>
      </c>
      <c r="J4458" t="s">
        <v>28</v>
      </c>
      <c r="K4458" t="s">
        <v>23</v>
      </c>
      <c r="L4458">
        <f>F4457*G4457*(1-H4457)</f>
        <v>1527.45</v>
      </c>
    </row>
    <row r="4459" spans="1:12">
      <c r="A4459" t="s">
        <v>5291</v>
      </c>
      <c r="B4459" s="1">
        <v>46213</v>
      </c>
      <c r="C4459" t="s">
        <v>1171</v>
      </c>
      <c r="D4459" t="s">
        <v>71</v>
      </c>
      <c r="E4459" t="s">
        <v>14</v>
      </c>
      <c r="F4459">
        <v>2</v>
      </c>
      <c r="G4459">
        <v>799</v>
      </c>
      <c r="H4459">
        <v>0.05</v>
      </c>
      <c r="I4459" t="s">
        <v>32</v>
      </c>
      <c r="J4459" t="s">
        <v>16</v>
      </c>
      <c r="K4459" t="s">
        <v>23</v>
      </c>
      <c r="L4459">
        <f>F4458*G4458*(1-H4458)</f>
        <v>6745.5</v>
      </c>
    </row>
    <row r="4460" spans="1:12">
      <c r="A4460" t="s">
        <v>5292</v>
      </c>
      <c r="B4460" s="1">
        <v>46197</v>
      </c>
      <c r="C4460" t="s">
        <v>2000</v>
      </c>
      <c r="D4460" t="s">
        <v>78</v>
      </c>
      <c r="E4460" t="s">
        <v>14</v>
      </c>
      <c r="F4460">
        <v>1</v>
      </c>
      <c r="G4460">
        <v>7999</v>
      </c>
      <c r="H4460">
        <v>0</v>
      </c>
      <c r="I4460" t="s">
        <v>47</v>
      </c>
      <c r="J4460" t="s">
        <v>36</v>
      </c>
      <c r="K4460" t="s">
        <v>37</v>
      </c>
      <c r="L4460">
        <f>F4459*G4459*(1-H4459)</f>
        <v>1518.1</v>
      </c>
    </row>
    <row r="4461" spans="1:12">
      <c r="A4461" t="s">
        <v>5293</v>
      </c>
      <c r="B4461" s="1">
        <v>46062</v>
      </c>
      <c r="C4461" t="s">
        <v>829</v>
      </c>
      <c r="D4461" t="s">
        <v>43</v>
      </c>
      <c r="E4461" t="s">
        <v>40</v>
      </c>
      <c r="F4461">
        <v>2</v>
      </c>
      <c r="G4461">
        <v>1499</v>
      </c>
      <c r="H4461">
        <v>0.05</v>
      </c>
      <c r="I4461" t="s">
        <v>44</v>
      </c>
      <c r="J4461" t="s">
        <v>36</v>
      </c>
      <c r="K4461" t="s">
        <v>37</v>
      </c>
      <c r="L4461">
        <f>F4460*G4460*(1-H4460)</f>
        <v>7999</v>
      </c>
    </row>
    <row r="4462" spans="1:12">
      <c r="A4462" t="s">
        <v>5294</v>
      </c>
      <c r="B4462" s="1">
        <v>46158</v>
      </c>
      <c r="C4462" t="s">
        <v>2724</v>
      </c>
      <c r="D4462" t="s">
        <v>20</v>
      </c>
      <c r="E4462" t="s">
        <v>35</v>
      </c>
      <c r="F4462">
        <v>5</v>
      </c>
      <c r="G4462">
        <v>2499</v>
      </c>
      <c r="H4462">
        <v>0</v>
      </c>
      <c r="I4462" t="s">
        <v>15</v>
      </c>
      <c r="J4462" t="s">
        <v>22</v>
      </c>
      <c r="K4462" t="s">
        <v>17</v>
      </c>
      <c r="L4462">
        <f>F4461*G4461*(1-H4461)</f>
        <v>2848.1</v>
      </c>
    </row>
    <row r="4463" spans="1:12">
      <c r="A4463" t="s">
        <v>5295</v>
      </c>
      <c r="B4463" s="1">
        <v>46178</v>
      </c>
      <c r="C4463" t="s">
        <v>1006</v>
      </c>
      <c r="D4463" t="s">
        <v>78</v>
      </c>
      <c r="E4463" t="s">
        <v>27</v>
      </c>
      <c r="F4463">
        <v>5</v>
      </c>
      <c r="G4463">
        <v>1499</v>
      </c>
      <c r="H4463">
        <v>0.1</v>
      </c>
      <c r="I4463" t="s">
        <v>32</v>
      </c>
      <c r="J4463" t="s">
        <v>16</v>
      </c>
      <c r="K4463" t="s">
        <v>17</v>
      </c>
      <c r="L4463">
        <f>F4462*G4462*(1-H4462)</f>
        <v>12495</v>
      </c>
    </row>
    <row r="4464" spans="1:12">
      <c r="A4464" t="s">
        <v>5296</v>
      </c>
      <c r="B4464" s="1">
        <v>46193</v>
      </c>
      <c r="C4464" t="s">
        <v>1777</v>
      </c>
      <c r="D4464" t="s">
        <v>62</v>
      </c>
      <c r="E4464" t="s">
        <v>40</v>
      </c>
      <c r="F4464">
        <v>5</v>
      </c>
      <c r="G4464">
        <v>2499</v>
      </c>
      <c r="H4464">
        <v>0.1</v>
      </c>
      <c r="I4464" t="s">
        <v>32</v>
      </c>
      <c r="J4464" t="s">
        <v>51</v>
      </c>
      <c r="K4464" t="s">
        <v>17</v>
      </c>
      <c r="L4464">
        <f>F4463*G4463*(1-H4463)</f>
        <v>6745.5</v>
      </c>
    </row>
    <row r="4465" spans="1:12">
      <c r="A4465" t="s">
        <v>5297</v>
      </c>
      <c r="B4465" s="1">
        <v>46055</v>
      </c>
      <c r="C4465" t="s">
        <v>521</v>
      </c>
      <c r="D4465" t="s">
        <v>26</v>
      </c>
      <c r="E4465" t="s">
        <v>14</v>
      </c>
      <c r="F4465">
        <v>3</v>
      </c>
      <c r="G4465">
        <v>1999</v>
      </c>
      <c r="H4465">
        <v>0</v>
      </c>
      <c r="I4465" t="s">
        <v>15</v>
      </c>
      <c r="J4465" t="s">
        <v>22</v>
      </c>
      <c r="K4465" t="s">
        <v>23</v>
      </c>
      <c r="L4465">
        <f>F4464*G4464*(1-H4464)</f>
        <v>11245.5</v>
      </c>
    </row>
    <row r="4466" spans="1:12">
      <c r="A4466" t="s">
        <v>5298</v>
      </c>
      <c r="B4466" s="1">
        <v>46242</v>
      </c>
      <c r="C4466" t="s">
        <v>1462</v>
      </c>
      <c r="D4466" t="s">
        <v>59</v>
      </c>
      <c r="E4466" t="s">
        <v>14</v>
      </c>
      <c r="F4466">
        <v>4</v>
      </c>
      <c r="G4466">
        <v>599</v>
      </c>
      <c r="H4466">
        <v>0.15</v>
      </c>
      <c r="I4466" t="s">
        <v>47</v>
      </c>
      <c r="J4466" t="s">
        <v>28</v>
      </c>
      <c r="K4466" t="s">
        <v>23</v>
      </c>
      <c r="L4466">
        <f>F4465*G4465*(1-H4465)</f>
        <v>5997</v>
      </c>
    </row>
    <row r="4467" spans="1:12">
      <c r="A4467" t="s">
        <v>5299</v>
      </c>
      <c r="B4467" s="1">
        <v>46255</v>
      </c>
      <c r="C4467" t="s">
        <v>489</v>
      </c>
      <c r="D4467" t="s">
        <v>43</v>
      </c>
      <c r="E4467" t="s">
        <v>21</v>
      </c>
      <c r="F4467">
        <v>4</v>
      </c>
      <c r="G4467">
        <v>999</v>
      </c>
      <c r="H4467">
        <v>0</v>
      </c>
      <c r="I4467" t="s">
        <v>32</v>
      </c>
      <c r="J4467" t="s">
        <v>16</v>
      </c>
      <c r="K4467" t="s">
        <v>37</v>
      </c>
      <c r="L4467">
        <f>F4466*G4466*(1-H4466)</f>
        <v>2036.6</v>
      </c>
    </row>
    <row r="4468" spans="1:12">
      <c r="A4468" t="s">
        <v>5300</v>
      </c>
      <c r="B4468" s="1">
        <v>46242</v>
      </c>
      <c r="C4468" t="s">
        <v>789</v>
      </c>
      <c r="D4468" t="s">
        <v>71</v>
      </c>
      <c r="E4468" t="s">
        <v>27</v>
      </c>
      <c r="F4468">
        <v>1</v>
      </c>
      <c r="G4468">
        <v>1999</v>
      </c>
      <c r="H4468">
        <v>0</v>
      </c>
      <c r="I4468" t="s">
        <v>50</v>
      </c>
      <c r="J4468" t="s">
        <v>51</v>
      </c>
      <c r="K4468" t="s">
        <v>37</v>
      </c>
      <c r="L4468">
        <f>F4467*G4467*(1-H4467)</f>
        <v>3996</v>
      </c>
    </row>
    <row r="4469" spans="1:12">
      <c r="A4469" t="s">
        <v>5301</v>
      </c>
      <c r="B4469" s="1">
        <v>46157</v>
      </c>
      <c r="C4469" t="s">
        <v>1627</v>
      </c>
      <c r="D4469" t="s">
        <v>13</v>
      </c>
      <c r="E4469" t="s">
        <v>35</v>
      </c>
      <c r="F4469">
        <v>1</v>
      </c>
      <c r="G4469">
        <v>7999</v>
      </c>
      <c r="H4469">
        <v>0.05</v>
      </c>
      <c r="I4469" t="s">
        <v>47</v>
      </c>
      <c r="J4469" t="s">
        <v>28</v>
      </c>
      <c r="K4469" t="s">
        <v>17</v>
      </c>
      <c r="L4469">
        <f>F4468*G4468*(1-H4468)</f>
        <v>1999</v>
      </c>
    </row>
    <row r="4470" spans="1:12">
      <c r="A4470" t="s">
        <v>5302</v>
      </c>
      <c r="B4470" s="1">
        <v>46214</v>
      </c>
      <c r="C4470" t="s">
        <v>1590</v>
      </c>
      <c r="D4470" t="s">
        <v>20</v>
      </c>
      <c r="E4470" t="s">
        <v>21</v>
      </c>
      <c r="F4470">
        <v>3</v>
      </c>
      <c r="G4470">
        <v>799</v>
      </c>
      <c r="H4470">
        <v>0.05</v>
      </c>
      <c r="I4470" t="s">
        <v>50</v>
      </c>
      <c r="J4470" t="s">
        <v>22</v>
      </c>
      <c r="K4470" t="s">
        <v>17</v>
      </c>
      <c r="L4470">
        <f>F4469*G4469*(1-H4469)</f>
        <v>7599.0499999999993</v>
      </c>
    </row>
    <row r="4471" spans="1:12">
      <c r="A4471" t="s">
        <v>5303</v>
      </c>
      <c r="B4471" s="1">
        <v>46136</v>
      </c>
      <c r="C4471" t="s">
        <v>464</v>
      </c>
      <c r="D4471" t="s">
        <v>59</v>
      </c>
      <c r="E4471" t="s">
        <v>21</v>
      </c>
      <c r="F4471">
        <v>2</v>
      </c>
      <c r="G4471">
        <v>7999</v>
      </c>
      <c r="H4471">
        <v>0.15</v>
      </c>
      <c r="I4471" t="s">
        <v>32</v>
      </c>
      <c r="J4471" t="s">
        <v>51</v>
      </c>
      <c r="K4471" t="s">
        <v>17</v>
      </c>
      <c r="L4471">
        <f>F4470*G4470*(1-H4470)</f>
        <v>2277.15</v>
      </c>
    </row>
    <row r="4472" spans="1:12">
      <c r="A4472" t="s">
        <v>5304</v>
      </c>
      <c r="B4472" s="1">
        <v>46195</v>
      </c>
      <c r="C4472" t="s">
        <v>1071</v>
      </c>
      <c r="D4472" t="s">
        <v>71</v>
      </c>
      <c r="E4472" t="s">
        <v>40</v>
      </c>
      <c r="F4472">
        <v>4</v>
      </c>
      <c r="G4472">
        <v>1999</v>
      </c>
      <c r="H4472">
        <v>0</v>
      </c>
      <c r="I4472" t="s">
        <v>32</v>
      </c>
      <c r="J4472" t="s">
        <v>22</v>
      </c>
      <c r="K4472" t="s">
        <v>17</v>
      </c>
      <c r="L4472">
        <f>F4471*G4471*(1-H4471)</f>
        <v>13598.3</v>
      </c>
    </row>
    <row r="4473" spans="1:12">
      <c r="A4473" t="s">
        <v>5305</v>
      </c>
      <c r="B4473" s="1">
        <v>46210</v>
      </c>
      <c r="C4473" t="s">
        <v>357</v>
      </c>
      <c r="D4473" t="s">
        <v>62</v>
      </c>
      <c r="E4473" t="s">
        <v>35</v>
      </c>
      <c r="F4473">
        <v>5</v>
      </c>
      <c r="G4473">
        <v>1499</v>
      </c>
      <c r="H4473">
        <v>0</v>
      </c>
      <c r="I4473" t="s">
        <v>32</v>
      </c>
      <c r="J4473" t="s">
        <v>28</v>
      </c>
      <c r="K4473" t="s">
        <v>17</v>
      </c>
      <c r="L4473">
        <f>F4472*G4472*(1-H4472)</f>
        <v>7996</v>
      </c>
    </row>
    <row r="4474" spans="1:12">
      <c r="A4474" t="s">
        <v>5306</v>
      </c>
      <c r="B4474" s="1">
        <v>46241</v>
      </c>
      <c r="C4474" t="s">
        <v>597</v>
      </c>
      <c r="D4474" t="s">
        <v>59</v>
      </c>
      <c r="E4474" t="s">
        <v>14</v>
      </c>
      <c r="F4474">
        <v>1</v>
      </c>
      <c r="G4474">
        <v>599</v>
      </c>
      <c r="H4474">
        <v>0.05</v>
      </c>
      <c r="I4474" t="s">
        <v>47</v>
      </c>
      <c r="J4474" t="s">
        <v>22</v>
      </c>
      <c r="K4474" t="s">
        <v>17</v>
      </c>
      <c r="L4474">
        <f>F4473*G4473*(1-H4473)</f>
        <v>7495</v>
      </c>
    </row>
    <row r="4475" spans="1:12">
      <c r="A4475" t="s">
        <v>5307</v>
      </c>
      <c r="B4475" s="1">
        <v>46064</v>
      </c>
      <c r="C4475" t="s">
        <v>389</v>
      </c>
      <c r="D4475" t="s">
        <v>56</v>
      </c>
      <c r="E4475" t="s">
        <v>14</v>
      </c>
      <c r="F4475">
        <v>1</v>
      </c>
      <c r="G4475">
        <v>1999</v>
      </c>
      <c r="H4475">
        <v>0.1</v>
      </c>
      <c r="I4475" t="s">
        <v>47</v>
      </c>
      <c r="J4475" t="s">
        <v>36</v>
      </c>
      <c r="K4475" t="s">
        <v>23</v>
      </c>
      <c r="L4475">
        <f>F4474*G4474*(1-H4474)</f>
        <v>569.04999999999995</v>
      </c>
    </row>
    <row r="4476" spans="1:12">
      <c r="A4476" t="s">
        <v>5308</v>
      </c>
      <c r="B4476" s="1">
        <v>46191</v>
      </c>
      <c r="C4476" t="s">
        <v>2270</v>
      </c>
      <c r="D4476" t="s">
        <v>56</v>
      </c>
      <c r="E4476" t="s">
        <v>27</v>
      </c>
      <c r="F4476">
        <v>1</v>
      </c>
      <c r="G4476">
        <v>7999</v>
      </c>
      <c r="H4476">
        <v>0.1</v>
      </c>
      <c r="I4476" t="s">
        <v>50</v>
      </c>
      <c r="J4476" t="s">
        <v>16</v>
      </c>
      <c r="K4476" t="s">
        <v>17</v>
      </c>
      <c r="L4476">
        <f>F4475*G4475*(1-H4475)</f>
        <v>1799.1000000000001</v>
      </c>
    </row>
    <row r="4477" spans="1:12">
      <c r="A4477" t="s">
        <v>5309</v>
      </c>
      <c r="B4477" s="1">
        <v>46211</v>
      </c>
      <c r="C4477" t="s">
        <v>2111</v>
      </c>
      <c r="D4477" t="s">
        <v>31</v>
      </c>
      <c r="E4477" t="s">
        <v>27</v>
      </c>
      <c r="F4477">
        <v>5</v>
      </c>
      <c r="G4477">
        <v>999</v>
      </c>
      <c r="H4477">
        <v>0.05</v>
      </c>
      <c r="I4477" t="s">
        <v>47</v>
      </c>
      <c r="J4477" t="s">
        <v>51</v>
      </c>
      <c r="K4477" t="s">
        <v>17</v>
      </c>
      <c r="L4477">
        <f>F4476*G4476*(1-H4476)</f>
        <v>7199.1</v>
      </c>
    </row>
    <row r="4478" spans="1:12">
      <c r="A4478" t="s">
        <v>5310</v>
      </c>
      <c r="B4478" s="1">
        <v>46229</v>
      </c>
      <c r="C4478" t="s">
        <v>1050</v>
      </c>
      <c r="D4478" t="s">
        <v>43</v>
      </c>
      <c r="E4478" t="s">
        <v>27</v>
      </c>
      <c r="F4478">
        <v>2</v>
      </c>
      <c r="G4478">
        <v>1299</v>
      </c>
      <c r="H4478">
        <v>0.15</v>
      </c>
      <c r="I4478" t="s">
        <v>15</v>
      </c>
      <c r="J4478" t="s">
        <v>28</v>
      </c>
      <c r="K4478" t="s">
        <v>17</v>
      </c>
      <c r="L4478">
        <f>F4477*G4477*(1-H4477)</f>
        <v>4745.25</v>
      </c>
    </row>
    <row r="4479" spans="1:12">
      <c r="A4479" t="s">
        <v>5311</v>
      </c>
      <c r="B4479" s="1">
        <v>46061</v>
      </c>
      <c r="C4479" t="s">
        <v>969</v>
      </c>
      <c r="D4479" t="s">
        <v>62</v>
      </c>
      <c r="E4479" t="s">
        <v>35</v>
      </c>
      <c r="F4479">
        <v>2</v>
      </c>
      <c r="G4479">
        <v>1299</v>
      </c>
      <c r="H4479">
        <v>0.05</v>
      </c>
      <c r="I4479" t="s">
        <v>15</v>
      </c>
      <c r="J4479" t="s">
        <v>51</v>
      </c>
      <c r="K4479" t="s">
        <v>17</v>
      </c>
      <c r="L4479">
        <f>F4478*G4478*(1-H4478)</f>
        <v>2208.2999999999997</v>
      </c>
    </row>
    <row r="4480" spans="1:12">
      <c r="A4480" t="s">
        <v>5312</v>
      </c>
      <c r="B4480" s="1">
        <v>46264</v>
      </c>
      <c r="C4480" t="s">
        <v>1068</v>
      </c>
      <c r="D4480" t="s">
        <v>62</v>
      </c>
      <c r="E4480" t="s">
        <v>40</v>
      </c>
      <c r="F4480">
        <v>1</v>
      </c>
      <c r="G4480">
        <v>799</v>
      </c>
      <c r="H4480">
        <v>0</v>
      </c>
      <c r="I4480" t="s">
        <v>47</v>
      </c>
      <c r="J4480" t="s">
        <v>16</v>
      </c>
      <c r="K4480" t="s">
        <v>17</v>
      </c>
      <c r="L4480">
        <f>F4479*G4479*(1-H4479)</f>
        <v>2468.1</v>
      </c>
    </row>
    <row r="4481" spans="1:12">
      <c r="A4481" t="s">
        <v>5313</v>
      </c>
      <c r="B4481" s="1">
        <v>46057</v>
      </c>
      <c r="C4481" t="s">
        <v>2036</v>
      </c>
      <c r="D4481" t="s">
        <v>26</v>
      </c>
      <c r="E4481" t="s">
        <v>35</v>
      </c>
      <c r="F4481">
        <v>2</v>
      </c>
      <c r="G4481">
        <v>499</v>
      </c>
      <c r="H4481">
        <v>0</v>
      </c>
      <c r="I4481" t="s">
        <v>32</v>
      </c>
      <c r="J4481" t="s">
        <v>36</v>
      </c>
      <c r="K4481" t="s">
        <v>17</v>
      </c>
      <c r="L4481">
        <f>F4480*G4480*(1-H4480)</f>
        <v>799</v>
      </c>
    </row>
    <row r="4482" spans="1:12">
      <c r="A4482" t="s">
        <v>5314</v>
      </c>
      <c r="B4482" s="1">
        <v>46212</v>
      </c>
      <c r="C4482" t="s">
        <v>312</v>
      </c>
      <c r="D4482" t="s">
        <v>71</v>
      </c>
      <c r="E4482" t="s">
        <v>35</v>
      </c>
      <c r="F4482">
        <v>1</v>
      </c>
      <c r="G4482">
        <v>599</v>
      </c>
      <c r="H4482">
        <v>0.15</v>
      </c>
      <c r="I4482" t="s">
        <v>32</v>
      </c>
      <c r="J4482" t="s">
        <v>51</v>
      </c>
      <c r="K4482" t="s">
        <v>23</v>
      </c>
      <c r="L4482">
        <f>F4481*G4481*(1-H4481)</f>
        <v>998</v>
      </c>
    </row>
    <row r="4483" spans="1:12">
      <c r="A4483" t="s">
        <v>5315</v>
      </c>
      <c r="B4483" s="1">
        <v>46202</v>
      </c>
      <c r="C4483" t="s">
        <v>209</v>
      </c>
      <c r="D4483" t="s">
        <v>78</v>
      </c>
      <c r="E4483" t="s">
        <v>40</v>
      </c>
      <c r="F4483">
        <v>3</v>
      </c>
      <c r="G4483">
        <v>1499</v>
      </c>
      <c r="H4483">
        <v>0</v>
      </c>
      <c r="I4483" t="s">
        <v>47</v>
      </c>
      <c r="J4483" t="s">
        <v>28</v>
      </c>
      <c r="K4483" t="s">
        <v>17</v>
      </c>
      <c r="L4483">
        <f>F4482*G4482*(1-H4482)</f>
        <v>509.15</v>
      </c>
    </row>
    <row r="4484" spans="1:12">
      <c r="A4484" t="s">
        <v>5316</v>
      </c>
      <c r="B4484" s="1">
        <v>46066</v>
      </c>
      <c r="C4484" t="s">
        <v>58</v>
      </c>
      <c r="D4484" t="s">
        <v>43</v>
      </c>
      <c r="E4484" t="s">
        <v>27</v>
      </c>
      <c r="F4484">
        <v>4</v>
      </c>
      <c r="G4484">
        <v>799</v>
      </c>
      <c r="H4484">
        <v>0</v>
      </c>
      <c r="I4484" t="s">
        <v>15</v>
      </c>
      <c r="J4484" t="s">
        <v>22</v>
      </c>
      <c r="K4484" t="s">
        <v>17</v>
      </c>
      <c r="L4484">
        <f>F4483*G4483*(1-H4483)</f>
        <v>4497</v>
      </c>
    </row>
    <row r="4485" spans="1:12">
      <c r="A4485" t="s">
        <v>5317</v>
      </c>
      <c r="B4485" s="1">
        <v>46165</v>
      </c>
      <c r="C4485" t="s">
        <v>1125</v>
      </c>
      <c r="D4485" t="s">
        <v>62</v>
      </c>
      <c r="E4485" t="s">
        <v>21</v>
      </c>
      <c r="F4485">
        <v>2</v>
      </c>
      <c r="G4485">
        <v>499</v>
      </c>
      <c r="H4485">
        <v>0.05</v>
      </c>
      <c r="I4485" t="s">
        <v>32</v>
      </c>
      <c r="J4485" t="s">
        <v>16</v>
      </c>
      <c r="K4485" t="s">
        <v>17</v>
      </c>
      <c r="L4485">
        <f>F4484*G4484*(1-H4484)</f>
        <v>3196</v>
      </c>
    </row>
    <row r="4486" spans="1:12">
      <c r="A4486" t="s">
        <v>5318</v>
      </c>
      <c r="B4486" s="1">
        <v>46027</v>
      </c>
      <c r="C4486" t="s">
        <v>857</v>
      </c>
      <c r="D4486" t="s">
        <v>43</v>
      </c>
      <c r="E4486" t="s">
        <v>27</v>
      </c>
      <c r="F4486">
        <v>4</v>
      </c>
      <c r="G4486">
        <v>7999</v>
      </c>
      <c r="H4486">
        <v>0</v>
      </c>
      <c r="I4486" t="s">
        <v>32</v>
      </c>
      <c r="J4486" t="s">
        <v>51</v>
      </c>
      <c r="K4486" t="s">
        <v>37</v>
      </c>
      <c r="L4486">
        <f>F4485*G4485*(1-H4485)</f>
        <v>948.09999999999991</v>
      </c>
    </row>
    <row r="4487" spans="1:12">
      <c r="A4487" t="s">
        <v>5319</v>
      </c>
      <c r="B4487" s="1">
        <v>46093</v>
      </c>
      <c r="C4487" t="s">
        <v>378</v>
      </c>
      <c r="D4487" t="s">
        <v>59</v>
      </c>
      <c r="E4487" t="s">
        <v>21</v>
      </c>
      <c r="F4487">
        <v>2</v>
      </c>
      <c r="G4487">
        <v>499</v>
      </c>
      <c r="H4487">
        <v>0.05</v>
      </c>
      <c r="I4487" t="s">
        <v>15</v>
      </c>
      <c r="J4487" t="s">
        <v>36</v>
      </c>
      <c r="K4487" t="s">
        <v>17</v>
      </c>
      <c r="L4487">
        <f>F4486*G4486*(1-H4486)</f>
        <v>31996</v>
      </c>
    </row>
    <row r="4488" spans="1:12">
      <c r="A4488" t="s">
        <v>5320</v>
      </c>
      <c r="B4488" s="1">
        <v>46201</v>
      </c>
      <c r="C4488" t="s">
        <v>1121</v>
      </c>
      <c r="D4488" t="s">
        <v>26</v>
      </c>
      <c r="E4488" t="s">
        <v>21</v>
      </c>
      <c r="F4488">
        <v>4</v>
      </c>
      <c r="G4488">
        <v>7999</v>
      </c>
      <c r="H4488">
        <v>0</v>
      </c>
      <c r="I4488" t="s">
        <v>47</v>
      </c>
      <c r="J4488" t="s">
        <v>28</v>
      </c>
      <c r="K4488" t="s">
        <v>23</v>
      </c>
      <c r="L4488">
        <f>F4487*G4487*(1-H4487)</f>
        <v>948.09999999999991</v>
      </c>
    </row>
    <row r="4489" spans="1:12">
      <c r="A4489" t="s">
        <v>5321</v>
      </c>
      <c r="B4489" s="1">
        <v>46045</v>
      </c>
      <c r="C4489" t="s">
        <v>174</v>
      </c>
      <c r="D4489" t="s">
        <v>71</v>
      </c>
      <c r="E4489" t="s">
        <v>14</v>
      </c>
      <c r="F4489">
        <v>1</v>
      </c>
      <c r="G4489">
        <v>999</v>
      </c>
      <c r="H4489">
        <v>0</v>
      </c>
      <c r="I4489" t="s">
        <v>32</v>
      </c>
      <c r="J4489" t="s">
        <v>36</v>
      </c>
      <c r="K4489" t="s">
        <v>23</v>
      </c>
      <c r="L4489">
        <f>F4488*G4488*(1-H4488)</f>
        <v>31996</v>
      </c>
    </row>
    <row r="4490" spans="1:12">
      <c r="A4490" t="s">
        <v>5322</v>
      </c>
      <c r="B4490" s="1">
        <v>46212</v>
      </c>
      <c r="C4490" t="s">
        <v>3072</v>
      </c>
      <c r="D4490" t="s">
        <v>71</v>
      </c>
      <c r="E4490" t="s">
        <v>21</v>
      </c>
      <c r="F4490">
        <v>1</v>
      </c>
      <c r="G4490">
        <v>799</v>
      </c>
      <c r="H4490">
        <v>0</v>
      </c>
      <c r="I4490" t="s">
        <v>50</v>
      </c>
      <c r="J4490" t="s">
        <v>22</v>
      </c>
      <c r="K4490" t="s">
        <v>17</v>
      </c>
      <c r="L4490">
        <f>F4489*G4489*(1-H4489)</f>
        <v>999</v>
      </c>
    </row>
    <row r="4491" spans="1:12">
      <c r="A4491" t="s">
        <v>5323</v>
      </c>
      <c r="B4491" s="1">
        <v>46211</v>
      </c>
      <c r="C4491" t="s">
        <v>577</v>
      </c>
      <c r="D4491" t="s">
        <v>59</v>
      </c>
      <c r="E4491" t="s">
        <v>40</v>
      </c>
      <c r="F4491">
        <v>1</v>
      </c>
      <c r="G4491">
        <v>4999</v>
      </c>
      <c r="H4491">
        <v>0</v>
      </c>
      <c r="I4491" t="s">
        <v>44</v>
      </c>
      <c r="J4491" t="s">
        <v>16</v>
      </c>
      <c r="K4491" t="s">
        <v>17</v>
      </c>
      <c r="L4491">
        <f>F4490*G4490*(1-H4490)</f>
        <v>799</v>
      </c>
    </row>
    <row r="4492" spans="1:12">
      <c r="A4492" t="s">
        <v>5324</v>
      </c>
      <c r="B4492" s="1">
        <v>46153</v>
      </c>
      <c r="C4492" t="s">
        <v>1395</v>
      </c>
      <c r="D4492" t="s">
        <v>62</v>
      </c>
      <c r="E4492" t="s">
        <v>14</v>
      </c>
      <c r="F4492">
        <v>3</v>
      </c>
      <c r="G4492">
        <v>4999</v>
      </c>
      <c r="H4492">
        <v>0.15</v>
      </c>
      <c r="I4492" t="s">
        <v>47</v>
      </c>
      <c r="J4492" t="s">
        <v>28</v>
      </c>
      <c r="K4492" t="s">
        <v>37</v>
      </c>
      <c r="L4492">
        <f>F4491*G4491*(1-H4491)</f>
        <v>4999</v>
      </c>
    </row>
    <row r="4493" spans="1:12">
      <c r="A4493" t="s">
        <v>5325</v>
      </c>
      <c r="B4493" s="1">
        <v>46267</v>
      </c>
      <c r="C4493" t="s">
        <v>3336</v>
      </c>
      <c r="D4493" t="s">
        <v>31</v>
      </c>
      <c r="E4493" t="s">
        <v>21</v>
      </c>
      <c r="F4493">
        <v>3</v>
      </c>
      <c r="G4493">
        <v>4999</v>
      </c>
      <c r="H4493">
        <v>0.15</v>
      </c>
      <c r="I4493" t="s">
        <v>15</v>
      </c>
      <c r="J4493" t="s">
        <v>51</v>
      </c>
      <c r="K4493" t="s">
        <v>23</v>
      </c>
      <c r="L4493">
        <f>F4492*G4492*(1-H4492)</f>
        <v>12747.449999999999</v>
      </c>
    </row>
    <row r="4494" spans="1:12">
      <c r="A4494" t="s">
        <v>5326</v>
      </c>
      <c r="B4494" s="1">
        <v>46224</v>
      </c>
      <c r="C4494" t="s">
        <v>193</v>
      </c>
      <c r="D4494" t="s">
        <v>31</v>
      </c>
      <c r="E4494" t="s">
        <v>40</v>
      </c>
      <c r="F4494">
        <v>5</v>
      </c>
      <c r="G4494">
        <v>1499</v>
      </c>
      <c r="H4494">
        <v>0</v>
      </c>
      <c r="I4494" t="s">
        <v>44</v>
      </c>
      <c r="J4494" t="s">
        <v>16</v>
      </c>
      <c r="K4494" t="s">
        <v>17</v>
      </c>
      <c r="L4494">
        <f>F4493*G4493*(1-H4493)</f>
        <v>12747.449999999999</v>
      </c>
    </row>
    <row r="4495" spans="1:12">
      <c r="A4495" t="s">
        <v>5327</v>
      </c>
      <c r="B4495" s="1">
        <v>46071</v>
      </c>
      <c r="C4495" t="s">
        <v>1772</v>
      </c>
      <c r="D4495" t="s">
        <v>43</v>
      </c>
      <c r="E4495" t="s">
        <v>21</v>
      </c>
      <c r="F4495">
        <v>5</v>
      </c>
      <c r="G4495">
        <v>799</v>
      </c>
      <c r="H4495">
        <v>0.05</v>
      </c>
      <c r="I4495" t="s">
        <v>15</v>
      </c>
      <c r="J4495" t="s">
        <v>28</v>
      </c>
      <c r="K4495" t="s">
        <v>17</v>
      </c>
      <c r="L4495">
        <f>F4494*G4494*(1-H4494)</f>
        <v>7495</v>
      </c>
    </row>
    <row r="4496" spans="1:12">
      <c r="A4496" t="s">
        <v>5328</v>
      </c>
      <c r="B4496" s="1">
        <v>46044</v>
      </c>
      <c r="C4496" t="s">
        <v>1134</v>
      </c>
      <c r="D4496" t="s">
        <v>56</v>
      </c>
      <c r="E4496" t="s">
        <v>27</v>
      </c>
      <c r="F4496">
        <v>3</v>
      </c>
      <c r="G4496">
        <v>599</v>
      </c>
      <c r="H4496">
        <v>0.05</v>
      </c>
      <c r="I4496" t="s">
        <v>47</v>
      </c>
      <c r="J4496" t="s">
        <v>22</v>
      </c>
      <c r="K4496" t="s">
        <v>17</v>
      </c>
      <c r="L4496">
        <f>F4495*G4495*(1-H4495)</f>
        <v>3795.25</v>
      </c>
    </row>
    <row r="4497" spans="1:12">
      <c r="A4497" t="s">
        <v>5329</v>
      </c>
      <c r="B4497" s="1">
        <v>46130</v>
      </c>
      <c r="C4497" t="s">
        <v>2579</v>
      </c>
      <c r="D4497" t="s">
        <v>78</v>
      </c>
      <c r="E4497" t="s">
        <v>21</v>
      </c>
      <c r="F4497">
        <v>1</v>
      </c>
      <c r="G4497">
        <v>499</v>
      </c>
      <c r="H4497">
        <v>0.05</v>
      </c>
      <c r="I4497" t="s">
        <v>32</v>
      </c>
      <c r="J4497" t="s">
        <v>16</v>
      </c>
      <c r="K4497" t="s">
        <v>17</v>
      </c>
      <c r="L4497">
        <f>F4496*G4496*(1-H4496)</f>
        <v>1707.1499999999999</v>
      </c>
    </row>
    <row r="4498" spans="1:12">
      <c r="A4498" t="s">
        <v>5330</v>
      </c>
      <c r="B4498" s="1">
        <v>46096</v>
      </c>
      <c r="C4498" t="s">
        <v>1412</v>
      </c>
      <c r="D4498" t="s">
        <v>62</v>
      </c>
      <c r="E4498" t="s">
        <v>35</v>
      </c>
      <c r="F4498">
        <v>2</v>
      </c>
      <c r="G4498">
        <v>499</v>
      </c>
      <c r="H4498">
        <v>0.15</v>
      </c>
      <c r="I4498" t="s">
        <v>50</v>
      </c>
      <c r="J4498" t="s">
        <v>22</v>
      </c>
      <c r="K4498" t="s">
        <v>17</v>
      </c>
      <c r="L4498">
        <f>F4497*G4497*(1-H4497)</f>
        <v>474.04999999999995</v>
      </c>
    </row>
    <row r="4499" spans="1:12">
      <c r="A4499" t="s">
        <v>5331</v>
      </c>
      <c r="B4499" s="1">
        <v>46053</v>
      </c>
      <c r="C4499" t="s">
        <v>1382</v>
      </c>
      <c r="D4499" t="s">
        <v>56</v>
      </c>
      <c r="E4499" t="s">
        <v>35</v>
      </c>
      <c r="F4499">
        <v>2</v>
      </c>
      <c r="G4499">
        <v>799</v>
      </c>
      <c r="H4499">
        <v>0</v>
      </c>
      <c r="I4499" t="s">
        <v>15</v>
      </c>
      <c r="J4499" t="s">
        <v>22</v>
      </c>
      <c r="K4499" t="s">
        <v>17</v>
      </c>
      <c r="L4499">
        <f>F4498*G4498*(1-H4498)</f>
        <v>848.3</v>
      </c>
    </row>
    <row r="4500" spans="1:12">
      <c r="A4500" t="s">
        <v>5332</v>
      </c>
      <c r="B4500" s="1">
        <v>46218</v>
      </c>
      <c r="C4500" t="s">
        <v>138</v>
      </c>
      <c r="D4500" t="s">
        <v>13</v>
      </c>
      <c r="E4500" t="s">
        <v>35</v>
      </c>
      <c r="F4500">
        <v>2</v>
      </c>
      <c r="G4500">
        <v>799</v>
      </c>
      <c r="H4500">
        <v>0.15</v>
      </c>
      <c r="I4500" t="s">
        <v>44</v>
      </c>
      <c r="J4500" t="s">
        <v>22</v>
      </c>
      <c r="K4500" t="s">
        <v>23</v>
      </c>
      <c r="L4500">
        <f>F4499*G4499*(1-H4499)</f>
        <v>1598</v>
      </c>
    </row>
    <row r="4501" spans="1:12">
      <c r="A4501" t="s">
        <v>5333</v>
      </c>
      <c r="B4501" s="1">
        <v>46059</v>
      </c>
      <c r="C4501" t="s">
        <v>1800</v>
      </c>
      <c r="D4501" t="s">
        <v>13</v>
      </c>
      <c r="E4501" t="s">
        <v>40</v>
      </c>
      <c r="F4501">
        <v>2</v>
      </c>
      <c r="G4501">
        <v>1299</v>
      </c>
      <c r="H4501">
        <v>0.05</v>
      </c>
      <c r="I4501" t="s">
        <v>32</v>
      </c>
      <c r="J4501" t="s">
        <v>51</v>
      </c>
      <c r="K4501" t="s">
        <v>37</v>
      </c>
      <c r="L4501">
        <f>F4500*G4500*(1-H4500)</f>
        <v>1358.3</v>
      </c>
    </row>
    <row r="4502" spans="1:12">
      <c r="A4502" t="s">
        <v>5334</v>
      </c>
      <c r="B4502" s="1">
        <v>46034</v>
      </c>
      <c r="C4502" t="s">
        <v>1276</v>
      </c>
      <c r="D4502" t="s">
        <v>62</v>
      </c>
      <c r="E4502" t="s">
        <v>21</v>
      </c>
      <c r="F4502">
        <v>5</v>
      </c>
      <c r="G4502">
        <v>999</v>
      </c>
      <c r="H4502">
        <v>0</v>
      </c>
      <c r="I4502" t="s">
        <v>47</v>
      </c>
      <c r="J4502" t="s">
        <v>22</v>
      </c>
      <c r="K4502" t="s">
        <v>37</v>
      </c>
      <c r="L4502">
        <f>F4501*G4501*(1-H4501)</f>
        <v>2468.1</v>
      </c>
    </row>
    <row r="4503" spans="1:12">
      <c r="A4503" t="s">
        <v>5335</v>
      </c>
      <c r="B4503" s="1">
        <v>46288</v>
      </c>
      <c r="C4503" t="s">
        <v>2679</v>
      </c>
      <c r="D4503" t="s">
        <v>20</v>
      </c>
      <c r="E4503" t="s">
        <v>14</v>
      </c>
      <c r="F4503">
        <v>2</v>
      </c>
      <c r="G4503">
        <v>499</v>
      </c>
      <c r="H4503">
        <v>0</v>
      </c>
      <c r="I4503" t="s">
        <v>32</v>
      </c>
      <c r="J4503" t="s">
        <v>28</v>
      </c>
      <c r="K4503" t="s">
        <v>23</v>
      </c>
      <c r="L4503">
        <f>F4502*G4502*(1-H4502)</f>
        <v>4995</v>
      </c>
    </row>
    <row r="4504" spans="1:12">
      <c r="A4504" t="s">
        <v>5336</v>
      </c>
      <c r="B4504" s="1">
        <v>46167</v>
      </c>
      <c r="C4504" t="s">
        <v>267</v>
      </c>
      <c r="D4504" t="s">
        <v>56</v>
      </c>
      <c r="E4504" t="s">
        <v>35</v>
      </c>
      <c r="F4504">
        <v>1</v>
      </c>
      <c r="G4504">
        <v>499</v>
      </c>
      <c r="H4504">
        <v>0</v>
      </c>
      <c r="I4504" t="s">
        <v>50</v>
      </c>
      <c r="J4504" t="s">
        <v>16</v>
      </c>
      <c r="K4504" t="s">
        <v>17</v>
      </c>
      <c r="L4504">
        <f>F4503*G4503*(1-H4503)</f>
        <v>998</v>
      </c>
    </row>
    <row r="4505" spans="1:12">
      <c r="A4505" t="s">
        <v>5337</v>
      </c>
      <c r="B4505" s="1">
        <v>46168</v>
      </c>
      <c r="C4505" t="s">
        <v>42</v>
      </c>
      <c r="D4505" t="s">
        <v>43</v>
      </c>
      <c r="E4505" t="s">
        <v>21</v>
      </c>
      <c r="F4505">
        <v>5</v>
      </c>
      <c r="G4505">
        <v>1999</v>
      </c>
      <c r="H4505">
        <v>0</v>
      </c>
      <c r="I4505" t="s">
        <v>44</v>
      </c>
      <c r="J4505" t="s">
        <v>16</v>
      </c>
      <c r="K4505" t="s">
        <v>23</v>
      </c>
      <c r="L4505">
        <f>F4504*G4504*(1-H4504)</f>
        <v>499</v>
      </c>
    </row>
    <row r="4506" spans="1:12">
      <c r="A4506" t="s">
        <v>5338</v>
      </c>
      <c r="B4506" s="1">
        <v>46214</v>
      </c>
      <c r="C4506" t="s">
        <v>660</v>
      </c>
      <c r="D4506" t="s">
        <v>59</v>
      </c>
      <c r="E4506" t="s">
        <v>27</v>
      </c>
      <c r="F4506">
        <v>3</v>
      </c>
      <c r="G4506">
        <v>4999</v>
      </c>
      <c r="H4506">
        <v>0.1</v>
      </c>
      <c r="I4506" t="s">
        <v>50</v>
      </c>
      <c r="J4506" t="s">
        <v>22</v>
      </c>
      <c r="K4506" t="s">
        <v>23</v>
      </c>
      <c r="L4506">
        <f>F4505*G4505*(1-H4505)</f>
        <v>9995</v>
      </c>
    </row>
    <row r="4507" spans="1:12">
      <c r="A4507" t="s">
        <v>5339</v>
      </c>
      <c r="B4507" s="1">
        <v>46121</v>
      </c>
      <c r="C4507" t="s">
        <v>5340</v>
      </c>
      <c r="D4507" t="s">
        <v>20</v>
      </c>
      <c r="E4507" t="s">
        <v>14</v>
      </c>
      <c r="F4507">
        <v>5</v>
      </c>
      <c r="G4507">
        <v>999</v>
      </c>
      <c r="H4507">
        <v>0.1</v>
      </c>
      <c r="I4507" t="s">
        <v>32</v>
      </c>
      <c r="J4507" t="s">
        <v>22</v>
      </c>
      <c r="K4507" t="s">
        <v>37</v>
      </c>
      <c r="L4507">
        <f>F4506*G4506*(1-H4506)</f>
        <v>13497.300000000001</v>
      </c>
    </row>
    <row r="4508" spans="1:12">
      <c r="A4508" t="s">
        <v>5341</v>
      </c>
      <c r="B4508" s="1">
        <v>46282</v>
      </c>
      <c r="C4508" t="s">
        <v>965</v>
      </c>
      <c r="D4508" t="s">
        <v>13</v>
      </c>
      <c r="E4508" t="s">
        <v>27</v>
      </c>
      <c r="F4508">
        <v>5</v>
      </c>
      <c r="G4508">
        <v>1999</v>
      </c>
      <c r="H4508">
        <v>0.05</v>
      </c>
      <c r="I4508" t="s">
        <v>50</v>
      </c>
      <c r="J4508" t="s">
        <v>28</v>
      </c>
      <c r="K4508" t="s">
        <v>17</v>
      </c>
      <c r="L4508">
        <f>F4507*G4507*(1-H4507)</f>
        <v>4495.5</v>
      </c>
    </row>
    <row r="4509" spans="1:12">
      <c r="A4509" t="s">
        <v>5342</v>
      </c>
      <c r="B4509" s="1">
        <v>46268</v>
      </c>
      <c r="C4509" t="s">
        <v>2559</v>
      </c>
      <c r="D4509" t="s">
        <v>78</v>
      </c>
      <c r="E4509" t="s">
        <v>40</v>
      </c>
      <c r="F4509">
        <v>3</v>
      </c>
      <c r="G4509">
        <v>1499</v>
      </c>
      <c r="H4509">
        <v>0.1</v>
      </c>
      <c r="I4509" t="s">
        <v>15</v>
      </c>
      <c r="J4509" t="s">
        <v>51</v>
      </c>
      <c r="K4509" t="s">
        <v>17</v>
      </c>
      <c r="L4509">
        <f>F4508*G4508*(1-H4508)</f>
        <v>9495.25</v>
      </c>
    </row>
    <row r="4510" spans="1:12">
      <c r="A4510" t="s">
        <v>5343</v>
      </c>
      <c r="B4510" s="1">
        <v>46184</v>
      </c>
      <c r="C4510" t="s">
        <v>2991</v>
      </c>
      <c r="D4510" t="s">
        <v>13</v>
      </c>
      <c r="E4510" t="s">
        <v>35</v>
      </c>
      <c r="F4510">
        <v>2</v>
      </c>
      <c r="G4510">
        <v>799</v>
      </c>
      <c r="H4510">
        <v>0.1</v>
      </c>
      <c r="I4510" t="s">
        <v>15</v>
      </c>
      <c r="J4510" t="s">
        <v>16</v>
      </c>
      <c r="K4510" t="s">
        <v>17</v>
      </c>
      <c r="L4510">
        <f>F4509*G4509*(1-H4509)</f>
        <v>4047.3</v>
      </c>
    </row>
    <row r="4511" spans="1:12">
      <c r="A4511" t="s">
        <v>5344</v>
      </c>
      <c r="B4511" s="1">
        <v>46137</v>
      </c>
      <c r="C4511" t="s">
        <v>1499</v>
      </c>
      <c r="D4511" t="s">
        <v>62</v>
      </c>
      <c r="E4511" t="s">
        <v>21</v>
      </c>
      <c r="F4511">
        <v>4</v>
      </c>
      <c r="G4511">
        <v>1299</v>
      </c>
      <c r="H4511">
        <v>0</v>
      </c>
      <c r="I4511" t="s">
        <v>15</v>
      </c>
      <c r="J4511" t="s">
        <v>28</v>
      </c>
      <c r="K4511" t="s">
        <v>17</v>
      </c>
      <c r="L4511">
        <f>F4510*G4510*(1-H4510)</f>
        <v>1438.2</v>
      </c>
    </row>
    <row r="4512" spans="1:12">
      <c r="A4512" t="s">
        <v>5345</v>
      </c>
      <c r="B4512" s="1">
        <v>46100</v>
      </c>
      <c r="C4512" t="s">
        <v>452</v>
      </c>
      <c r="D4512" t="s">
        <v>26</v>
      </c>
      <c r="E4512" t="s">
        <v>21</v>
      </c>
      <c r="F4512">
        <v>3</v>
      </c>
      <c r="G4512">
        <v>7999</v>
      </c>
      <c r="H4512">
        <v>0.05</v>
      </c>
      <c r="I4512" t="s">
        <v>15</v>
      </c>
      <c r="J4512" t="s">
        <v>28</v>
      </c>
      <c r="K4512" t="s">
        <v>23</v>
      </c>
      <c r="L4512">
        <f>F4511*G4511*(1-H4511)</f>
        <v>5196</v>
      </c>
    </row>
    <row r="4513" spans="1:12">
      <c r="A4513" t="s">
        <v>5346</v>
      </c>
      <c r="B4513" s="1">
        <v>46066</v>
      </c>
      <c r="C4513" t="s">
        <v>1006</v>
      </c>
      <c r="D4513" t="s">
        <v>43</v>
      </c>
      <c r="E4513" t="s">
        <v>14</v>
      </c>
      <c r="F4513">
        <v>5</v>
      </c>
      <c r="G4513">
        <v>4999</v>
      </c>
      <c r="H4513">
        <v>0.15</v>
      </c>
      <c r="I4513" t="s">
        <v>50</v>
      </c>
      <c r="J4513" t="s">
        <v>28</v>
      </c>
      <c r="K4513" t="s">
        <v>23</v>
      </c>
      <c r="L4513">
        <f>F4512*G4512*(1-H4512)</f>
        <v>22797.149999999998</v>
      </c>
    </row>
    <row r="4514" spans="1:12">
      <c r="A4514" t="s">
        <v>5347</v>
      </c>
      <c r="B4514" s="1">
        <v>46237</v>
      </c>
      <c r="C4514" t="s">
        <v>2357</v>
      </c>
      <c r="D4514" t="s">
        <v>56</v>
      </c>
      <c r="E4514" t="s">
        <v>21</v>
      </c>
      <c r="F4514">
        <v>5</v>
      </c>
      <c r="G4514">
        <v>1999</v>
      </c>
      <c r="H4514">
        <v>0</v>
      </c>
      <c r="I4514" t="s">
        <v>50</v>
      </c>
      <c r="J4514" t="s">
        <v>16</v>
      </c>
      <c r="K4514" t="s">
        <v>17</v>
      </c>
      <c r="L4514">
        <f>F4513*G4513*(1-H4513)</f>
        <v>21245.75</v>
      </c>
    </row>
    <row r="4515" spans="1:12">
      <c r="A4515" t="s">
        <v>5348</v>
      </c>
      <c r="B4515" s="1">
        <v>46053</v>
      </c>
      <c r="C4515" t="s">
        <v>1732</v>
      </c>
      <c r="D4515" t="s">
        <v>78</v>
      </c>
      <c r="E4515" t="s">
        <v>40</v>
      </c>
      <c r="F4515">
        <v>3</v>
      </c>
      <c r="G4515">
        <v>2499</v>
      </c>
      <c r="H4515">
        <v>0.05</v>
      </c>
      <c r="I4515" t="s">
        <v>50</v>
      </c>
      <c r="J4515" t="s">
        <v>51</v>
      </c>
      <c r="K4515" t="s">
        <v>37</v>
      </c>
      <c r="L4515">
        <f>F4514*G4514*(1-H4514)</f>
        <v>9995</v>
      </c>
    </row>
    <row r="4516" spans="1:12">
      <c r="A4516" t="s">
        <v>5349</v>
      </c>
      <c r="B4516" s="1">
        <v>46113</v>
      </c>
      <c r="C4516" t="s">
        <v>506</v>
      </c>
      <c r="D4516" t="s">
        <v>59</v>
      </c>
      <c r="E4516" t="s">
        <v>40</v>
      </c>
      <c r="F4516">
        <v>1</v>
      </c>
      <c r="G4516">
        <v>7999</v>
      </c>
      <c r="H4516">
        <v>0.15</v>
      </c>
      <c r="I4516" t="s">
        <v>50</v>
      </c>
      <c r="J4516" t="s">
        <v>36</v>
      </c>
      <c r="K4516" t="s">
        <v>37</v>
      </c>
      <c r="L4516">
        <f>F4515*G4515*(1-H4515)</f>
        <v>7122.15</v>
      </c>
    </row>
    <row r="4517" spans="1:12">
      <c r="A4517" t="s">
        <v>5350</v>
      </c>
      <c r="B4517" s="1">
        <v>46135</v>
      </c>
      <c r="C4517" t="s">
        <v>539</v>
      </c>
      <c r="D4517" t="s">
        <v>26</v>
      </c>
      <c r="E4517" t="s">
        <v>40</v>
      </c>
      <c r="F4517">
        <v>1</v>
      </c>
      <c r="G4517">
        <v>4999</v>
      </c>
      <c r="H4517">
        <v>0.05</v>
      </c>
      <c r="I4517" t="s">
        <v>32</v>
      </c>
      <c r="J4517" t="s">
        <v>36</v>
      </c>
      <c r="K4517" t="s">
        <v>17</v>
      </c>
      <c r="L4517">
        <f>F4516*G4516*(1-H4516)</f>
        <v>6799.15</v>
      </c>
    </row>
    <row r="4518" spans="1:12">
      <c r="A4518" t="s">
        <v>5351</v>
      </c>
      <c r="B4518" s="1">
        <v>46218</v>
      </c>
      <c r="C4518" t="s">
        <v>271</v>
      </c>
      <c r="D4518" t="s">
        <v>59</v>
      </c>
      <c r="E4518" t="s">
        <v>21</v>
      </c>
      <c r="F4518">
        <v>3</v>
      </c>
      <c r="G4518">
        <v>599</v>
      </c>
      <c r="H4518">
        <v>0.05</v>
      </c>
      <c r="I4518" t="s">
        <v>15</v>
      </c>
      <c r="J4518" t="s">
        <v>36</v>
      </c>
      <c r="K4518" t="s">
        <v>17</v>
      </c>
      <c r="L4518">
        <f>F4517*G4517*(1-H4517)</f>
        <v>4749.05</v>
      </c>
    </row>
    <row r="4519" spans="1:12">
      <c r="A4519" t="s">
        <v>5352</v>
      </c>
      <c r="B4519" s="1">
        <v>46290</v>
      </c>
      <c r="C4519" t="s">
        <v>517</v>
      </c>
      <c r="D4519" t="s">
        <v>13</v>
      </c>
      <c r="E4519" t="s">
        <v>35</v>
      </c>
      <c r="F4519">
        <v>4</v>
      </c>
      <c r="G4519">
        <v>1999</v>
      </c>
      <c r="H4519">
        <v>0.15</v>
      </c>
      <c r="I4519" t="s">
        <v>32</v>
      </c>
      <c r="J4519" t="s">
        <v>36</v>
      </c>
      <c r="K4519" t="s">
        <v>17</v>
      </c>
      <c r="L4519">
        <f>F4518*G4518*(1-H4518)</f>
        <v>1707.1499999999999</v>
      </c>
    </row>
    <row r="4520" spans="1:12">
      <c r="A4520" t="s">
        <v>5353</v>
      </c>
      <c r="B4520" s="1">
        <v>46055</v>
      </c>
      <c r="C4520" t="s">
        <v>944</v>
      </c>
      <c r="D4520" t="s">
        <v>78</v>
      </c>
      <c r="E4520" t="s">
        <v>35</v>
      </c>
      <c r="F4520">
        <v>1</v>
      </c>
      <c r="G4520">
        <v>999</v>
      </c>
      <c r="H4520">
        <v>0</v>
      </c>
      <c r="I4520" t="s">
        <v>47</v>
      </c>
      <c r="J4520" t="s">
        <v>16</v>
      </c>
      <c r="K4520" t="s">
        <v>37</v>
      </c>
      <c r="L4520">
        <f>F4519*G4519*(1-H4519)</f>
        <v>6796.5999999999995</v>
      </c>
    </row>
    <row r="4521" spans="1:12">
      <c r="A4521" t="s">
        <v>5354</v>
      </c>
      <c r="B4521" s="1">
        <v>46056</v>
      </c>
      <c r="C4521" t="s">
        <v>1002</v>
      </c>
      <c r="D4521" t="s">
        <v>62</v>
      </c>
      <c r="E4521" t="s">
        <v>14</v>
      </c>
      <c r="F4521">
        <v>5</v>
      </c>
      <c r="G4521">
        <v>1499</v>
      </c>
      <c r="H4521">
        <v>0.15</v>
      </c>
      <c r="I4521" t="s">
        <v>50</v>
      </c>
      <c r="J4521" t="s">
        <v>22</v>
      </c>
      <c r="K4521" t="s">
        <v>37</v>
      </c>
      <c r="L4521">
        <f>F4520*G4520*(1-H4520)</f>
        <v>999</v>
      </c>
    </row>
    <row r="4522" spans="1:12">
      <c r="A4522" t="s">
        <v>5355</v>
      </c>
      <c r="B4522" s="1">
        <v>46143</v>
      </c>
      <c r="C4522" t="s">
        <v>4192</v>
      </c>
      <c r="D4522" t="s">
        <v>71</v>
      </c>
      <c r="E4522" t="s">
        <v>40</v>
      </c>
      <c r="F4522">
        <v>5</v>
      </c>
      <c r="G4522">
        <v>999</v>
      </c>
      <c r="H4522">
        <v>0.15</v>
      </c>
      <c r="I4522" t="s">
        <v>47</v>
      </c>
      <c r="J4522" t="s">
        <v>51</v>
      </c>
      <c r="K4522" t="s">
        <v>23</v>
      </c>
      <c r="L4522">
        <f>F4521*G4521*(1-H4521)</f>
        <v>6370.75</v>
      </c>
    </row>
    <row r="4523" spans="1:12">
      <c r="A4523" t="s">
        <v>5356</v>
      </c>
      <c r="B4523" s="1">
        <v>46154</v>
      </c>
      <c r="C4523" t="s">
        <v>338</v>
      </c>
      <c r="D4523" t="s">
        <v>56</v>
      </c>
      <c r="E4523" t="s">
        <v>40</v>
      </c>
      <c r="F4523">
        <v>2</v>
      </c>
      <c r="G4523">
        <v>499</v>
      </c>
      <c r="H4523">
        <v>0</v>
      </c>
      <c r="I4523" t="s">
        <v>15</v>
      </c>
      <c r="J4523" t="s">
        <v>22</v>
      </c>
      <c r="K4523" t="s">
        <v>17</v>
      </c>
      <c r="L4523">
        <f>F4522*G4522*(1-H4522)</f>
        <v>4245.75</v>
      </c>
    </row>
    <row r="4524" spans="1:12">
      <c r="A4524" t="s">
        <v>5357</v>
      </c>
      <c r="B4524" s="1">
        <v>46028</v>
      </c>
      <c r="C4524" t="s">
        <v>2447</v>
      </c>
      <c r="D4524" t="s">
        <v>26</v>
      </c>
      <c r="E4524" t="s">
        <v>40</v>
      </c>
      <c r="F4524">
        <v>3</v>
      </c>
      <c r="G4524">
        <v>799</v>
      </c>
      <c r="H4524">
        <v>0.15</v>
      </c>
      <c r="I4524" t="s">
        <v>44</v>
      </c>
      <c r="J4524" t="s">
        <v>16</v>
      </c>
      <c r="K4524" t="s">
        <v>17</v>
      </c>
      <c r="L4524">
        <f>F4523*G4523*(1-H4523)</f>
        <v>998</v>
      </c>
    </row>
    <row r="4525" spans="1:12">
      <c r="A4525" t="s">
        <v>5358</v>
      </c>
      <c r="B4525" s="1">
        <v>46190</v>
      </c>
      <c r="C4525" t="s">
        <v>164</v>
      </c>
      <c r="D4525" t="s">
        <v>13</v>
      </c>
      <c r="E4525" t="s">
        <v>35</v>
      </c>
      <c r="F4525">
        <v>5</v>
      </c>
      <c r="G4525">
        <v>999</v>
      </c>
      <c r="H4525">
        <v>0.15</v>
      </c>
      <c r="I4525" t="s">
        <v>32</v>
      </c>
      <c r="J4525" t="s">
        <v>51</v>
      </c>
      <c r="K4525" t="s">
        <v>17</v>
      </c>
      <c r="L4525">
        <f>F4524*G4524*(1-H4524)</f>
        <v>2037.45</v>
      </c>
    </row>
    <row r="4526" spans="1:12">
      <c r="A4526" t="s">
        <v>5359</v>
      </c>
      <c r="B4526" s="1">
        <v>46245</v>
      </c>
      <c r="C4526" t="s">
        <v>2832</v>
      </c>
      <c r="D4526" t="s">
        <v>59</v>
      </c>
      <c r="E4526" t="s">
        <v>40</v>
      </c>
      <c r="F4526">
        <v>4</v>
      </c>
      <c r="G4526">
        <v>499</v>
      </c>
      <c r="H4526">
        <v>0.05</v>
      </c>
      <c r="I4526" t="s">
        <v>15</v>
      </c>
      <c r="J4526" t="s">
        <v>22</v>
      </c>
      <c r="K4526" t="s">
        <v>17</v>
      </c>
      <c r="L4526">
        <f>F4525*G4525*(1-H4525)</f>
        <v>4245.75</v>
      </c>
    </row>
    <row r="4527" spans="1:12">
      <c r="A4527" t="s">
        <v>5360</v>
      </c>
      <c r="B4527" s="1">
        <v>46173</v>
      </c>
      <c r="C4527" t="s">
        <v>2447</v>
      </c>
      <c r="D4527" t="s">
        <v>31</v>
      </c>
      <c r="E4527" t="s">
        <v>21</v>
      </c>
      <c r="F4527">
        <v>1</v>
      </c>
      <c r="G4527">
        <v>7999</v>
      </c>
      <c r="H4527">
        <v>0.05</v>
      </c>
      <c r="I4527" t="s">
        <v>44</v>
      </c>
      <c r="J4527" t="s">
        <v>22</v>
      </c>
      <c r="K4527" t="s">
        <v>37</v>
      </c>
      <c r="L4527">
        <f>F4526*G4526*(1-H4526)</f>
        <v>1896.1999999999998</v>
      </c>
    </row>
    <row r="4528" spans="1:12">
      <c r="A4528" t="s">
        <v>5361</v>
      </c>
      <c r="B4528" s="1">
        <v>46277</v>
      </c>
      <c r="C4528" t="s">
        <v>1320</v>
      </c>
      <c r="D4528" t="s">
        <v>59</v>
      </c>
      <c r="E4528" t="s">
        <v>21</v>
      </c>
      <c r="F4528">
        <v>4</v>
      </c>
      <c r="G4528">
        <v>4999</v>
      </c>
      <c r="H4528">
        <v>0</v>
      </c>
      <c r="I4528" t="s">
        <v>47</v>
      </c>
      <c r="J4528" t="s">
        <v>51</v>
      </c>
      <c r="K4528" t="s">
        <v>37</v>
      </c>
      <c r="L4528">
        <f>F4527*G4527*(1-H4527)</f>
        <v>7599.0499999999993</v>
      </c>
    </row>
    <row r="4529" spans="1:12">
      <c r="A4529" t="s">
        <v>5362</v>
      </c>
      <c r="B4529" s="1">
        <v>46119</v>
      </c>
      <c r="C4529" t="s">
        <v>1087</v>
      </c>
      <c r="D4529" t="s">
        <v>26</v>
      </c>
      <c r="E4529" t="s">
        <v>35</v>
      </c>
      <c r="F4529">
        <v>5</v>
      </c>
      <c r="G4529">
        <v>4999</v>
      </c>
      <c r="H4529">
        <v>0.15</v>
      </c>
      <c r="I4529" t="s">
        <v>50</v>
      </c>
      <c r="J4529" t="s">
        <v>16</v>
      </c>
      <c r="K4529" t="s">
        <v>17</v>
      </c>
      <c r="L4529">
        <f>F4528*G4528*(1-H4528)</f>
        <v>19996</v>
      </c>
    </row>
    <row r="4530" spans="1:12">
      <c r="A4530" t="s">
        <v>5363</v>
      </c>
      <c r="B4530" s="1">
        <v>46278</v>
      </c>
      <c r="C4530" t="s">
        <v>378</v>
      </c>
      <c r="D4530" t="s">
        <v>56</v>
      </c>
      <c r="E4530" t="s">
        <v>14</v>
      </c>
      <c r="F4530">
        <v>4</v>
      </c>
      <c r="G4530">
        <v>2499</v>
      </c>
      <c r="H4530">
        <v>0.05</v>
      </c>
      <c r="I4530" t="s">
        <v>44</v>
      </c>
      <c r="J4530" t="s">
        <v>22</v>
      </c>
      <c r="K4530" t="s">
        <v>23</v>
      </c>
      <c r="L4530">
        <f>F4529*G4529*(1-H4529)</f>
        <v>21245.75</v>
      </c>
    </row>
    <row r="4531" spans="1:12">
      <c r="A4531" t="s">
        <v>5364</v>
      </c>
      <c r="B4531" s="1">
        <v>46130</v>
      </c>
      <c r="C4531" t="s">
        <v>462</v>
      </c>
      <c r="D4531" t="s">
        <v>13</v>
      </c>
      <c r="E4531" t="s">
        <v>27</v>
      </c>
      <c r="F4531">
        <v>4</v>
      </c>
      <c r="G4531">
        <v>1299</v>
      </c>
      <c r="H4531">
        <v>0</v>
      </c>
      <c r="I4531" t="s">
        <v>44</v>
      </c>
      <c r="J4531" t="s">
        <v>22</v>
      </c>
      <c r="K4531" t="s">
        <v>17</v>
      </c>
      <c r="L4531">
        <f>F4530*G4530*(1-H4530)</f>
        <v>9496.1999999999989</v>
      </c>
    </row>
    <row r="4532" spans="1:12">
      <c r="A4532" t="s">
        <v>5365</v>
      </c>
      <c r="B4532" s="1">
        <v>46173</v>
      </c>
      <c r="C4532" t="s">
        <v>261</v>
      </c>
      <c r="D4532" t="s">
        <v>13</v>
      </c>
      <c r="E4532" t="s">
        <v>40</v>
      </c>
      <c r="F4532">
        <v>5</v>
      </c>
      <c r="G4532">
        <v>799</v>
      </c>
      <c r="H4532">
        <v>0.05</v>
      </c>
      <c r="I4532" t="s">
        <v>50</v>
      </c>
      <c r="J4532" t="s">
        <v>51</v>
      </c>
      <c r="K4532" t="s">
        <v>37</v>
      </c>
      <c r="L4532">
        <f>F4531*G4531*(1-H4531)</f>
        <v>5196</v>
      </c>
    </row>
    <row r="4533" spans="1:12">
      <c r="A4533" t="s">
        <v>5366</v>
      </c>
      <c r="B4533" s="1">
        <v>46080</v>
      </c>
      <c r="C4533" t="s">
        <v>251</v>
      </c>
      <c r="D4533" t="s">
        <v>43</v>
      </c>
      <c r="E4533" t="s">
        <v>35</v>
      </c>
      <c r="F4533">
        <v>2</v>
      </c>
      <c r="G4533">
        <v>799</v>
      </c>
      <c r="H4533">
        <v>0.1</v>
      </c>
      <c r="I4533" t="s">
        <v>32</v>
      </c>
      <c r="J4533" t="s">
        <v>36</v>
      </c>
      <c r="K4533" t="s">
        <v>17</v>
      </c>
      <c r="L4533">
        <f>F4532*G4532*(1-H4532)</f>
        <v>3795.25</v>
      </c>
    </row>
    <row r="4534" spans="1:12">
      <c r="A4534" t="s">
        <v>5367</v>
      </c>
      <c r="B4534" s="1">
        <v>46218</v>
      </c>
      <c r="C4534" t="s">
        <v>140</v>
      </c>
      <c r="D4534" t="s">
        <v>13</v>
      </c>
      <c r="E4534" t="s">
        <v>35</v>
      </c>
      <c r="F4534">
        <v>4</v>
      </c>
      <c r="G4534">
        <v>1999</v>
      </c>
      <c r="H4534">
        <v>0</v>
      </c>
      <c r="I4534" t="s">
        <v>44</v>
      </c>
      <c r="J4534" t="s">
        <v>16</v>
      </c>
      <c r="K4534" t="s">
        <v>17</v>
      </c>
      <c r="L4534">
        <f>F4533*G4533*(1-H4533)</f>
        <v>1438.2</v>
      </c>
    </row>
    <row r="4535" spans="1:12">
      <c r="A4535" t="s">
        <v>5368</v>
      </c>
      <c r="B4535" s="1">
        <v>46171</v>
      </c>
      <c r="C4535" t="s">
        <v>1585</v>
      </c>
      <c r="D4535" t="s">
        <v>71</v>
      </c>
      <c r="E4535" t="s">
        <v>27</v>
      </c>
      <c r="F4535">
        <v>4</v>
      </c>
      <c r="G4535">
        <v>799</v>
      </c>
      <c r="H4535">
        <v>0</v>
      </c>
      <c r="I4535" t="s">
        <v>32</v>
      </c>
      <c r="J4535" t="s">
        <v>36</v>
      </c>
      <c r="K4535" t="s">
        <v>17</v>
      </c>
      <c r="L4535">
        <f>F4534*G4534*(1-H4534)</f>
        <v>7996</v>
      </c>
    </row>
    <row r="4536" spans="1:12">
      <c r="A4536" t="s">
        <v>5369</v>
      </c>
      <c r="B4536" s="1">
        <v>46168</v>
      </c>
      <c r="C4536" t="s">
        <v>987</v>
      </c>
      <c r="D4536" t="s">
        <v>78</v>
      </c>
      <c r="E4536" t="s">
        <v>27</v>
      </c>
      <c r="F4536">
        <v>5</v>
      </c>
      <c r="G4536">
        <v>799</v>
      </c>
      <c r="H4536">
        <v>0</v>
      </c>
      <c r="I4536" t="s">
        <v>44</v>
      </c>
      <c r="J4536" t="s">
        <v>36</v>
      </c>
      <c r="K4536" t="s">
        <v>37</v>
      </c>
      <c r="L4536">
        <f>F4535*G4535*(1-H4535)</f>
        <v>3196</v>
      </c>
    </row>
    <row r="4537" spans="1:12">
      <c r="A4537" t="s">
        <v>5370</v>
      </c>
      <c r="B4537" s="1">
        <v>46258</v>
      </c>
      <c r="C4537" t="s">
        <v>113</v>
      </c>
      <c r="D4537" t="s">
        <v>56</v>
      </c>
      <c r="E4537" t="s">
        <v>14</v>
      </c>
      <c r="F4537">
        <v>1</v>
      </c>
      <c r="G4537">
        <v>499</v>
      </c>
      <c r="H4537">
        <v>0</v>
      </c>
      <c r="I4537" t="s">
        <v>15</v>
      </c>
      <c r="J4537" t="s">
        <v>22</v>
      </c>
      <c r="K4537" t="s">
        <v>17</v>
      </c>
      <c r="L4537">
        <f>F4536*G4536*(1-H4536)</f>
        <v>3995</v>
      </c>
    </row>
    <row r="4538" spans="1:12">
      <c r="A4538" t="s">
        <v>5371</v>
      </c>
      <c r="B4538" s="1">
        <v>46207</v>
      </c>
      <c r="C4538" t="s">
        <v>2807</v>
      </c>
      <c r="D4538" t="s">
        <v>59</v>
      </c>
      <c r="E4538" t="s">
        <v>35</v>
      </c>
      <c r="F4538">
        <v>3</v>
      </c>
      <c r="G4538">
        <v>499</v>
      </c>
      <c r="H4538">
        <v>0.1</v>
      </c>
      <c r="I4538" t="s">
        <v>32</v>
      </c>
      <c r="J4538" t="s">
        <v>36</v>
      </c>
      <c r="K4538" t="s">
        <v>17</v>
      </c>
      <c r="L4538">
        <f>F4537*G4537*(1-H4537)</f>
        <v>499</v>
      </c>
    </row>
    <row r="4539" spans="1:12">
      <c r="A4539" t="s">
        <v>5372</v>
      </c>
      <c r="B4539" s="1">
        <v>46117</v>
      </c>
      <c r="C4539" t="s">
        <v>1812</v>
      </c>
      <c r="D4539" t="s">
        <v>62</v>
      </c>
      <c r="E4539" t="s">
        <v>40</v>
      </c>
      <c r="F4539">
        <v>5</v>
      </c>
      <c r="G4539">
        <v>999</v>
      </c>
      <c r="H4539">
        <v>0</v>
      </c>
      <c r="I4539" t="s">
        <v>15</v>
      </c>
      <c r="J4539" t="s">
        <v>51</v>
      </c>
      <c r="K4539" t="s">
        <v>17</v>
      </c>
      <c r="L4539">
        <f>F4538*G4538*(1-H4538)</f>
        <v>1347.3</v>
      </c>
    </row>
    <row r="4540" spans="1:12">
      <c r="A4540" t="s">
        <v>5373</v>
      </c>
      <c r="B4540" s="1">
        <v>46107</v>
      </c>
      <c r="C4540" t="s">
        <v>699</v>
      </c>
      <c r="D4540" t="s">
        <v>62</v>
      </c>
      <c r="E4540" t="s">
        <v>21</v>
      </c>
      <c r="F4540">
        <v>3</v>
      </c>
      <c r="G4540">
        <v>799</v>
      </c>
      <c r="H4540">
        <v>0</v>
      </c>
      <c r="I4540" t="s">
        <v>47</v>
      </c>
      <c r="J4540" t="s">
        <v>22</v>
      </c>
      <c r="K4540" t="s">
        <v>17</v>
      </c>
      <c r="L4540">
        <f>F4539*G4539*(1-H4539)</f>
        <v>4995</v>
      </c>
    </row>
    <row r="4541" spans="1:12">
      <c r="A4541" t="s">
        <v>5374</v>
      </c>
      <c r="B4541" s="1">
        <v>46261</v>
      </c>
      <c r="C4541" t="s">
        <v>1105</v>
      </c>
      <c r="D4541" t="s">
        <v>43</v>
      </c>
      <c r="E4541" t="s">
        <v>14</v>
      </c>
      <c r="F4541">
        <v>3</v>
      </c>
      <c r="G4541">
        <v>499</v>
      </c>
      <c r="H4541">
        <v>0.05</v>
      </c>
      <c r="I4541" t="s">
        <v>15</v>
      </c>
      <c r="J4541" t="s">
        <v>28</v>
      </c>
      <c r="K4541" t="s">
        <v>17</v>
      </c>
      <c r="L4541">
        <f>F4540*G4540*(1-H4540)</f>
        <v>2397</v>
      </c>
    </row>
    <row r="4542" spans="1:12">
      <c r="A4542" t="s">
        <v>5375</v>
      </c>
      <c r="B4542" s="1">
        <v>46238</v>
      </c>
      <c r="C4542" t="s">
        <v>1657</v>
      </c>
      <c r="D4542" t="s">
        <v>59</v>
      </c>
      <c r="E4542" t="s">
        <v>40</v>
      </c>
      <c r="F4542">
        <v>2</v>
      </c>
      <c r="G4542">
        <v>1299</v>
      </c>
      <c r="H4542">
        <v>0.1</v>
      </c>
      <c r="I4542" t="s">
        <v>44</v>
      </c>
      <c r="J4542" t="s">
        <v>16</v>
      </c>
      <c r="K4542" t="s">
        <v>17</v>
      </c>
      <c r="L4542">
        <f>F4541*G4541*(1-H4541)</f>
        <v>1422.1499999999999</v>
      </c>
    </row>
    <row r="4543" spans="1:12">
      <c r="A4543" t="s">
        <v>5376</v>
      </c>
      <c r="B4543" s="1">
        <v>46039</v>
      </c>
      <c r="C4543" t="s">
        <v>1416</v>
      </c>
      <c r="D4543" t="s">
        <v>20</v>
      </c>
      <c r="E4543" t="s">
        <v>35</v>
      </c>
      <c r="F4543">
        <v>5</v>
      </c>
      <c r="G4543">
        <v>1999</v>
      </c>
      <c r="H4543">
        <v>0.1</v>
      </c>
      <c r="I4543" t="s">
        <v>50</v>
      </c>
      <c r="J4543" t="s">
        <v>51</v>
      </c>
      <c r="K4543" t="s">
        <v>37</v>
      </c>
      <c r="L4543">
        <f>F4542*G4542*(1-H4542)</f>
        <v>2338.2000000000003</v>
      </c>
    </row>
    <row r="4544" spans="1:12">
      <c r="A4544" t="s">
        <v>5377</v>
      </c>
      <c r="B4544" s="1">
        <v>46135</v>
      </c>
      <c r="C4544" t="s">
        <v>993</v>
      </c>
      <c r="D4544" t="s">
        <v>62</v>
      </c>
      <c r="E4544" t="s">
        <v>21</v>
      </c>
      <c r="F4544">
        <v>2</v>
      </c>
      <c r="G4544">
        <v>1999</v>
      </c>
      <c r="H4544">
        <v>0.1</v>
      </c>
      <c r="I4544" t="s">
        <v>32</v>
      </c>
      <c r="J4544" t="s">
        <v>28</v>
      </c>
      <c r="K4544" t="s">
        <v>37</v>
      </c>
      <c r="L4544">
        <f>F4543*G4543*(1-H4543)</f>
        <v>8995.5</v>
      </c>
    </row>
    <row r="4545" spans="1:12">
      <c r="A4545" t="s">
        <v>5378</v>
      </c>
      <c r="B4545" s="1">
        <v>46169</v>
      </c>
      <c r="C4545" t="s">
        <v>1278</v>
      </c>
      <c r="D4545" t="s">
        <v>26</v>
      </c>
      <c r="E4545" t="s">
        <v>14</v>
      </c>
      <c r="F4545">
        <v>3</v>
      </c>
      <c r="G4545">
        <v>799</v>
      </c>
      <c r="H4545">
        <v>0</v>
      </c>
      <c r="I4545" t="s">
        <v>47</v>
      </c>
      <c r="J4545" t="s">
        <v>28</v>
      </c>
      <c r="K4545" t="s">
        <v>23</v>
      </c>
      <c r="L4545">
        <f>F4544*G4544*(1-H4544)</f>
        <v>3598.2000000000003</v>
      </c>
    </row>
    <row r="4546" spans="1:12">
      <c r="A4546" t="s">
        <v>5379</v>
      </c>
      <c r="B4546" s="1">
        <v>46197</v>
      </c>
      <c r="C4546" t="s">
        <v>162</v>
      </c>
      <c r="D4546" t="s">
        <v>78</v>
      </c>
      <c r="E4546" t="s">
        <v>21</v>
      </c>
      <c r="F4546">
        <v>5</v>
      </c>
      <c r="G4546">
        <v>7999</v>
      </c>
      <c r="H4546">
        <v>0</v>
      </c>
      <c r="I4546" t="s">
        <v>47</v>
      </c>
      <c r="J4546" t="s">
        <v>22</v>
      </c>
      <c r="K4546" t="s">
        <v>37</v>
      </c>
      <c r="L4546">
        <f>F4545*G4545*(1-H4545)</f>
        <v>2397</v>
      </c>
    </row>
    <row r="4547" spans="1:12">
      <c r="A4547" t="s">
        <v>5380</v>
      </c>
      <c r="B4547" s="1">
        <v>46202</v>
      </c>
      <c r="C4547" t="s">
        <v>2111</v>
      </c>
      <c r="D4547" t="s">
        <v>78</v>
      </c>
      <c r="E4547" t="s">
        <v>21</v>
      </c>
      <c r="F4547">
        <v>2</v>
      </c>
      <c r="G4547">
        <v>499</v>
      </c>
      <c r="H4547">
        <v>0.15</v>
      </c>
      <c r="I4547" t="s">
        <v>50</v>
      </c>
      <c r="J4547" t="s">
        <v>36</v>
      </c>
      <c r="K4547" t="s">
        <v>17</v>
      </c>
      <c r="L4547">
        <f>F4546*G4546*(1-H4546)</f>
        <v>39995</v>
      </c>
    </row>
    <row r="4548" spans="1:12">
      <c r="A4548" t="s">
        <v>5381</v>
      </c>
      <c r="B4548" s="1">
        <v>46145</v>
      </c>
      <c r="C4548" t="s">
        <v>548</v>
      </c>
      <c r="D4548" t="s">
        <v>26</v>
      </c>
      <c r="E4548" t="s">
        <v>35</v>
      </c>
      <c r="F4548">
        <v>2</v>
      </c>
      <c r="G4548">
        <v>1499</v>
      </c>
      <c r="H4548">
        <v>0.1</v>
      </c>
      <c r="I4548" t="s">
        <v>15</v>
      </c>
      <c r="J4548" t="s">
        <v>36</v>
      </c>
      <c r="K4548" t="s">
        <v>37</v>
      </c>
      <c r="L4548">
        <f>F4547*G4547*(1-H4547)</f>
        <v>848.3</v>
      </c>
    </row>
    <row r="4549" spans="1:12">
      <c r="A4549" t="s">
        <v>5382</v>
      </c>
      <c r="B4549" s="1">
        <v>46213</v>
      </c>
      <c r="C4549" t="s">
        <v>1632</v>
      </c>
      <c r="D4549" t="s">
        <v>26</v>
      </c>
      <c r="E4549" t="s">
        <v>14</v>
      </c>
      <c r="F4549">
        <v>1</v>
      </c>
      <c r="G4549">
        <v>499</v>
      </c>
      <c r="H4549">
        <v>0</v>
      </c>
      <c r="I4549" t="s">
        <v>32</v>
      </c>
      <c r="J4549" t="s">
        <v>51</v>
      </c>
      <c r="K4549" t="s">
        <v>17</v>
      </c>
      <c r="L4549">
        <f>F4548*G4548*(1-H4548)</f>
        <v>2698.2000000000003</v>
      </c>
    </row>
    <row r="4550" spans="1:12">
      <c r="A4550" t="s">
        <v>5383</v>
      </c>
      <c r="B4550" s="1">
        <v>46176</v>
      </c>
      <c r="C4550" t="s">
        <v>3672</v>
      </c>
      <c r="D4550" t="s">
        <v>13</v>
      </c>
      <c r="E4550" t="s">
        <v>21</v>
      </c>
      <c r="F4550">
        <v>4</v>
      </c>
      <c r="G4550">
        <v>7999</v>
      </c>
      <c r="H4550">
        <v>0.05</v>
      </c>
      <c r="I4550" t="s">
        <v>32</v>
      </c>
      <c r="J4550" t="s">
        <v>51</v>
      </c>
      <c r="K4550" t="s">
        <v>17</v>
      </c>
      <c r="L4550">
        <f>F4549*G4549*(1-H4549)</f>
        <v>499</v>
      </c>
    </row>
    <row r="4551" spans="1:12">
      <c r="A4551" t="s">
        <v>5384</v>
      </c>
      <c r="B4551" s="1">
        <v>46271</v>
      </c>
      <c r="C4551" t="s">
        <v>536</v>
      </c>
      <c r="D4551" t="s">
        <v>31</v>
      </c>
      <c r="E4551" t="s">
        <v>21</v>
      </c>
      <c r="F4551">
        <v>2</v>
      </c>
      <c r="G4551">
        <v>1299</v>
      </c>
      <c r="H4551">
        <v>0</v>
      </c>
      <c r="I4551" t="s">
        <v>32</v>
      </c>
      <c r="J4551" t="s">
        <v>36</v>
      </c>
      <c r="K4551" t="s">
        <v>37</v>
      </c>
      <c r="L4551">
        <f>F4550*G4550*(1-H4550)</f>
        <v>30396.199999999997</v>
      </c>
    </row>
    <row r="4552" spans="1:12">
      <c r="A4552" t="s">
        <v>5385</v>
      </c>
      <c r="B4552" s="1">
        <v>46190</v>
      </c>
      <c r="C4552" t="s">
        <v>1028</v>
      </c>
      <c r="D4552" t="s">
        <v>56</v>
      </c>
      <c r="E4552" t="s">
        <v>14</v>
      </c>
      <c r="F4552">
        <v>2</v>
      </c>
      <c r="G4552">
        <v>2499</v>
      </c>
      <c r="H4552">
        <v>0.15</v>
      </c>
      <c r="I4552" t="s">
        <v>15</v>
      </c>
      <c r="J4552" t="s">
        <v>28</v>
      </c>
      <c r="K4552" t="s">
        <v>17</v>
      </c>
      <c r="L4552">
        <f>F4551*G4551*(1-H4551)</f>
        <v>2598</v>
      </c>
    </row>
    <row r="4553" spans="1:12">
      <c r="A4553" t="s">
        <v>5386</v>
      </c>
      <c r="B4553" s="1">
        <v>46154</v>
      </c>
      <c r="C4553" t="s">
        <v>1188</v>
      </c>
      <c r="D4553" t="s">
        <v>59</v>
      </c>
      <c r="E4553" t="s">
        <v>14</v>
      </c>
      <c r="F4553">
        <v>2</v>
      </c>
      <c r="G4553">
        <v>999</v>
      </c>
      <c r="H4553">
        <v>0.15</v>
      </c>
      <c r="I4553" t="s">
        <v>32</v>
      </c>
      <c r="J4553" t="s">
        <v>16</v>
      </c>
      <c r="K4553" t="s">
        <v>23</v>
      </c>
      <c r="L4553">
        <f>F4552*G4552*(1-H4552)</f>
        <v>4248.3</v>
      </c>
    </row>
    <row r="4554" spans="1:12">
      <c r="A4554" t="s">
        <v>5387</v>
      </c>
      <c r="B4554" s="1">
        <v>46057</v>
      </c>
      <c r="C4554" t="s">
        <v>1432</v>
      </c>
      <c r="D4554" t="s">
        <v>71</v>
      </c>
      <c r="E4554" t="s">
        <v>40</v>
      </c>
      <c r="F4554">
        <v>1</v>
      </c>
      <c r="G4554">
        <v>2499</v>
      </c>
      <c r="H4554">
        <v>0.05</v>
      </c>
      <c r="I4554" t="s">
        <v>32</v>
      </c>
      <c r="J4554" t="s">
        <v>51</v>
      </c>
      <c r="K4554" t="s">
        <v>17</v>
      </c>
      <c r="L4554">
        <f>F4553*G4553*(1-H4553)</f>
        <v>1698.3</v>
      </c>
    </row>
    <row r="4555" spans="1:12">
      <c r="A4555" t="s">
        <v>5388</v>
      </c>
      <c r="B4555" s="1">
        <v>46220</v>
      </c>
      <c r="C4555" t="s">
        <v>432</v>
      </c>
      <c r="D4555" t="s">
        <v>78</v>
      </c>
      <c r="E4555" t="s">
        <v>27</v>
      </c>
      <c r="F4555">
        <v>3</v>
      </c>
      <c r="G4555">
        <v>599</v>
      </c>
      <c r="H4555">
        <v>0.15</v>
      </c>
      <c r="I4555" t="s">
        <v>50</v>
      </c>
      <c r="J4555" t="s">
        <v>36</v>
      </c>
      <c r="K4555" t="s">
        <v>17</v>
      </c>
      <c r="L4555">
        <f>F4554*G4554*(1-H4554)</f>
        <v>2374.0499999999997</v>
      </c>
    </row>
    <row r="4556" spans="1:12">
      <c r="A4556" t="s">
        <v>5389</v>
      </c>
      <c r="B4556" s="1">
        <v>46147</v>
      </c>
      <c r="C4556" t="s">
        <v>2224</v>
      </c>
      <c r="D4556" t="s">
        <v>62</v>
      </c>
      <c r="E4556" t="s">
        <v>27</v>
      </c>
      <c r="F4556">
        <v>1</v>
      </c>
      <c r="G4556">
        <v>1999</v>
      </c>
      <c r="H4556">
        <v>0.15</v>
      </c>
      <c r="I4556" t="s">
        <v>47</v>
      </c>
      <c r="J4556" t="s">
        <v>28</v>
      </c>
      <c r="K4556" t="s">
        <v>23</v>
      </c>
      <c r="L4556">
        <f>F4555*G4555*(1-H4555)</f>
        <v>1527.45</v>
      </c>
    </row>
    <row r="4557" spans="1:12">
      <c r="A4557" t="s">
        <v>5390</v>
      </c>
      <c r="B4557" s="1">
        <v>46149</v>
      </c>
      <c r="C4557" t="s">
        <v>3317</v>
      </c>
      <c r="D4557" t="s">
        <v>43</v>
      </c>
      <c r="E4557" t="s">
        <v>27</v>
      </c>
      <c r="F4557">
        <v>1</v>
      </c>
      <c r="G4557">
        <v>499</v>
      </c>
      <c r="H4557">
        <v>0.05</v>
      </c>
      <c r="I4557" t="s">
        <v>44</v>
      </c>
      <c r="J4557" t="s">
        <v>36</v>
      </c>
      <c r="K4557" t="s">
        <v>23</v>
      </c>
      <c r="L4557">
        <f>F4556*G4556*(1-H4556)</f>
        <v>1699.1499999999999</v>
      </c>
    </row>
    <row r="4558" spans="1:12">
      <c r="A4558" t="s">
        <v>5391</v>
      </c>
      <c r="B4558" s="1">
        <v>46025</v>
      </c>
      <c r="C4558" t="s">
        <v>550</v>
      </c>
      <c r="D4558" t="s">
        <v>78</v>
      </c>
      <c r="E4558" t="s">
        <v>27</v>
      </c>
      <c r="F4558">
        <v>1</v>
      </c>
      <c r="G4558">
        <v>1299</v>
      </c>
      <c r="H4558">
        <v>0</v>
      </c>
      <c r="I4558" t="s">
        <v>32</v>
      </c>
      <c r="J4558" t="s">
        <v>51</v>
      </c>
      <c r="K4558" t="s">
        <v>17</v>
      </c>
      <c r="L4558">
        <f>F4557*G4557*(1-H4557)</f>
        <v>474.04999999999995</v>
      </c>
    </row>
    <row r="4559" spans="1:12">
      <c r="A4559" t="s">
        <v>5392</v>
      </c>
      <c r="B4559" s="1">
        <v>46073</v>
      </c>
      <c r="C4559" t="s">
        <v>3252</v>
      </c>
      <c r="D4559" t="s">
        <v>62</v>
      </c>
      <c r="E4559" t="s">
        <v>14</v>
      </c>
      <c r="F4559">
        <v>4</v>
      </c>
      <c r="G4559">
        <v>499</v>
      </c>
      <c r="H4559">
        <v>0</v>
      </c>
      <c r="I4559" t="s">
        <v>50</v>
      </c>
      <c r="J4559" t="s">
        <v>22</v>
      </c>
      <c r="K4559" t="s">
        <v>17</v>
      </c>
      <c r="L4559">
        <f>F4558*G4558*(1-H4558)</f>
        <v>1299</v>
      </c>
    </row>
    <row r="4560" spans="1:12">
      <c r="A4560" t="s">
        <v>5393</v>
      </c>
      <c r="B4560" s="1">
        <v>46178</v>
      </c>
      <c r="C4560" t="s">
        <v>55</v>
      </c>
      <c r="D4560" t="s">
        <v>71</v>
      </c>
      <c r="E4560" t="s">
        <v>21</v>
      </c>
      <c r="F4560">
        <v>1</v>
      </c>
      <c r="G4560">
        <v>4999</v>
      </c>
      <c r="H4560">
        <v>0</v>
      </c>
      <c r="I4560" t="s">
        <v>32</v>
      </c>
      <c r="J4560" t="s">
        <v>16</v>
      </c>
      <c r="K4560" t="s">
        <v>17</v>
      </c>
      <c r="L4560">
        <f>F4559*G4559*(1-H4559)</f>
        <v>1996</v>
      </c>
    </row>
    <row r="4561" spans="1:12">
      <c r="A4561" t="s">
        <v>5394</v>
      </c>
      <c r="B4561" s="1">
        <v>46173</v>
      </c>
      <c r="C4561" t="s">
        <v>577</v>
      </c>
      <c r="D4561" t="s">
        <v>13</v>
      </c>
      <c r="E4561" t="s">
        <v>21</v>
      </c>
      <c r="F4561">
        <v>3</v>
      </c>
      <c r="G4561">
        <v>799</v>
      </c>
      <c r="H4561">
        <v>0</v>
      </c>
      <c r="I4561" t="s">
        <v>15</v>
      </c>
      <c r="J4561" t="s">
        <v>28</v>
      </c>
      <c r="K4561" t="s">
        <v>23</v>
      </c>
      <c r="L4561">
        <f>F4560*G4560*(1-H4560)</f>
        <v>4999</v>
      </c>
    </row>
    <row r="4562" spans="1:12">
      <c r="A4562" t="s">
        <v>5395</v>
      </c>
      <c r="B4562" s="1">
        <v>46291</v>
      </c>
      <c r="C4562" t="s">
        <v>432</v>
      </c>
      <c r="D4562" t="s">
        <v>59</v>
      </c>
      <c r="E4562" t="s">
        <v>21</v>
      </c>
      <c r="F4562">
        <v>5</v>
      </c>
      <c r="G4562">
        <v>1499</v>
      </c>
      <c r="H4562">
        <v>0.05</v>
      </c>
      <c r="I4562" t="s">
        <v>50</v>
      </c>
      <c r="J4562" t="s">
        <v>28</v>
      </c>
      <c r="K4562" t="s">
        <v>37</v>
      </c>
      <c r="L4562">
        <f>F4561*G4561*(1-H4561)</f>
        <v>2397</v>
      </c>
    </row>
    <row r="4563" spans="1:12">
      <c r="A4563" t="s">
        <v>5396</v>
      </c>
      <c r="B4563" s="1">
        <v>46204</v>
      </c>
      <c r="C4563" t="s">
        <v>974</v>
      </c>
      <c r="D4563" t="s">
        <v>20</v>
      </c>
      <c r="E4563" t="s">
        <v>40</v>
      </c>
      <c r="F4563">
        <v>3</v>
      </c>
      <c r="G4563">
        <v>999</v>
      </c>
      <c r="H4563">
        <v>0</v>
      </c>
      <c r="I4563" t="s">
        <v>15</v>
      </c>
      <c r="J4563" t="s">
        <v>16</v>
      </c>
      <c r="K4563" t="s">
        <v>17</v>
      </c>
      <c r="L4563">
        <f>F4562*G4562*(1-H4562)</f>
        <v>7120.25</v>
      </c>
    </row>
    <row r="4564" spans="1:12">
      <c r="A4564" t="s">
        <v>5397</v>
      </c>
      <c r="B4564" s="1">
        <v>46245</v>
      </c>
      <c r="C4564" t="s">
        <v>46</v>
      </c>
      <c r="D4564" t="s">
        <v>56</v>
      </c>
      <c r="E4564" t="s">
        <v>35</v>
      </c>
      <c r="F4564">
        <v>1</v>
      </c>
      <c r="G4564">
        <v>2499</v>
      </c>
      <c r="H4564">
        <v>0</v>
      </c>
      <c r="I4564" t="s">
        <v>15</v>
      </c>
      <c r="J4564" t="s">
        <v>22</v>
      </c>
      <c r="K4564" t="s">
        <v>17</v>
      </c>
      <c r="L4564">
        <f>F4563*G4563*(1-H4563)</f>
        <v>2997</v>
      </c>
    </row>
    <row r="4565" spans="1:12">
      <c r="A4565" t="s">
        <v>5398</v>
      </c>
      <c r="B4565" s="1">
        <v>46203</v>
      </c>
      <c r="C4565" t="s">
        <v>741</v>
      </c>
      <c r="D4565" t="s">
        <v>43</v>
      </c>
      <c r="E4565" t="s">
        <v>14</v>
      </c>
      <c r="F4565">
        <v>2</v>
      </c>
      <c r="G4565">
        <v>2499</v>
      </c>
      <c r="H4565">
        <v>0</v>
      </c>
      <c r="I4565" t="s">
        <v>47</v>
      </c>
      <c r="J4565" t="s">
        <v>36</v>
      </c>
      <c r="K4565" t="s">
        <v>17</v>
      </c>
      <c r="L4565">
        <f>F4564*G4564*(1-H4564)</f>
        <v>2499</v>
      </c>
    </row>
    <row r="4566" spans="1:12">
      <c r="A4566" t="s">
        <v>5399</v>
      </c>
      <c r="B4566" s="1">
        <v>46030</v>
      </c>
      <c r="C4566" t="s">
        <v>2320</v>
      </c>
      <c r="D4566" t="s">
        <v>26</v>
      </c>
      <c r="E4566" t="s">
        <v>40</v>
      </c>
      <c r="F4566">
        <v>3</v>
      </c>
      <c r="G4566">
        <v>1999</v>
      </c>
      <c r="H4566">
        <v>0</v>
      </c>
      <c r="I4566" t="s">
        <v>47</v>
      </c>
      <c r="J4566" t="s">
        <v>16</v>
      </c>
      <c r="K4566" t="s">
        <v>17</v>
      </c>
      <c r="L4566">
        <f>F4565*G4565*(1-H4565)</f>
        <v>4998</v>
      </c>
    </row>
    <row r="4567" spans="1:12">
      <c r="A4567" t="s">
        <v>5400</v>
      </c>
      <c r="B4567" s="1">
        <v>46137</v>
      </c>
      <c r="C4567" t="s">
        <v>1031</v>
      </c>
      <c r="D4567" t="s">
        <v>71</v>
      </c>
      <c r="E4567" t="s">
        <v>27</v>
      </c>
      <c r="F4567">
        <v>3</v>
      </c>
      <c r="G4567">
        <v>1999</v>
      </c>
      <c r="H4567">
        <v>0.1</v>
      </c>
      <c r="I4567" t="s">
        <v>15</v>
      </c>
      <c r="J4567" t="s">
        <v>36</v>
      </c>
      <c r="K4567" t="s">
        <v>23</v>
      </c>
      <c r="L4567">
        <f>F4566*G4566*(1-H4566)</f>
        <v>5997</v>
      </c>
    </row>
    <row r="4568" spans="1:12">
      <c r="A4568" t="s">
        <v>5401</v>
      </c>
      <c r="B4568" s="1">
        <v>46087</v>
      </c>
      <c r="C4568" t="s">
        <v>500</v>
      </c>
      <c r="D4568" t="s">
        <v>62</v>
      </c>
      <c r="E4568" t="s">
        <v>14</v>
      </c>
      <c r="F4568">
        <v>3</v>
      </c>
      <c r="G4568">
        <v>1999</v>
      </c>
      <c r="H4568">
        <v>0.15</v>
      </c>
      <c r="I4568" t="s">
        <v>32</v>
      </c>
      <c r="J4568" t="s">
        <v>16</v>
      </c>
      <c r="K4568" t="s">
        <v>17</v>
      </c>
      <c r="L4568">
        <f>F4567*G4567*(1-H4567)</f>
        <v>5397.3</v>
      </c>
    </row>
    <row r="4569" spans="1:12">
      <c r="A4569" t="s">
        <v>5402</v>
      </c>
      <c r="B4569" s="1">
        <v>46181</v>
      </c>
      <c r="C4569" t="s">
        <v>3757</v>
      </c>
      <c r="D4569" t="s">
        <v>13</v>
      </c>
      <c r="E4569" t="s">
        <v>40</v>
      </c>
      <c r="F4569">
        <v>3</v>
      </c>
      <c r="G4569">
        <v>499</v>
      </c>
      <c r="H4569">
        <v>0</v>
      </c>
      <c r="I4569" t="s">
        <v>15</v>
      </c>
      <c r="J4569" t="s">
        <v>16</v>
      </c>
      <c r="K4569" t="s">
        <v>17</v>
      </c>
      <c r="L4569">
        <f>F4568*G4568*(1-H4568)</f>
        <v>5097.45</v>
      </c>
    </row>
    <row r="4570" spans="1:12">
      <c r="A4570" t="s">
        <v>5403</v>
      </c>
      <c r="B4570" s="1">
        <v>46029</v>
      </c>
      <c r="C4570" t="s">
        <v>545</v>
      </c>
      <c r="D4570" t="s">
        <v>43</v>
      </c>
      <c r="E4570" t="s">
        <v>35</v>
      </c>
      <c r="F4570">
        <v>4</v>
      </c>
      <c r="G4570">
        <v>499</v>
      </c>
      <c r="H4570">
        <v>0</v>
      </c>
      <c r="I4570" t="s">
        <v>50</v>
      </c>
      <c r="J4570" t="s">
        <v>22</v>
      </c>
      <c r="K4570" t="s">
        <v>17</v>
      </c>
      <c r="L4570">
        <f>F4569*G4569*(1-H4569)</f>
        <v>1497</v>
      </c>
    </row>
    <row r="4571" spans="1:12">
      <c r="A4571" t="s">
        <v>5404</v>
      </c>
      <c r="B4571" s="1">
        <v>46178</v>
      </c>
      <c r="C4571" t="s">
        <v>2463</v>
      </c>
      <c r="D4571" t="s">
        <v>56</v>
      </c>
      <c r="E4571" t="s">
        <v>40</v>
      </c>
      <c r="F4571">
        <v>2</v>
      </c>
      <c r="G4571">
        <v>1499</v>
      </c>
      <c r="H4571">
        <v>0.05</v>
      </c>
      <c r="I4571" t="s">
        <v>15</v>
      </c>
      <c r="J4571" t="s">
        <v>36</v>
      </c>
      <c r="K4571" t="s">
        <v>37</v>
      </c>
      <c r="L4571">
        <f>F4570*G4570*(1-H4570)</f>
        <v>1996</v>
      </c>
    </row>
    <row r="4572" spans="1:12">
      <c r="A4572" t="s">
        <v>5405</v>
      </c>
      <c r="B4572" s="1">
        <v>46288</v>
      </c>
      <c r="C4572" t="s">
        <v>509</v>
      </c>
      <c r="D4572" t="s">
        <v>20</v>
      </c>
      <c r="E4572" t="s">
        <v>27</v>
      </c>
      <c r="F4572">
        <v>1</v>
      </c>
      <c r="G4572">
        <v>999</v>
      </c>
      <c r="H4572">
        <v>0</v>
      </c>
      <c r="I4572" t="s">
        <v>50</v>
      </c>
      <c r="J4572" t="s">
        <v>51</v>
      </c>
      <c r="K4572" t="s">
        <v>37</v>
      </c>
      <c r="L4572">
        <f>F4571*G4571*(1-H4571)</f>
        <v>2848.1</v>
      </c>
    </row>
    <row r="4573" spans="1:12">
      <c r="A4573" t="s">
        <v>5406</v>
      </c>
      <c r="B4573" s="1">
        <v>46172</v>
      </c>
      <c r="C4573" t="s">
        <v>699</v>
      </c>
      <c r="D4573" t="s">
        <v>43</v>
      </c>
      <c r="E4573" t="s">
        <v>14</v>
      </c>
      <c r="F4573">
        <v>4</v>
      </c>
      <c r="G4573">
        <v>599</v>
      </c>
      <c r="H4573">
        <v>0</v>
      </c>
      <c r="I4573" t="s">
        <v>47</v>
      </c>
      <c r="J4573" t="s">
        <v>28</v>
      </c>
      <c r="K4573" t="s">
        <v>23</v>
      </c>
      <c r="L4573">
        <f>F4572*G4572*(1-H4572)</f>
        <v>999</v>
      </c>
    </row>
    <row r="4574" spans="1:12">
      <c r="A4574" t="s">
        <v>5407</v>
      </c>
      <c r="B4574" s="1">
        <v>46093</v>
      </c>
      <c r="C4574" t="s">
        <v>2270</v>
      </c>
      <c r="D4574" t="s">
        <v>43</v>
      </c>
      <c r="E4574" t="s">
        <v>14</v>
      </c>
      <c r="F4574">
        <v>1</v>
      </c>
      <c r="G4574">
        <v>1499</v>
      </c>
      <c r="H4574">
        <v>0.15</v>
      </c>
      <c r="I4574" t="s">
        <v>15</v>
      </c>
      <c r="J4574" t="s">
        <v>28</v>
      </c>
      <c r="K4574" t="s">
        <v>37</v>
      </c>
      <c r="L4574">
        <f>F4573*G4573*(1-H4573)</f>
        <v>2396</v>
      </c>
    </row>
    <row r="4575" spans="1:12">
      <c r="A4575" t="s">
        <v>5408</v>
      </c>
      <c r="B4575" s="1">
        <v>46284</v>
      </c>
      <c r="C4575" t="s">
        <v>929</v>
      </c>
      <c r="D4575" t="s">
        <v>43</v>
      </c>
      <c r="E4575" t="s">
        <v>21</v>
      </c>
      <c r="F4575">
        <v>2</v>
      </c>
      <c r="G4575">
        <v>1499</v>
      </c>
      <c r="H4575">
        <v>0</v>
      </c>
      <c r="I4575" t="s">
        <v>47</v>
      </c>
      <c r="J4575" t="s">
        <v>16</v>
      </c>
      <c r="K4575" t="s">
        <v>23</v>
      </c>
      <c r="L4575">
        <f>F4574*G4574*(1-H4574)</f>
        <v>1274.1499999999999</v>
      </c>
    </row>
    <row r="4576" spans="1:12">
      <c r="A4576" t="s">
        <v>5409</v>
      </c>
      <c r="B4576" s="1">
        <v>46191</v>
      </c>
      <c r="C4576" t="s">
        <v>1213</v>
      </c>
      <c r="D4576" t="s">
        <v>26</v>
      </c>
      <c r="E4576" t="s">
        <v>40</v>
      </c>
      <c r="F4576">
        <v>2</v>
      </c>
      <c r="G4576">
        <v>2499</v>
      </c>
      <c r="H4576">
        <v>0.15</v>
      </c>
      <c r="I4576" t="s">
        <v>32</v>
      </c>
      <c r="J4576" t="s">
        <v>51</v>
      </c>
      <c r="K4576" t="s">
        <v>37</v>
      </c>
      <c r="L4576">
        <f>F4575*G4575*(1-H4575)</f>
        <v>2998</v>
      </c>
    </row>
    <row r="4577" spans="1:12">
      <c r="A4577" t="s">
        <v>5410</v>
      </c>
      <c r="B4577" s="1">
        <v>46159</v>
      </c>
      <c r="C4577" t="s">
        <v>2113</v>
      </c>
      <c r="D4577" t="s">
        <v>62</v>
      </c>
      <c r="E4577" t="s">
        <v>35</v>
      </c>
      <c r="F4577">
        <v>3</v>
      </c>
      <c r="G4577">
        <v>499</v>
      </c>
      <c r="H4577">
        <v>0.15</v>
      </c>
      <c r="I4577" t="s">
        <v>50</v>
      </c>
      <c r="J4577" t="s">
        <v>51</v>
      </c>
      <c r="K4577" t="s">
        <v>17</v>
      </c>
      <c r="L4577">
        <f>F4576*G4576*(1-H4576)</f>
        <v>4248.3</v>
      </c>
    </row>
    <row r="4578" spans="1:12">
      <c r="A4578" t="s">
        <v>5411</v>
      </c>
      <c r="B4578" s="1">
        <v>46295</v>
      </c>
      <c r="C4578" t="s">
        <v>1357</v>
      </c>
      <c r="D4578" t="s">
        <v>71</v>
      </c>
      <c r="E4578" t="s">
        <v>27</v>
      </c>
      <c r="F4578">
        <v>1</v>
      </c>
      <c r="G4578">
        <v>599</v>
      </c>
      <c r="H4578">
        <v>0.15</v>
      </c>
      <c r="I4578" t="s">
        <v>50</v>
      </c>
      <c r="J4578" t="s">
        <v>28</v>
      </c>
      <c r="K4578" t="s">
        <v>37</v>
      </c>
      <c r="L4578">
        <f>F4577*G4577*(1-H4577)</f>
        <v>1272.45</v>
      </c>
    </row>
    <row r="4579" spans="1:12">
      <c r="A4579" t="s">
        <v>5412</v>
      </c>
      <c r="B4579" s="1">
        <v>46118</v>
      </c>
      <c r="C4579" t="s">
        <v>1716</v>
      </c>
      <c r="D4579" t="s">
        <v>20</v>
      </c>
      <c r="E4579" t="s">
        <v>35</v>
      </c>
      <c r="F4579">
        <v>3</v>
      </c>
      <c r="G4579">
        <v>1999</v>
      </c>
      <c r="H4579">
        <v>0.05</v>
      </c>
      <c r="I4579" t="s">
        <v>32</v>
      </c>
      <c r="J4579" t="s">
        <v>51</v>
      </c>
      <c r="K4579" t="s">
        <v>37</v>
      </c>
      <c r="L4579">
        <f>F4578*G4578*(1-H4578)</f>
        <v>509.15</v>
      </c>
    </row>
    <row r="4580" spans="1:12">
      <c r="A4580" t="s">
        <v>5413</v>
      </c>
      <c r="B4580" s="1">
        <v>46139</v>
      </c>
      <c r="C4580" t="s">
        <v>597</v>
      </c>
      <c r="D4580" t="s">
        <v>26</v>
      </c>
      <c r="E4580" t="s">
        <v>40</v>
      </c>
      <c r="F4580">
        <v>2</v>
      </c>
      <c r="G4580">
        <v>799</v>
      </c>
      <c r="H4580">
        <v>0.05</v>
      </c>
      <c r="I4580" t="s">
        <v>50</v>
      </c>
      <c r="J4580" t="s">
        <v>22</v>
      </c>
      <c r="K4580" t="s">
        <v>17</v>
      </c>
      <c r="L4580">
        <f>F4579*G4579*(1-H4579)</f>
        <v>5697.15</v>
      </c>
    </row>
    <row r="4581" spans="1:12">
      <c r="A4581" t="s">
        <v>5414</v>
      </c>
      <c r="B4581" s="1">
        <v>46044</v>
      </c>
      <c r="C4581" t="s">
        <v>4192</v>
      </c>
      <c r="D4581" t="s">
        <v>78</v>
      </c>
      <c r="E4581" t="s">
        <v>21</v>
      </c>
      <c r="F4581">
        <v>1</v>
      </c>
      <c r="G4581">
        <v>1299</v>
      </c>
      <c r="H4581">
        <v>0.05</v>
      </c>
      <c r="I4581" t="s">
        <v>44</v>
      </c>
      <c r="J4581" t="s">
        <v>22</v>
      </c>
      <c r="K4581" t="s">
        <v>37</v>
      </c>
      <c r="L4581">
        <f>F4580*G4580*(1-H4580)</f>
        <v>1518.1</v>
      </c>
    </row>
    <row r="4582" spans="1:12">
      <c r="A4582" t="s">
        <v>5415</v>
      </c>
      <c r="B4582" s="1">
        <v>46198</v>
      </c>
      <c r="C4582" t="s">
        <v>452</v>
      </c>
      <c r="D4582" t="s">
        <v>20</v>
      </c>
      <c r="E4582" t="s">
        <v>14</v>
      </c>
      <c r="F4582">
        <v>1</v>
      </c>
      <c r="G4582">
        <v>499</v>
      </c>
      <c r="H4582">
        <v>0.15</v>
      </c>
      <c r="I4582" t="s">
        <v>32</v>
      </c>
      <c r="J4582" t="s">
        <v>16</v>
      </c>
      <c r="K4582" t="s">
        <v>37</v>
      </c>
      <c r="L4582">
        <f>F4581*G4581*(1-H4581)</f>
        <v>1234.05</v>
      </c>
    </row>
    <row r="4583" spans="1:12">
      <c r="A4583" t="s">
        <v>5416</v>
      </c>
      <c r="B4583" s="1">
        <v>46129</v>
      </c>
      <c r="C4583" t="s">
        <v>1066</v>
      </c>
      <c r="D4583" t="s">
        <v>71</v>
      </c>
      <c r="E4583" t="s">
        <v>40</v>
      </c>
      <c r="F4583">
        <v>5</v>
      </c>
      <c r="G4583">
        <v>4999</v>
      </c>
      <c r="H4583">
        <v>0.15</v>
      </c>
      <c r="I4583" t="s">
        <v>44</v>
      </c>
      <c r="J4583" t="s">
        <v>22</v>
      </c>
      <c r="K4583" t="s">
        <v>17</v>
      </c>
      <c r="L4583">
        <f>F4582*G4582*(1-H4582)</f>
        <v>424.15</v>
      </c>
    </row>
    <row r="4584" spans="1:12">
      <c r="A4584" t="s">
        <v>5417</v>
      </c>
      <c r="B4584" s="1">
        <v>46159</v>
      </c>
      <c r="C4584" t="s">
        <v>205</v>
      </c>
      <c r="D4584" t="s">
        <v>43</v>
      </c>
      <c r="E4584" t="s">
        <v>14</v>
      </c>
      <c r="F4584">
        <v>2</v>
      </c>
      <c r="G4584">
        <v>999</v>
      </c>
      <c r="H4584">
        <v>0.15</v>
      </c>
      <c r="I4584" t="s">
        <v>44</v>
      </c>
      <c r="J4584" t="s">
        <v>51</v>
      </c>
      <c r="K4584" t="s">
        <v>17</v>
      </c>
      <c r="L4584">
        <f>F4583*G4583*(1-H4583)</f>
        <v>21245.75</v>
      </c>
    </row>
    <row r="4585" spans="1:12">
      <c r="A4585" t="s">
        <v>5418</v>
      </c>
      <c r="B4585" s="1">
        <v>46036</v>
      </c>
      <c r="C4585" t="s">
        <v>134</v>
      </c>
      <c r="D4585" t="s">
        <v>20</v>
      </c>
      <c r="E4585" t="s">
        <v>27</v>
      </c>
      <c r="F4585">
        <v>5</v>
      </c>
      <c r="G4585">
        <v>1499</v>
      </c>
      <c r="H4585">
        <v>0.05</v>
      </c>
      <c r="I4585" t="s">
        <v>15</v>
      </c>
      <c r="J4585" t="s">
        <v>16</v>
      </c>
      <c r="K4585" t="s">
        <v>17</v>
      </c>
      <c r="L4585">
        <f>F4584*G4584*(1-H4584)</f>
        <v>1698.3</v>
      </c>
    </row>
    <row r="4586" spans="1:12">
      <c r="A4586" t="s">
        <v>5419</v>
      </c>
      <c r="B4586" s="1">
        <v>46247</v>
      </c>
      <c r="C4586" t="s">
        <v>3006</v>
      </c>
      <c r="D4586" t="s">
        <v>59</v>
      </c>
      <c r="E4586" t="s">
        <v>35</v>
      </c>
      <c r="F4586">
        <v>2</v>
      </c>
      <c r="G4586">
        <v>1299</v>
      </c>
      <c r="H4586">
        <v>0</v>
      </c>
      <c r="I4586" t="s">
        <v>47</v>
      </c>
      <c r="J4586" t="s">
        <v>51</v>
      </c>
      <c r="K4586" t="s">
        <v>17</v>
      </c>
      <c r="L4586">
        <f>F4585*G4585*(1-H4585)</f>
        <v>7120.25</v>
      </c>
    </row>
    <row r="4587" spans="1:12">
      <c r="A4587" t="s">
        <v>5420</v>
      </c>
      <c r="B4587" s="1">
        <v>46152</v>
      </c>
      <c r="C4587" t="s">
        <v>1856</v>
      </c>
      <c r="D4587" t="s">
        <v>43</v>
      </c>
      <c r="E4587" t="s">
        <v>27</v>
      </c>
      <c r="F4587">
        <v>1</v>
      </c>
      <c r="G4587">
        <v>1499</v>
      </c>
      <c r="H4587">
        <v>0</v>
      </c>
      <c r="I4587" t="s">
        <v>32</v>
      </c>
      <c r="J4587" t="s">
        <v>36</v>
      </c>
      <c r="K4587" t="s">
        <v>37</v>
      </c>
      <c r="L4587">
        <f>F4586*G4586*(1-H4586)</f>
        <v>2598</v>
      </c>
    </row>
    <row r="4588" spans="1:12">
      <c r="A4588" t="s">
        <v>5421</v>
      </c>
      <c r="B4588" s="1">
        <v>46201</v>
      </c>
      <c r="C4588" t="s">
        <v>417</v>
      </c>
      <c r="D4588" t="s">
        <v>20</v>
      </c>
      <c r="E4588" t="s">
        <v>27</v>
      </c>
      <c r="F4588">
        <v>3</v>
      </c>
      <c r="G4588">
        <v>999</v>
      </c>
      <c r="H4588">
        <v>0</v>
      </c>
      <c r="I4588" t="s">
        <v>47</v>
      </c>
      <c r="J4588" t="s">
        <v>36</v>
      </c>
      <c r="K4588" t="s">
        <v>37</v>
      </c>
      <c r="L4588">
        <f>F4587*G4587*(1-H4587)</f>
        <v>1499</v>
      </c>
    </row>
    <row r="4589" spans="1:12">
      <c r="A4589" t="s">
        <v>5422</v>
      </c>
      <c r="B4589" s="1">
        <v>46274</v>
      </c>
      <c r="C4589" t="s">
        <v>2735</v>
      </c>
      <c r="D4589" t="s">
        <v>43</v>
      </c>
      <c r="E4589" t="s">
        <v>40</v>
      </c>
      <c r="F4589">
        <v>3</v>
      </c>
      <c r="G4589">
        <v>599</v>
      </c>
      <c r="H4589">
        <v>0.05</v>
      </c>
      <c r="I4589" t="s">
        <v>32</v>
      </c>
      <c r="J4589" t="s">
        <v>36</v>
      </c>
      <c r="K4589" t="s">
        <v>23</v>
      </c>
      <c r="L4589">
        <f>F4588*G4588*(1-H4588)</f>
        <v>2997</v>
      </c>
    </row>
    <row r="4590" spans="1:12">
      <c r="A4590" t="s">
        <v>5423</v>
      </c>
      <c r="B4590" s="1">
        <v>46247</v>
      </c>
      <c r="C4590" t="s">
        <v>2247</v>
      </c>
      <c r="D4590" t="s">
        <v>56</v>
      </c>
      <c r="E4590" t="s">
        <v>35</v>
      </c>
      <c r="F4590">
        <v>5</v>
      </c>
      <c r="G4590">
        <v>599</v>
      </c>
      <c r="H4590">
        <v>0</v>
      </c>
      <c r="I4590" t="s">
        <v>15</v>
      </c>
      <c r="J4590" t="s">
        <v>22</v>
      </c>
      <c r="K4590" t="s">
        <v>37</v>
      </c>
      <c r="L4590">
        <f>F4589*G4589*(1-H4589)</f>
        <v>1707.1499999999999</v>
      </c>
    </row>
    <row r="4591" spans="1:12">
      <c r="A4591" t="s">
        <v>5424</v>
      </c>
      <c r="B4591" s="1">
        <v>46113</v>
      </c>
      <c r="C4591" t="s">
        <v>4130</v>
      </c>
      <c r="D4591" t="s">
        <v>20</v>
      </c>
      <c r="E4591" t="s">
        <v>27</v>
      </c>
      <c r="F4591">
        <v>5</v>
      </c>
      <c r="G4591">
        <v>4999</v>
      </c>
      <c r="H4591">
        <v>0</v>
      </c>
      <c r="I4591" t="s">
        <v>32</v>
      </c>
      <c r="J4591" t="s">
        <v>51</v>
      </c>
      <c r="K4591" t="s">
        <v>17</v>
      </c>
      <c r="L4591">
        <f>F4590*G4590*(1-H4590)</f>
        <v>2995</v>
      </c>
    </row>
    <row r="4592" spans="1:12">
      <c r="A4592" t="s">
        <v>5425</v>
      </c>
      <c r="B4592" s="1">
        <v>46136</v>
      </c>
      <c r="C4592" t="s">
        <v>4405</v>
      </c>
      <c r="D4592" t="s">
        <v>78</v>
      </c>
      <c r="E4592" t="s">
        <v>35</v>
      </c>
      <c r="F4592">
        <v>3</v>
      </c>
      <c r="G4592">
        <v>599</v>
      </c>
      <c r="H4592">
        <v>0.1</v>
      </c>
      <c r="I4592" t="s">
        <v>50</v>
      </c>
      <c r="J4592" t="s">
        <v>28</v>
      </c>
      <c r="K4592" t="s">
        <v>17</v>
      </c>
      <c r="L4592">
        <f>F4591*G4591*(1-H4591)</f>
        <v>24995</v>
      </c>
    </row>
    <row r="4593" spans="1:12">
      <c r="A4593" t="s">
        <v>5426</v>
      </c>
      <c r="B4593" s="1">
        <v>46219</v>
      </c>
      <c r="C4593" t="s">
        <v>759</v>
      </c>
      <c r="D4593" t="s">
        <v>78</v>
      </c>
      <c r="E4593" t="s">
        <v>21</v>
      </c>
      <c r="F4593">
        <v>2</v>
      </c>
      <c r="G4593">
        <v>1999</v>
      </c>
      <c r="H4593">
        <v>0.1</v>
      </c>
      <c r="I4593" t="s">
        <v>15</v>
      </c>
      <c r="J4593" t="s">
        <v>22</v>
      </c>
      <c r="K4593" t="s">
        <v>23</v>
      </c>
      <c r="L4593">
        <f>F4592*G4592*(1-H4592)</f>
        <v>1617.3</v>
      </c>
    </row>
    <row r="4594" spans="1:12">
      <c r="A4594" t="s">
        <v>5427</v>
      </c>
      <c r="B4594" s="1">
        <v>46137</v>
      </c>
      <c r="C4594" t="s">
        <v>261</v>
      </c>
      <c r="D4594" t="s">
        <v>43</v>
      </c>
      <c r="E4594" t="s">
        <v>21</v>
      </c>
      <c r="F4594">
        <v>2</v>
      </c>
      <c r="G4594">
        <v>2499</v>
      </c>
      <c r="H4594">
        <v>0.1</v>
      </c>
      <c r="I4594" t="s">
        <v>15</v>
      </c>
      <c r="J4594" t="s">
        <v>51</v>
      </c>
      <c r="K4594" t="s">
        <v>17</v>
      </c>
      <c r="L4594">
        <f>F4593*G4593*(1-H4593)</f>
        <v>3598.2000000000003</v>
      </c>
    </row>
    <row r="4595" spans="1:12">
      <c r="A4595" t="s">
        <v>5428</v>
      </c>
      <c r="B4595" s="1">
        <v>46209</v>
      </c>
      <c r="C4595" t="s">
        <v>2205</v>
      </c>
      <c r="D4595" t="s">
        <v>43</v>
      </c>
      <c r="E4595" t="s">
        <v>27</v>
      </c>
      <c r="F4595">
        <v>1</v>
      </c>
      <c r="G4595">
        <v>799</v>
      </c>
      <c r="H4595">
        <v>0</v>
      </c>
      <c r="I4595" t="s">
        <v>32</v>
      </c>
      <c r="J4595" t="s">
        <v>16</v>
      </c>
      <c r="K4595" t="s">
        <v>37</v>
      </c>
      <c r="L4595">
        <f>F4594*G4594*(1-H4594)</f>
        <v>4498.2</v>
      </c>
    </row>
    <row r="4596" spans="1:12">
      <c r="A4596" t="s">
        <v>5429</v>
      </c>
      <c r="B4596" s="1">
        <v>46290</v>
      </c>
      <c r="C4596" t="s">
        <v>349</v>
      </c>
      <c r="D4596" t="s">
        <v>78</v>
      </c>
      <c r="E4596" t="s">
        <v>14</v>
      </c>
      <c r="F4596">
        <v>1</v>
      </c>
      <c r="G4596">
        <v>999</v>
      </c>
      <c r="H4596">
        <v>0</v>
      </c>
      <c r="I4596" t="s">
        <v>47</v>
      </c>
      <c r="J4596" t="s">
        <v>51</v>
      </c>
      <c r="K4596" t="s">
        <v>17</v>
      </c>
      <c r="L4596">
        <f>F4595*G4595*(1-H4595)</f>
        <v>799</v>
      </c>
    </row>
    <row r="4597" spans="1:12">
      <c r="A4597" t="s">
        <v>5430</v>
      </c>
      <c r="B4597" s="1">
        <v>46254</v>
      </c>
      <c r="C4597" t="s">
        <v>3414</v>
      </c>
      <c r="D4597" t="s">
        <v>13</v>
      </c>
      <c r="E4597" t="s">
        <v>35</v>
      </c>
      <c r="F4597">
        <v>4</v>
      </c>
      <c r="G4597">
        <v>1999</v>
      </c>
      <c r="H4597">
        <v>0.05</v>
      </c>
      <c r="I4597" t="s">
        <v>44</v>
      </c>
      <c r="J4597" t="s">
        <v>36</v>
      </c>
      <c r="K4597" t="s">
        <v>23</v>
      </c>
      <c r="L4597">
        <f>F4596*G4596*(1-H4596)</f>
        <v>999</v>
      </c>
    </row>
    <row r="4598" spans="1:12">
      <c r="A4598" t="s">
        <v>5431</v>
      </c>
      <c r="B4598" s="1">
        <v>46144</v>
      </c>
      <c r="C4598" t="s">
        <v>1382</v>
      </c>
      <c r="D4598" t="s">
        <v>31</v>
      </c>
      <c r="E4598" t="s">
        <v>21</v>
      </c>
      <c r="F4598">
        <v>5</v>
      </c>
      <c r="G4598">
        <v>2499</v>
      </c>
      <c r="H4598">
        <v>0</v>
      </c>
      <c r="I4598" t="s">
        <v>15</v>
      </c>
      <c r="J4598" t="s">
        <v>28</v>
      </c>
      <c r="K4598" t="s">
        <v>17</v>
      </c>
      <c r="L4598">
        <f>F4597*G4597*(1-H4597)</f>
        <v>7596.2</v>
      </c>
    </row>
    <row r="4599" spans="1:12">
      <c r="A4599" t="s">
        <v>5432</v>
      </c>
      <c r="B4599" s="1">
        <v>46211</v>
      </c>
      <c r="C4599" t="s">
        <v>4681</v>
      </c>
      <c r="D4599" t="s">
        <v>13</v>
      </c>
      <c r="E4599" t="s">
        <v>21</v>
      </c>
      <c r="F4599">
        <v>3</v>
      </c>
      <c r="G4599">
        <v>499</v>
      </c>
      <c r="H4599">
        <v>0</v>
      </c>
      <c r="I4599" t="s">
        <v>44</v>
      </c>
      <c r="J4599" t="s">
        <v>51</v>
      </c>
      <c r="K4599" t="s">
        <v>23</v>
      </c>
      <c r="L4599">
        <f>F4598*G4598*(1-H4598)</f>
        <v>12495</v>
      </c>
    </row>
    <row r="4600" spans="1:12">
      <c r="A4600" t="s">
        <v>5433</v>
      </c>
      <c r="B4600" s="1">
        <v>46125</v>
      </c>
      <c r="C4600" t="s">
        <v>4681</v>
      </c>
      <c r="D4600" t="s">
        <v>71</v>
      </c>
      <c r="E4600" t="s">
        <v>21</v>
      </c>
      <c r="F4600">
        <v>5</v>
      </c>
      <c r="G4600">
        <v>599</v>
      </c>
      <c r="H4600">
        <v>0.1</v>
      </c>
      <c r="I4600" t="s">
        <v>47</v>
      </c>
      <c r="J4600" t="s">
        <v>28</v>
      </c>
      <c r="K4600" t="s">
        <v>37</v>
      </c>
      <c r="L4600">
        <f>F4599*G4599*(1-H4599)</f>
        <v>1497</v>
      </c>
    </row>
    <row r="4601" spans="1:12">
      <c r="A4601" t="s">
        <v>5434</v>
      </c>
      <c r="B4601" s="1">
        <v>46053</v>
      </c>
      <c r="C4601" t="s">
        <v>1511</v>
      </c>
      <c r="D4601" t="s">
        <v>13</v>
      </c>
      <c r="E4601" t="s">
        <v>21</v>
      </c>
      <c r="F4601">
        <v>5</v>
      </c>
      <c r="G4601">
        <v>799</v>
      </c>
      <c r="H4601">
        <v>0.05</v>
      </c>
      <c r="I4601" t="s">
        <v>15</v>
      </c>
      <c r="J4601" t="s">
        <v>22</v>
      </c>
      <c r="K4601" t="s">
        <v>17</v>
      </c>
      <c r="L4601">
        <f>F4600*G4600*(1-H4600)</f>
        <v>2695.5</v>
      </c>
    </row>
    <row r="4602" spans="1:12">
      <c r="A4602" t="s">
        <v>5435</v>
      </c>
      <c r="B4602" s="1">
        <v>46062</v>
      </c>
      <c r="C4602" t="s">
        <v>1632</v>
      </c>
      <c r="D4602" t="s">
        <v>71</v>
      </c>
      <c r="E4602" t="s">
        <v>40</v>
      </c>
      <c r="F4602">
        <v>5</v>
      </c>
      <c r="G4602">
        <v>999</v>
      </c>
      <c r="H4602">
        <v>0</v>
      </c>
      <c r="I4602" t="s">
        <v>15</v>
      </c>
      <c r="J4602" t="s">
        <v>36</v>
      </c>
      <c r="K4602" t="s">
        <v>17</v>
      </c>
      <c r="L4602">
        <f>F4601*G4601*(1-H4601)</f>
        <v>3795.25</v>
      </c>
    </row>
    <row r="4603" spans="1:12">
      <c r="A4603" t="s">
        <v>5436</v>
      </c>
      <c r="B4603" s="1">
        <v>46204</v>
      </c>
      <c r="C4603" t="s">
        <v>2303</v>
      </c>
      <c r="D4603" t="s">
        <v>13</v>
      </c>
      <c r="E4603" t="s">
        <v>35</v>
      </c>
      <c r="F4603">
        <v>4</v>
      </c>
      <c r="G4603">
        <v>999</v>
      </c>
      <c r="H4603">
        <v>0.15</v>
      </c>
      <c r="I4603" t="s">
        <v>32</v>
      </c>
      <c r="J4603" t="s">
        <v>22</v>
      </c>
      <c r="K4603" t="s">
        <v>23</v>
      </c>
      <c r="L4603">
        <f>F4602*G4602*(1-H4602)</f>
        <v>4995</v>
      </c>
    </row>
    <row r="4604" spans="1:12">
      <c r="A4604" t="s">
        <v>5437</v>
      </c>
      <c r="B4604" s="1">
        <v>46181</v>
      </c>
      <c r="C4604" t="s">
        <v>1508</v>
      </c>
      <c r="D4604" t="s">
        <v>59</v>
      </c>
      <c r="E4604" t="s">
        <v>14</v>
      </c>
      <c r="F4604">
        <v>4</v>
      </c>
      <c r="G4604">
        <v>799</v>
      </c>
      <c r="H4604">
        <v>0.15</v>
      </c>
      <c r="I4604" t="s">
        <v>32</v>
      </c>
      <c r="J4604" t="s">
        <v>36</v>
      </c>
      <c r="K4604" t="s">
        <v>17</v>
      </c>
      <c r="L4604">
        <f>F4603*G4603*(1-H4603)</f>
        <v>3396.6</v>
      </c>
    </row>
    <row r="4605" spans="1:12">
      <c r="A4605" t="s">
        <v>5438</v>
      </c>
      <c r="B4605" s="1">
        <v>46070</v>
      </c>
      <c r="C4605" t="s">
        <v>3000</v>
      </c>
      <c r="D4605" t="s">
        <v>62</v>
      </c>
      <c r="E4605" t="s">
        <v>35</v>
      </c>
      <c r="F4605">
        <v>4</v>
      </c>
      <c r="G4605">
        <v>499</v>
      </c>
      <c r="H4605">
        <v>0</v>
      </c>
      <c r="I4605" t="s">
        <v>15</v>
      </c>
      <c r="J4605" t="s">
        <v>22</v>
      </c>
      <c r="K4605" t="s">
        <v>17</v>
      </c>
      <c r="L4605">
        <f>F4604*G4604*(1-H4604)</f>
        <v>2716.6</v>
      </c>
    </row>
    <row r="4606" spans="1:12">
      <c r="A4606" t="s">
        <v>5439</v>
      </c>
      <c r="B4606" s="1">
        <v>46190</v>
      </c>
      <c r="C4606" t="s">
        <v>2080</v>
      </c>
      <c r="D4606" t="s">
        <v>56</v>
      </c>
      <c r="E4606" t="s">
        <v>21</v>
      </c>
      <c r="F4606">
        <v>3</v>
      </c>
      <c r="G4606">
        <v>799</v>
      </c>
      <c r="H4606">
        <v>0.15</v>
      </c>
      <c r="I4606" t="s">
        <v>44</v>
      </c>
      <c r="J4606" t="s">
        <v>51</v>
      </c>
      <c r="K4606" t="s">
        <v>17</v>
      </c>
      <c r="L4606">
        <f>F4605*G4605*(1-H4605)</f>
        <v>1996</v>
      </c>
    </row>
    <row r="4607" spans="1:12">
      <c r="A4607" t="s">
        <v>5440</v>
      </c>
      <c r="B4607" s="1">
        <v>46259</v>
      </c>
      <c r="C4607" t="s">
        <v>230</v>
      </c>
      <c r="D4607" t="s">
        <v>43</v>
      </c>
      <c r="E4607" t="s">
        <v>35</v>
      </c>
      <c r="F4607">
        <v>3</v>
      </c>
      <c r="G4607">
        <v>1299</v>
      </c>
      <c r="H4607">
        <v>0.15</v>
      </c>
      <c r="I4607" t="s">
        <v>15</v>
      </c>
      <c r="J4607" t="s">
        <v>22</v>
      </c>
      <c r="K4607" t="s">
        <v>17</v>
      </c>
      <c r="L4607">
        <f>F4606*G4606*(1-H4606)</f>
        <v>2037.45</v>
      </c>
    </row>
    <row r="4608" spans="1:12">
      <c r="A4608" t="s">
        <v>5441</v>
      </c>
      <c r="B4608" s="1">
        <v>46152</v>
      </c>
      <c r="C4608" t="s">
        <v>594</v>
      </c>
      <c r="D4608" t="s">
        <v>71</v>
      </c>
      <c r="E4608" t="s">
        <v>14</v>
      </c>
      <c r="F4608">
        <v>3</v>
      </c>
      <c r="G4608">
        <v>4999</v>
      </c>
      <c r="H4608">
        <v>0.1</v>
      </c>
      <c r="I4608" t="s">
        <v>15</v>
      </c>
      <c r="J4608" t="s">
        <v>28</v>
      </c>
      <c r="K4608" t="s">
        <v>23</v>
      </c>
      <c r="L4608">
        <f>F4607*G4607*(1-H4607)</f>
        <v>3312.45</v>
      </c>
    </row>
    <row r="4609" spans="1:12">
      <c r="A4609" t="s">
        <v>5442</v>
      </c>
      <c r="B4609" s="1">
        <v>46236</v>
      </c>
      <c r="C4609" t="s">
        <v>296</v>
      </c>
      <c r="D4609" t="s">
        <v>62</v>
      </c>
      <c r="E4609" t="s">
        <v>40</v>
      </c>
      <c r="F4609">
        <v>4</v>
      </c>
      <c r="G4609">
        <v>499</v>
      </c>
      <c r="H4609">
        <v>0.05</v>
      </c>
      <c r="I4609" t="s">
        <v>15</v>
      </c>
      <c r="J4609" t="s">
        <v>36</v>
      </c>
      <c r="K4609" t="s">
        <v>23</v>
      </c>
      <c r="L4609">
        <f>F4608*G4608*(1-H4608)</f>
        <v>13497.300000000001</v>
      </c>
    </row>
    <row r="4610" spans="1:12">
      <c r="A4610" t="s">
        <v>5443</v>
      </c>
      <c r="B4610" s="1">
        <v>46121</v>
      </c>
      <c r="C4610" t="s">
        <v>575</v>
      </c>
      <c r="D4610" t="s">
        <v>26</v>
      </c>
      <c r="E4610" t="s">
        <v>21</v>
      </c>
      <c r="F4610">
        <v>4</v>
      </c>
      <c r="G4610">
        <v>4999</v>
      </c>
      <c r="H4610">
        <v>0</v>
      </c>
      <c r="I4610" t="s">
        <v>44</v>
      </c>
      <c r="J4610" t="s">
        <v>16</v>
      </c>
      <c r="K4610" t="s">
        <v>37</v>
      </c>
      <c r="L4610">
        <f>F4609*G4609*(1-H4609)</f>
        <v>1896.1999999999998</v>
      </c>
    </row>
    <row r="4611" spans="1:12">
      <c r="A4611" t="s">
        <v>5444</v>
      </c>
      <c r="B4611" s="1">
        <v>46044</v>
      </c>
      <c r="C4611" t="s">
        <v>5445</v>
      </c>
      <c r="D4611" t="s">
        <v>13</v>
      </c>
      <c r="E4611" t="s">
        <v>14</v>
      </c>
      <c r="F4611">
        <v>4</v>
      </c>
      <c r="G4611">
        <v>599</v>
      </c>
      <c r="H4611">
        <v>0.05</v>
      </c>
      <c r="I4611" t="s">
        <v>32</v>
      </c>
      <c r="J4611" t="s">
        <v>16</v>
      </c>
      <c r="K4611" t="s">
        <v>17</v>
      </c>
      <c r="L4611">
        <f>F4610*G4610*(1-H4610)</f>
        <v>19996</v>
      </c>
    </row>
    <row r="4612" spans="1:12">
      <c r="A4612" t="s">
        <v>5446</v>
      </c>
      <c r="B4612" s="1">
        <v>46277</v>
      </c>
      <c r="C4612" t="s">
        <v>796</v>
      </c>
      <c r="D4612" t="s">
        <v>31</v>
      </c>
      <c r="E4612" t="s">
        <v>40</v>
      </c>
      <c r="F4612">
        <v>2</v>
      </c>
      <c r="G4612">
        <v>499</v>
      </c>
      <c r="H4612">
        <v>0.1</v>
      </c>
      <c r="I4612" t="s">
        <v>15</v>
      </c>
      <c r="J4612" t="s">
        <v>51</v>
      </c>
      <c r="K4612" t="s">
        <v>23</v>
      </c>
      <c r="L4612">
        <f>F4611*G4611*(1-H4611)</f>
        <v>2276.1999999999998</v>
      </c>
    </row>
    <row r="4613" spans="1:12">
      <c r="A4613" t="s">
        <v>5447</v>
      </c>
      <c r="B4613" s="1">
        <v>46230</v>
      </c>
      <c r="C4613" t="s">
        <v>3792</v>
      </c>
      <c r="D4613" t="s">
        <v>62</v>
      </c>
      <c r="E4613" t="s">
        <v>14</v>
      </c>
      <c r="F4613">
        <v>2</v>
      </c>
      <c r="G4613">
        <v>599</v>
      </c>
      <c r="H4613">
        <v>0.05</v>
      </c>
      <c r="I4613" t="s">
        <v>44</v>
      </c>
      <c r="J4613" t="s">
        <v>28</v>
      </c>
      <c r="K4613" t="s">
        <v>17</v>
      </c>
      <c r="L4613">
        <f>F4612*G4612*(1-H4612)</f>
        <v>898.2</v>
      </c>
    </row>
    <row r="4614" spans="1:12">
      <c r="A4614" t="s">
        <v>5448</v>
      </c>
      <c r="B4614" s="1">
        <v>46210</v>
      </c>
      <c r="C4614" t="s">
        <v>195</v>
      </c>
      <c r="D4614" t="s">
        <v>31</v>
      </c>
      <c r="E4614" t="s">
        <v>35</v>
      </c>
      <c r="F4614">
        <v>5</v>
      </c>
      <c r="G4614">
        <v>7999</v>
      </c>
      <c r="H4614">
        <v>0</v>
      </c>
      <c r="I4614" t="s">
        <v>32</v>
      </c>
      <c r="J4614" t="s">
        <v>51</v>
      </c>
      <c r="K4614" t="s">
        <v>17</v>
      </c>
      <c r="L4614">
        <f>F4613*G4613*(1-H4613)</f>
        <v>1138.0999999999999</v>
      </c>
    </row>
    <row r="4615" spans="1:12">
      <c r="A4615" t="s">
        <v>5449</v>
      </c>
      <c r="B4615" s="1">
        <v>46281</v>
      </c>
      <c r="C4615" t="s">
        <v>570</v>
      </c>
      <c r="D4615" t="s">
        <v>78</v>
      </c>
      <c r="E4615" t="s">
        <v>27</v>
      </c>
      <c r="F4615">
        <v>5</v>
      </c>
      <c r="G4615">
        <v>4999</v>
      </c>
      <c r="H4615">
        <v>0.1</v>
      </c>
      <c r="I4615" t="s">
        <v>15</v>
      </c>
      <c r="J4615" t="s">
        <v>28</v>
      </c>
      <c r="K4615" t="s">
        <v>37</v>
      </c>
      <c r="L4615">
        <f>F4614*G4614*(1-H4614)</f>
        <v>39995</v>
      </c>
    </row>
    <row r="4616" spans="1:12">
      <c r="A4616" t="s">
        <v>5450</v>
      </c>
      <c r="B4616" s="1">
        <v>46232</v>
      </c>
      <c r="C4616" t="s">
        <v>4533</v>
      </c>
      <c r="D4616" t="s">
        <v>43</v>
      </c>
      <c r="E4616" t="s">
        <v>27</v>
      </c>
      <c r="F4616">
        <v>1</v>
      </c>
      <c r="G4616">
        <v>7999</v>
      </c>
      <c r="H4616">
        <v>0.05</v>
      </c>
      <c r="I4616" t="s">
        <v>47</v>
      </c>
      <c r="J4616" t="s">
        <v>22</v>
      </c>
      <c r="K4616" t="s">
        <v>37</v>
      </c>
      <c r="L4616">
        <f>F4615*G4615*(1-H4615)</f>
        <v>22495.5</v>
      </c>
    </row>
    <row r="4617" spans="1:12">
      <c r="A4617" t="s">
        <v>5451</v>
      </c>
      <c r="B4617" s="1">
        <v>46140</v>
      </c>
      <c r="C4617" t="s">
        <v>1368</v>
      </c>
      <c r="D4617" t="s">
        <v>62</v>
      </c>
      <c r="E4617" t="s">
        <v>27</v>
      </c>
      <c r="F4617">
        <v>1</v>
      </c>
      <c r="G4617">
        <v>2499</v>
      </c>
      <c r="H4617">
        <v>0.05</v>
      </c>
      <c r="I4617" t="s">
        <v>47</v>
      </c>
      <c r="J4617" t="s">
        <v>36</v>
      </c>
      <c r="K4617" t="s">
        <v>23</v>
      </c>
      <c r="L4617">
        <f>F4616*G4616*(1-H4616)</f>
        <v>7599.0499999999993</v>
      </c>
    </row>
    <row r="4618" spans="1:12">
      <c r="A4618" t="s">
        <v>5452</v>
      </c>
      <c r="B4618" s="1">
        <v>46250</v>
      </c>
      <c r="C4618" t="s">
        <v>944</v>
      </c>
      <c r="D4618" t="s">
        <v>78</v>
      </c>
      <c r="E4618" t="s">
        <v>21</v>
      </c>
      <c r="F4618">
        <v>4</v>
      </c>
      <c r="G4618">
        <v>1299</v>
      </c>
      <c r="H4618">
        <v>0</v>
      </c>
      <c r="I4618" t="s">
        <v>47</v>
      </c>
      <c r="J4618" t="s">
        <v>51</v>
      </c>
      <c r="K4618" t="s">
        <v>17</v>
      </c>
      <c r="L4618">
        <f>F4617*G4617*(1-H4617)</f>
        <v>2374.0499999999997</v>
      </c>
    </row>
    <row r="4619" spans="1:12">
      <c r="A4619" t="s">
        <v>5453</v>
      </c>
      <c r="B4619" s="1">
        <v>46111</v>
      </c>
      <c r="C4619" t="s">
        <v>1465</v>
      </c>
      <c r="D4619" t="s">
        <v>13</v>
      </c>
      <c r="E4619" t="s">
        <v>14</v>
      </c>
      <c r="F4619">
        <v>2</v>
      </c>
      <c r="G4619">
        <v>599</v>
      </c>
      <c r="H4619">
        <v>0.05</v>
      </c>
      <c r="I4619" t="s">
        <v>44</v>
      </c>
      <c r="J4619" t="s">
        <v>28</v>
      </c>
      <c r="K4619" t="s">
        <v>17</v>
      </c>
      <c r="L4619">
        <f>F4618*G4618*(1-H4618)</f>
        <v>5196</v>
      </c>
    </row>
    <row r="4620" spans="1:12">
      <c r="A4620" t="s">
        <v>5454</v>
      </c>
      <c r="B4620" s="1">
        <v>46059</v>
      </c>
      <c r="C4620" t="s">
        <v>1540</v>
      </c>
      <c r="D4620" t="s">
        <v>31</v>
      </c>
      <c r="E4620" t="s">
        <v>14</v>
      </c>
      <c r="F4620">
        <v>1</v>
      </c>
      <c r="G4620">
        <v>499</v>
      </c>
      <c r="H4620">
        <v>0.15</v>
      </c>
      <c r="I4620" t="s">
        <v>32</v>
      </c>
      <c r="J4620" t="s">
        <v>16</v>
      </c>
      <c r="K4620" t="s">
        <v>17</v>
      </c>
      <c r="L4620">
        <f>F4619*G4619*(1-H4619)</f>
        <v>1138.0999999999999</v>
      </c>
    </row>
    <row r="4621" spans="1:12">
      <c r="A4621" t="s">
        <v>5455</v>
      </c>
      <c r="B4621" s="1">
        <v>46137</v>
      </c>
      <c r="C4621" t="s">
        <v>2034</v>
      </c>
      <c r="D4621" t="s">
        <v>26</v>
      </c>
      <c r="E4621" t="s">
        <v>21</v>
      </c>
      <c r="F4621">
        <v>2</v>
      </c>
      <c r="G4621">
        <v>599</v>
      </c>
      <c r="H4621">
        <v>0.05</v>
      </c>
      <c r="I4621" t="s">
        <v>32</v>
      </c>
      <c r="J4621" t="s">
        <v>22</v>
      </c>
      <c r="K4621" t="s">
        <v>17</v>
      </c>
      <c r="L4621">
        <f>F4620*G4620*(1-H4620)</f>
        <v>424.15</v>
      </c>
    </row>
    <row r="4622" spans="1:12">
      <c r="A4622" t="s">
        <v>5456</v>
      </c>
      <c r="B4622" s="1">
        <v>46215</v>
      </c>
      <c r="C4622" t="s">
        <v>1213</v>
      </c>
      <c r="D4622" t="s">
        <v>31</v>
      </c>
      <c r="E4622" t="s">
        <v>35</v>
      </c>
      <c r="F4622">
        <v>2</v>
      </c>
      <c r="G4622">
        <v>1999</v>
      </c>
      <c r="H4622">
        <v>0.1</v>
      </c>
      <c r="I4622" t="s">
        <v>15</v>
      </c>
      <c r="J4622" t="s">
        <v>51</v>
      </c>
      <c r="K4622" t="s">
        <v>17</v>
      </c>
      <c r="L4622">
        <f>F4621*G4621*(1-H4621)</f>
        <v>1138.0999999999999</v>
      </c>
    </row>
    <row r="4623" spans="1:12">
      <c r="A4623" t="s">
        <v>5457</v>
      </c>
      <c r="B4623" s="1">
        <v>46119</v>
      </c>
      <c r="C4623" t="s">
        <v>2701</v>
      </c>
      <c r="D4623" t="s">
        <v>31</v>
      </c>
      <c r="E4623" t="s">
        <v>40</v>
      </c>
      <c r="F4623">
        <v>3</v>
      </c>
      <c r="G4623">
        <v>7999</v>
      </c>
      <c r="H4623">
        <v>0</v>
      </c>
      <c r="I4623" t="s">
        <v>50</v>
      </c>
      <c r="J4623" t="s">
        <v>36</v>
      </c>
      <c r="K4623" t="s">
        <v>37</v>
      </c>
      <c r="L4623">
        <f>F4622*G4622*(1-H4622)</f>
        <v>3598.2000000000003</v>
      </c>
    </row>
    <row r="4624" spans="1:12">
      <c r="A4624" t="s">
        <v>5458</v>
      </c>
      <c r="B4624" s="1">
        <v>46088</v>
      </c>
      <c r="C4624" t="s">
        <v>1934</v>
      </c>
      <c r="D4624" t="s">
        <v>59</v>
      </c>
      <c r="E4624" t="s">
        <v>21</v>
      </c>
      <c r="F4624">
        <v>5</v>
      </c>
      <c r="G4624">
        <v>599</v>
      </c>
      <c r="H4624">
        <v>0.1</v>
      </c>
      <c r="I4624" t="s">
        <v>47</v>
      </c>
      <c r="J4624" t="s">
        <v>36</v>
      </c>
      <c r="K4624" t="s">
        <v>17</v>
      </c>
      <c r="L4624">
        <f>F4623*G4623*(1-H4623)</f>
        <v>23997</v>
      </c>
    </row>
    <row r="4625" spans="1:12">
      <c r="A4625" t="s">
        <v>5459</v>
      </c>
      <c r="B4625" s="1">
        <v>46140</v>
      </c>
      <c r="C4625" t="s">
        <v>1028</v>
      </c>
      <c r="D4625" t="s">
        <v>71</v>
      </c>
      <c r="E4625" t="s">
        <v>40</v>
      </c>
      <c r="F4625">
        <v>2</v>
      </c>
      <c r="G4625">
        <v>599</v>
      </c>
      <c r="H4625">
        <v>0.15</v>
      </c>
      <c r="I4625" t="s">
        <v>32</v>
      </c>
      <c r="J4625" t="s">
        <v>28</v>
      </c>
      <c r="K4625" t="s">
        <v>17</v>
      </c>
      <c r="L4625">
        <f>F4624*G4624*(1-H4624)</f>
        <v>2695.5</v>
      </c>
    </row>
    <row r="4626" spans="1:12">
      <c r="A4626" t="s">
        <v>5460</v>
      </c>
      <c r="B4626" s="1">
        <v>46046</v>
      </c>
      <c r="C4626" t="s">
        <v>2083</v>
      </c>
      <c r="D4626" t="s">
        <v>71</v>
      </c>
      <c r="E4626" t="s">
        <v>35</v>
      </c>
      <c r="F4626">
        <v>1</v>
      </c>
      <c r="G4626">
        <v>999</v>
      </c>
      <c r="H4626">
        <v>0.1</v>
      </c>
      <c r="I4626" t="s">
        <v>47</v>
      </c>
      <c r="J4626" t="s">
        <v>16</v>
      </c>
      <c r="K4626" t="s">
        <v>17</v>
      </c>
      <c r="L4626">
        <f>F4625*G4625*(1-H4625)</f>
        <v>1018.3</v>
      </c>
    </row>
    <row r="4627" spans="1:12">
      <c r="A4627" t="s">
        <v>5461</v>
      </c>
      <c r="B4627" s="1">
        <v>46282</v>
      </c>
      <c r="C4627" t="s">
        <v>3211</v>
      </c>
      <c r="D4627" t="s">
        <v>31</v>
      </c>
      <c r="E4627" t="s">
        <v>35</v>
      </c>
      <c r="F4627">
        <v>5</v>
      </c>
      <c r="G4627">
        <v>799</v>
      </c>
      <c r="H4627">
        <v>0.05</v>
      </c>
      <c r="I4627" t="s">
        <v>44</v>
      </c>
      <c r="J4627" t="s">
        <v>22</v>
      </c>
      <c r="K4627" t="s">
        <v>37</v>
      </c>
      <c r="L4627">
        <f>F4626*G4626*(1-H4626)</f>
        <v>899.1</v>
      </c>
    </row>
    <row r="4628" spans="1:12">
      <c r="A4628" t="s">
        <v>5462</v>
      </c>
      <c r="B4628" s="1">
        <v>46229</v>
      </c>
      <c r="C4628" t="s">
        <v>673</v>
      </c>
      <c r="D4628" t="s">
        <v>20</v>
      </c>
      <c r="E4628" t="s">
        <v>14</v>
      </c>
      <c r="F4628">
        <v>4</v>
      </c>
      <c r="G4628">
        <v>1499</v>
      </c>
      <c r="H4628">
        <v>0.05</v>
      </c>
      <c r="I4628" t="s">
        <v>47</v>
      </c>
      <c r="J4628" t="s">
        <v>51</v>
      </c>
      <c r="K4628" t="s">
        <v>17</v>
      </c>
      <c r="L4628">
        <f>F4627*G4627*(1-H4627)</f>
        <v>3795.25</v>
      </c>
    </row>
    <row r="4629" spans="1:12">
      <c r="A4629" t="s">
        <v>5463</v>
      </c>
      <c r="B4629" s="1">
        <v>46116</v>
      </c>
      <c r="C4629" t="s">
        <v>314</v>
      </c>
      <c r="D4629" t="s">
        <v>71</v>
      </c>
      <c r="E4629" t="s">
        <v>27</v>
      </c>
      <c r="F4629">
        <v>2</v>
      </c>
      <c r="G4629">
        <v>999</v>
      </c>
      <c r="H4629">
        <v>0</v>
      </c>
      <c r="I4629" t="s">
        <v>50</v>
      </c>
      <c r="J4629" t="s">
        <v>28</v>
      </c>
      <c r="K4629" t="s">
        <v>37</v>
      </c>
      <c r="L4629">
        <f>F4628*G4628*(1-H4628)</f>
        <v>5696.2</v>
      </c>
    </row>
    <row r="4630" spans="1:12">
      <c r="A4630" t="s">
        <v>5464</v>
      </c>
      <c r="B4630" s="1">
        <v>46024</v>
      </c>
      <c r="C4630" t="s">
        <v>1675</v>
      </c>
      <c r="D4630" t="s">
        <v>71</v>
      </c>
      <c r="E4630" t="s">
        <v>21</v>
      </c>
      <c r="F4630">
        <v>4</v>
      </c>
      <c r="G4630">
        <v>2499</v>
      </c>
      <c r="H4630">
        <v>0</v>
      </c>
      <c r="I4630" t="s">
        <v>50</v>
      </c>
      <c r="J4630" t="s">
        <v>16</v>
      </c>
      <c r="K4630" t="s">
        <v>37</v>
      </c>
      <c r="L4630">
        <f>F4629*G4629*(1-H4629)</f>
        <v>1998</v>
      </c>
    </row>
    <row r="4631" spans="1:12">
      <c r="A4631" t="s">
        <v>5465</v>
      </c>
      <c r="B4631" s="1">
        <v>46043</v>
      </c>
      <c r="C4631" t="s">
        <v>2576</v>
      </c>
      <c r="D4631" t="s">
        <v>20</v>
      </c>
      <c r="E4631" t="s">
        <v>40</v>
      </c>
      <c r="F4631">
        <v>4</v>
      </c>
      <c r="G4631">
        <v>799</v>
      </c>
      <c r="H4631">
        <v>0</v>
      </c>
      <c r="I4631" t="s">
        <v>50</v>
      </c>
      <c r="J4631" t="s">
        <v>22</v>
      </c>
      <c r="K4631" t="s">
        <v>17</v>
      </c>
      <c r="L4631">
        <f>F4630*G4630*(1-H4630)</f>
        <v>9996</v>
      </c>
    </row>
    <row r="4632" spans="1:12">
      <c r="A4632" t="s">
        <v>5466</v>
      </c>
      <c r="B4632" s="1">
        <v>46144</v>
      </c>
      <c r="C4632" t="s">
        <v>891</v>
      </c>
      <c r="D4632" t="s">
        <v>62</v>
      </c>
      <c r="E4632" t="s">
        <v>21</v>
      </c>
      <c r="F4632">
        <v>5</v>
      </c>
      <c r="G4632">
        <v>799</v>
      </c>
      <c r="H4632">
        <v>0.15</v>
      </c>
      <c r="I4632" t="s">
        <v>32</v>
      </c>
      <c r="J4632" t="s">
        <v>51</v>
      </c>
      <c r="K4632" t="s">
        <v>17</v>
      </c>
      <c r="L4632">
        <f>F4631*G4631*(1-H4631)</f>
        <v>3196</v>
      </c>
    </row>
    <row r="4633" spans="1:12">
      <c r="A4633" t="s">
        <v>5467</v>
      </c>
      <c r="B4633" s="1">
        <v>46256</v>
      </c>
      <c r="C4633" t="s">
        <v>1209</v>
      </c>
      <c r="D4633" t="s">
        <v>78</v>
      </c>
      <c r="E4633" t="s">
        <v>14</v>
      </c>
      <c r="F4633">
        <v>4</v>
      </c>
      <c r="G4633">
        <v>499</v>
      </c>
      <c r="H4633">
        <v>0.05</v>
      </c>
      <c r="I4633" t="s">
        <v>47</v>
      </c>
      <c r="J4633" t="s">
        <v>28</v>
      </c>
      <c r="K4633" t="s">
        <v>17</v>
      </c>
      <c r="L4633">
        <f>F4632*G4632*(1-H4632)</f>
        <v>3395.75</v>
      </c>
    </row>
    <row r="4634" spans="1:12">
      <c r="A4634" t="s">
        <v>5468</v>
      </c>
      <c r="B4634" s="1">
        <v>46180</v>
      </c>
      <c r="C4634" t="s">
        <v>883</v>
      </c>
      <c r="D4634" t="s">
        <v>13</v>
      </c>
      <c r="E4634" t="s">
        <v>21</v>
      </c>
      <c r="F4634">
        <v>1</v>
      </c>
      <c r="G4634">
        <v>999</v>
      </c>
      <c r="H4634">
        <v>0.15</v>
      </c>
      <c r="I4634" t="s">
        <v>15</v>
      </c>
      <c r="J4634" t="s">
        <v>51</v>
      </c>
      <c r="K4634" t="s">
        <v>17</v>
      </c>
      <c r="L4634">
        <f>F4633*G4633*(1-H4633)</f>
        <v>1896.1999999999998</v>
      </c>
    </row>
    <row r="4635" spans="1:12">
      <c r="A4635" t="s">
        <v>5469</v>
      </c>
      <c r="B4635" s="1">
        <v>46095</v>
      </c>
      <c r="C4635" t="s">
        <v>174</v>
      </c>
      <c r="D4635" t="s">
        <v>78</v>
      </c>
      <c r="E4635" t="s">
        <v>27</v>
      </c>
      <c r="F4635">
        <v>5</v>
      </c>
      <c r="G4635">
        <v>599</v>
      </c>
      <c r="H4635">
        <v>0</v>
      </c>
      <c r="I4635" t="s">
        <v>32</v>
      </c>
      <c r="J4635" t="s">
        <v>36</v>
      </c>
      <c r="K4635" t="s">
        <v>17</v>
      </c>
      <c r="L4635">
        <f>F4634*G4634*(1-H4634)</f>
        <v>849.15</v>
      </c>
    </row>
    <row r="4636" spans="1:12">
      <c r="A4636" t="s">
        <v>5470</v>
      </c>
      <c r="B4636" s="1">
        <v>46036</v>
      </c>
      <c r="C4636" t="s">
        <v>1469</v>
      </c>
      <c r="D4636" t="s">
        <v>78</v>
      </c>
      <c r="E4636" t="s">
        <v>27</v>
      </c>
      <c r="F4636">
        <v>5</v>
      </c>
      <c r="G4636">
        <v>1999</v>
      </c>
      <c r="H4636">
        <v>0.1</v>
      </c>
      <c r="I4636" t="s">
        <v>44</v>
      </c>
      <c r="J4636" t="s">
        <v>51</v>
      </c>
      <c r="K4636" t="s">
        <v>23</v>
      </c>
      <c r="L4636">
        <f>F4635*G4635*(1-H4635)</f>
        <v>2995</v>
      </c>
    </row>
    <row r="4637" spans="1:12">
      <c r="A4637" t="s">
        <v>5471</v>
      </c>
      <c r="B4637" s="1">
        <v>46082</v>
      </c>
      <c r="C4637" t="s">
        <v>513</v>
      </c>
      <c r="D4637" t="s">
        <v>71</v>
      </c>
      <c r="E4637" t="s">
        <v>27</v>
      </c>
      <c r="F4637">
        <v>2</v>
      </c>
      <c r="G4637">
        <v>1499</v>
      </c>
      <c r="H4637">
        <v>0.1</v>
      </c>
      <c r="I4637" t="s">
        <v>44</v>
      </c>
      <c r="J4637" t="s">
        <v>16</v>
      </c>
      <c r="K4637" t="s">
        <v>37</v>
      </c>
      <c r="L4637">
        <f>F4636*G4636*(1-H4636)</f>
        <v>8995.5</v>
      </c>
    </row>
    <row r="4638" spans="1:12">
      <c r="A4638" t="s">
        <v>5472</v>
      </c>
      <c r="B4638" s="1">
        <v>46293</v>
      </c>
      <c r="C4638" t="s">
        <v>2559</v>
      </c>
      <c r="D4638" t="s">
        <v>26</v>
      </c>
      <c r="E4638" t="s">
        <v>14</v>
      </c>
      <c r="F4638">
        <v>5</v>
      </c>
      <c r="G4638">
        <v>499</v>
      </c>
      <c r="H4638">
        <v>0.05</v>
      </c>
      <c r="I4638" t="s">
        <v>32</v>
      </c>
      <c r="J4638" t="s">
        <v>36</v>
      </c>
      <c r="K4638" t="s">
        <v>17</v>
      </c>
      <c r="L4638">
        <f>F4637*G4637*(1-H4637)</f>
        <v>2698.2000000000003</v>
      </c>
    </row>
    <row r="4639" spans="1:12">
      <c r="A4639" t="s">
        <v>5473</v>
      </c>
      <c r="B4639" s="1">
        <v>46071</v>
      </c>
      <c r="C4639" t="s">
        <v>1559</v>
      </c>
      <c r="D4639" t="s">
        <v>20</v>
      </c>
      <c r="E4639" t="s">
        <v>40</v>
      </c>
      <c r="F4639">
        <v>3</v>
      </c>
      <c r="G4639">
        <v>4999</v>
      </c>
      <c r="H4639">
        <v>0.1</v>
      </c>
      <c r="I4639" t="s">
        <v>50</v>
      </c>
      <c r="J4639" t="s">
        <v>51</v>
      </c>
      <c r="K4639" t="s">
        <v>17</v>
      </c>
      <c r="L4639">
        <f>F4638*G4638*(1-H4638)</f>
        <v>2370.25</v>
      </c>
    </row>
    <row r="4640" spans="1:12">
      <c r="A4640" t="s">
        <v>5474</v>
      </c>
      <c r="B4640" s="1">
        <v>46271</v>
      </c>
      <c r="C4640" t="s">
        <v>536</v>
      </c>
      <c r="D4640" t="s">
        <v>59</v>
      </c>
      <c r="E4640" t="s">
        <v>27</v>
      </c>
      <c r="F4640">
        <v>1</v>
      </c>
      <c r="G4640">
        <v>7999</v>
      </c>
      <c r="H4640">
        <v>0.05</v>
      </c>
      <c r="I4640" t="s">
        <v>47</v>
      </c>
      <c r="J4640" t="s">
        <v>36</v>
      </c>
      <c r="K4640" t="s">
        <v>17</v>
      </c>
      <c r="L4640">
        <f>F4639*G4639*(1-H4639)</f>
        <v>13497.300000000001</v>
      </c>
    </row>
    <row r="4641" spans="1:12">
      <c r="A4641" t="s">
        <v>5475</v>
      </c>
      <c r="B4641" s="1">
        <v>46109</v>
      </c>
      <c r="C4641" t="s">
        <v>182</v>
      </c>
      <c r="D4641" t="s">
        <v>31</v>
      </c>
      <c r="E4641" t="s">
        <v>35</v>
      </c>
      <c r="F4641">
        <v>2</v>
      </c>
      <c r="G4641">
        <v>999</v>
      </c>
      <c r="H4641">
        <v>0</v>
      </c>
      <c r="I4641" t="s">
        <v>44</v>
      </c>
      <c r="J4641" t="s">
        <v>36</v>
      </c>
      <c r="K4641" t="s">
        <v>23</v>
      </c>
      <c r="L4641">
        <f>F4640*G4640*(1-H4640)</f>
        <v>7599.0499999999993</v>
      </c>
    </row>
    <row r="4642" spans="1:12">
      <c r="A4642" t="s">
        <v>5476</v>
      </c>
      <c r="B4642" s="1">
        <v>46190</v>
      </c>
      <c r="C4642" t="s">
        <v>5477</v>
      </c>
      <c r="D4642" t="s">
        <v>31</v>
      </c>
      <c r="E4642" t="s">
        <v>40</v>
      </c>
      <c r="F4642">
        <v>1</v>
      </c>
      <c r="G4642">
        <v>799</v>
      </c>
      <c r="H4642">
        <v>0.05</v>
      </c>
      <c r="I4642" t="s">
        <v>44</v>
      </c>
      <c r="J4642" t="s">
        <v>28</v>
      </c>
      <c r="K4642" t="s">
        <v>23</v>
      </c>
      <c r="L4642">
        <f>F4641*G4641*(1-H4641)</f>
        <v>1998</v>
      </c>
    </row>
    <row r="4643" spans="1:12">
      <c r="A4643" t="s">
        <v>5478</v>
      </c>
      <c r="B4643" s="1">
        <v>46139</v>
      </c>
      <c r="C4643" t="s">
        <v>1709</v>
      </c>
      <c r="D4643" t="s">
        <v>31</v>
      </c>
      <c r="E4643" t="s">
        <v>27</v>
      </c>
      <c r="F4643">
        <v>3</v>
      </c>
      <c r="G4643">
        <v>599</v>
      </c>
      <c r="H4643">
        <v>0</v>
      </c>
      <c r="I4643" t="s">
        <v>44</v>
      </c>
      <c r="J4643" t="s">
        <v>22</v>
      </c>
      <c r="K4643" t="s">
        <v>17</v>
      </c>
      <c r="L4643">
        <f>F4642*G4642*(1-H4642)</f>
        <v>759.05</v>
      </c>
    </row>
    <row r="4644" spans="1:12">
      <c r="A4644" t="s">
        <v>5479</v>
      </c>
      <c r="B4644" s="1">
        <v>46258</v>
      </c>
      <c r="C4644" t="s">
        <v>2032</v>
      </c>
      <c r="D4644" t="s">
        <v>20</v>
      </c>
      <c r="E4644" t="s">
        <v>40</v>
      </c>
      <c r="F4644">
        <v>2</v>
      </c>
      <c r="G4644">
        <v>1299</v>
      </c>
      <c r="H4644">
        <v>0.05</v>
      </c>
      <c r="I4644" t="s">
        <v>44</v>
      </c>
      <c r="J4644" t="s">
        <v>22</v>
      </c>
      <c r="K4644" t="s">
        <v>17</v>
      </c>
      <c r="L4644">
        <f>F4643*G4643*(1-H4643)</f>
        <v>1797</v>
      </c>
    </row>
    <row r="4645" spans="1:12">
      <c r="A4645" t="s">
        <v>5480</v>
      </c>
      <c r="B4645" s="1">
        <v>46235</v>
      </c>
      <c r="C4645" t="s">
        <v>1058</v>
      </c>
      <c r="D4645" t="s">
        <v>59</v>
      </c>
      <c r="E4645" t="s">
        <v>27</v>
      </c>
      <c r="F4645">
        <v>2</v>
      </c>
      <c r="G4645">
        <v>2499</v>
      </c>
      <c r="H4645">
        <v>0.05</v>
      </c>
      <c r="I4645" t="s">
        <v>44</v>
      </c>
      <c r="J4645" t="s">
        <v>51</v>
      </c>
      <c r="K4645" t="s">
        <v>17</v>
      </c>
      <c r="L4645">
        <f>F4644*G4644*(1-H4644)</f>
        <v>2468.1</v>
      </c>
    </row>
    <row r="4646" spans="1:12">
      <c r="A4646" t="s">
        <v>5481</v>
      </c>
      <c r="B4646" s="1">
        <v>46208</v>
      </c>
      <c r="C4646" t="s">
        <v>2777</v>
      </c>
      <c r="D4646" t="s">
        <v>59</v>
      </c>
      <c r="E4646" t="s">
        <v>40</v>
      </c>
      <c r="F4646">
        <v>4</v>
      </c>
      <c r="G4646">
        <v>4999</v>
      </c>
      <c r="H4646">
        <v>0.05</v>
      </c>
      <c r="I4646" t="s">
        <v>15</v>
      </c>
      <c r="J4646" t="s">
        <v>51</v>
      </c>
      <c r="K4646" t="s">
        <v>23</v>
      </c>
      <c r="L4646">
        <f>F4645*G4645*(1-H4645)</f>
        <v>4748.0999999999995</v>
      </c>
    </row>
    <row r="4647" spans="1:12">
      <c r="A4647" t="s">
        <v>5482</v>
      </c>
      <c r="B4647" s="1">
        <v>46041</v>
      </c>
      <c r="C4647" t="s">
        <v>1151</v>
      </c>
      <c r="D4647" t="s">
        <v>62</v>
      </c>
      <c r="E4647" t="s">
        <v>35</v>
      </c>
      <c r="F4647">
        <v>3</v>
      </c>
      <c r="G4647">
        <v>7999</v>
      </c>
      <c r="H4647">
        <v>0.15</v>
      </c>
      <c r="I4647" t="s">
        <v>50</v>
      </c>
      <c r="J4647" t="s">
        <v>51</v>
      </c>
      <c r="K4647" t="s">
        <v>17</v>
      </c>
      <c r="L4647">
        <f>F4646*G4646*(1-H4646)</f>
        <v>18996.2</v>
      </c>
    </row>
    <row r="4648" spans="1:12">
      <c r="A4648" t="s">
        <v>5483</v>
      </c>
      <c r="B4648" s="1">
        <v>46099</v>
      </c>
      <c r="C4648" t="s">
        <v>1561</v>
      </c>
      <c r="D4648" t="s">
        <v>43</v>
      </c>
      <c r="E4648" t="s">
        <v>40</v>
      </c>
      <c r="F4648">
        <v>5</v>
      </c>
      <c r="G4648">
        <v>1499</v>
      </c>
      <c r="H4648">
        <v>0</v>
      </c>
      <c r="I4648" t="s">
        <v>15</v>
      </c>
      <c r="J4648" t="s">
        <v>36</v>
      </c>
      <c r="K4648" t="s">
        <v>37</v>
      </c>
      <c r="L4648">
        <f>F4647*G4647*(1-H4647)</f>
        <v>20397.45</v>
      </c>
    </row>
    <row r="4649" spans="1:12">
      <c r="A4649" t="s">
        <v>5484</v>
      </c>
      <c r="B4649" s="1">
        <v>46041</v>
      </c>
      <c r="C4649" t="s">
        <v>259</v>
      </c>
      <c r="D4649" t="s">
        <v>13</v>
      </c>
      <c r="E4649" t="s">
        <v>27</v>
      </c>
      <c r="F4649">
        <v>1</v>
      </c>
      <c r="G4649">
        <v>599</v>
      </c>
      <c r="H4649">
        <v>0.05</v>
      </c>
      <c r="I4649" t="s">
        <v>50</v>
      </c>
      <c r="J4649" t="s">
        <v>51</v>
      </c>
      <c r="K4649" t="s">
        <v>17</v>
      </c>
      <c r="L4649">
        <f>F4648*G4648*(1-H4648)</f>
        <v>7495</v>
      </c>
    </row>
    <row r="4650" spans="1:12">
      <c r="A4650" t="s">
        <v>5485</v>
      </c>
      <c r="B4650" s="1">
        <v>46159</v>
      </c>
      <c r="C4650" t="s">
        <v>1448</v>
      </c>
      <c r="D4650" t="s">
        <v>71</v>
      </c>
      <c r="E4650" t="s">
        <v>14</v>
      </c>
      <c r="F4650">
        <v>1</v>
      </c>
      <c r="G4650">
        <v>4999</v>
      </c>
      <c r="H4650">
        <v>0.1</v>
      </c>
      <c r="I4650" t="s">
        <v>50</v>
      </c>
      <c r="J4650" t="s">
        <v>16</v>
      </c>
      <c r="K4650" t="s">
        <v>17</v>
      </c>
      <c r="L4650">
        <f>F4649*G4649*(1-H4649)</f>
        <v>569.04999999999995</v>
      </c>
    </row>
    <row r="4651" spans="1:12">
      <c r="A4651" t="s">
        <v>5486</v>
      </c>
      <c r="B4651" s="1">
        <v>46053</v>
      </c>
      <c r="C4651" t="s">
        <v>1561</v>
      </c>
      <c r="D4651" t="s">
        <v>78</v>
      </c>
      <c r="E4651" t="s">
        <v>14</v>
      </c>
      <c r="F4651">
        <v>1</v>
      </c>
      <c r="G4651">
        <v>4999</v>
      </c>
      <c r="H4651">
        <v>0</v>
      </c>
      <c r="I4651" t="s">
        <v>50</v>
      </c>
      <c r="J4651" t="s">
        <v>22</v>
      </c>
      <c r="K4651" t="s">
        <v>17</v>
      </c>
      <c r="L4651">
        <f>F4650*G4650*(1-H4650)</f>
        <v>4499.1000000000004</v>
      </c>
    </row>
    <row r="4652" spans="1:12">
      <c r="A4652" t="s">
        <v>5487</v>
      </c>
      <c r="B4652" s="1">
        <v>46229</v>
      </c>
      <c r="C4652" t="s">
        <v>1357</v>
      </c>
      <c r="D4652" t="s">
        <v>71</v>
      </c>
      <c r="E4652" t="s">
        <v>21</v>
      </c>
      <c r="F4652">
        <v>2</v>
      </c>
      <c r="G4652">
        <v>1299</v>
      </c>
      <c r="H4652">
        <v>0</v>
      </c>
      <c r="I4652" t="s">
        <v>15</v>
      </c>
      <c r="J4652" t="s">
        <v>28</v>
      </c>
      <c r="K4652" t="s">
        <v>37</v>
      </c>
      <c r="L4652">
        <f>F4651*G4651*(1-H4651)</f>
        <v>4999</v>
      </c>
    </row>
    <row r="4653" spans="1:12">
      <c r="A4653" t="s">
        <v>5488</v>
      </c>
      <c r="B4653" s="1">
        <v>46184</v>
      </c>
      <c r="C4653" t="s">
        <v>1278</v>
      </c>
      <c r="D4653" t="s">
        <v>31</v>
      </c>
      <c r="E4653" t="s">
        <v>35</v>
      </c>
      <c r="F4653">
        <v>1</v>
      </c>
      <c r="G4653">
        <v>7999</v>
      </c>
      <c r="H4653">
        <v>0</v>
      </c>
      <c r="I4653" t="s">
        <v>47</v>
      </c>
      <c r="J4653" t="s">
        <v>51</v>
      </c>
      <c r="K4653" t="s">
        <v>23</v>
      </c>
      <c r="L4653">
        <f>F4652*G4652*(1-H4652)</f>
        <v>2598</v>
      </c>
    </row>
    <row r="4654" spans="1:12">
      <c r="A4654" t="s">
        <v>5489</v>
      </c>
      <c r="B4654" s="1">
        <v>46081</v>
      </c>
      <c r="C4654" t="s">
        <v>239</v>
      </c>
      <c r="D4654" t="s">
        <v>20</v>
      </c>
      <c r="E4654" t="s">
        <v>40</v>
      </c>
      <c r="F4654">
        <v>2</v>
      </c>
      <c r="G4654">
        <v>1299</v>
      </c>
      <c r="H4654">
        <v>0.1</v>
      </c>
      <c r="I4654" t="s">
        <v>50</v>
      </c>
      <c r="J4654" t="s">
        <v>28</v>
      </c>
      <c r="K4654" t="s">
        <v>17</v>
      </c>
      <c r="L4654">
        <f>F4653*G4653*(1-H4653)</f>
        <v>7999</v>
      </c>
    </row>
    <row r="4655" spans="1:12">
      <c r="A4655" t="s">
        <v>5490</v>
      </c>
      <c r="B4655" s="1">
        <v>46098</v>
      </c>
      <c r="C4655" t="s">
        <v>597</v>
      </c>
      <c r="D4655" t="s">
        <v>20</v>
      </c>
      <c r="E4655" t="s">
        <v>14</v>
      </c>
      <c r="F4655">
        <v>2</v>
      </c>
      <c r="G4655">
        <v>499</v>
      </c>
      <c r="H4655">
        <v>0.05</v>
      </c>
      <c r="I4655" t="s">
        <v>32</v>
      </c>
      <c r="J4655" t="s">
        <v>51</v>
      </c>
      <c r="K4655" t="s">
        <v>17</v>
      </c>
      <c r="L4655">
        <f>F4654*G4654*(1-H4654)</f>
        <v>2338.2000000000003</v>
      </c>
    </row>
    <row r="4656" spans="1:12">
      <c r="A4656" t="s">
        <v>5491</v>
      </c>
      <c r="B4656" s="1">
        <v>46030</v>
      </c>
      <c r="C4656" t="s">
        <v>550</v>
      </c>
      <c r="D4656" t="s">
        <v>78</v>
      </c>
      <c r="E4656" t="s">
        <v>35</v>
      </c>
      <c r="F4656">
        <v>4</v>
      </c>
      <c r="G4656">
        <v>1999</v>
      </c>
      <c r="H4656">
        <v>0</v>
      </c>
      <c r="I4656" t="s">
        <v>15</v>
      </c>
      <c r="J4656" t="s">
        <v>28</v>
      </c>
      <c r="K4656" t="s">
        <v>17</v>
      </c>
      <c r="L4656">
        <f>F4655*G4655*(1-H4655)</f>
        <v>948.09999999999991</v>
      </c>
    </row>
    <row r="4657" spans="1:12">
      <c r="A4657" t="s">
        <v>5492</v>
      </c>
      <c r="B4657" s="1">
        <v>46232</v>
      </c>
      <c r="C4657" t="s">
        <v>848</v>
      </c>
      <c r="D4657" t="s">
        <v>26</v>
      </c>
      <c r="E4657" t="s">
        <v>27</v>
      </c>
      <c r="F4657">
        <v>1</v>
      </c>
      <c r="G4657">
        <v>4999</v>
      </c>
      <c r="H4657">
        <v>0.05</v>
      </c>
      <c r="I4657" t="s">
        <v>47</v>
      </c>
      <c r="J4657" t="s">
        <v>36</v>
      </c>
      <c r="K4657" t="s">
        <v>17</v>
      </c>
      <c r="L4657">
        <f>F4656*G4656*(1-H4656)</f>
        <v>7996</v>
      </c>
    </row>
    <row r="4658" spans="1:12">
      <c r="A4658" t="s">
        <v>5493</v>
      </c>
      <c r="B4658" s="1">
        <v>46248</v>
      </c>
      <c r="C4658" t="s">
        <v>3072</v>
      </c>
      <c r="D4658" t="s">
        <v>71</v>
      </c>
      <c r="E4658" t="s">
        <v>21</v>
      </c>
      <c r="F4658">
        <v>3</v>
      </c>
      <c r="G4658">
        <v>799</v>
      </c>
      <c r="H4658">
        <v>0.1</v>
      </c>
      <c r="I4658" t="s">
        <v>44</v>
      </c>
      <c r="J4658" t="s">
        <v>36</v>
      </c>
      <c r="K4658" t="s">
        <v>23</v>
      </c>
      <c r="L4658">
        <f>F4657*G4657*(1-H4657)</f>
        <v>4749.05</v>
      </c>
    </row>
    <row r="4659" spans="1:12">
      <c r="A4659" t="s">
        <v>5494</v>
      </c>
      <c r="B4659" s="1">
        <v>46287</v>
      </c>
      <c r="C4659" t="s">
        <v>835</v>
      </c>
      <c r="D4659" t="s">
        <v>56</v>
      </c>
      <c r="E4659" t="s">
        <v>21</v>
      </c>
      <c r="F4659">
        <v>4</v>
      </c>
      <c r="G4659">
        <v>1999</v>
      </c>
      <c r="H4659">
        <v>0.05</v>
      </c>
      <c r="I4659" t="s">
        <v>32</v>
      </c>
      <c r="J4659" t="s">
        <v>16</v>
      </c>
      <c r="K4659" t="s">
        <v>17</v>
      </c>
      <c r="L4659">
        <f>F4658*G4658*(1-H4658)</f>
        <v>2157.3000000000002</v>
      </c>
    </row>
    <row r="4660" spans="1:12">
      <c r="A4660" t="s">
        <v>5495</v>
      </c>
      <c r="B4660" s="1">
        <v>46214</v>
      </c>
      <c r="C4660" t="s">
        <v>3135</v>
      </c>
      <c r="D4660" t="s">
        <v>43</v>
      </c>
      <c r="E4660" t="s">
        <v>14</v>
      </c>
      <c r="F4660">
        <v>4</v>
      </c>
      <c r="G4660">
        <v>499</v>
      </c>
      <c r="H4660">
        <v>0.05</v>
      </c>
      <c r="I4660" t="s">
        <v>44</v>
      </c>
      <c r="J4660" t="s">
        <v>16</v>
      </c>
      <c r="K4660" t="s">
        <v>17</v>
      </c>
      <c r="L4660">
        <f>F4659*G4659*(1-H4659)</f>
        <v>7596.2</v>
      </c>
    </row>
    <row r="4661" spans="1:12">
      <c r="A4661" t="s">
        <v>5496</v>
      </c>
      <c r="B4661" s="1">
        <v>46043</v>
      </c>
      <c r="C4661" t="s">
        <v>1911</v>
      </c>
      <c r="D4661" t="s">
        <v>26</v>
      </c>
      <c r="E4661" t="s">
        <v>27</v>
      </c>
      <c r="F4661">
        <v>4</v>
      </c>
      <c r="G4661">
        <v>4999</v>
      </c>
      <c r="H4661">
        <v>0</v>
      </c>
      <c r="I4661" t="s">
        <v>15</v>
      </c>
      <c r="J4661" t="s">
        <v>28</v>
      </c>
      <c r="K4661" t="s">
        <v>17</v>
      </c>
      <c r="L4661">
        <f>F4660*G4660*(1-H4660)</f>
        <v>1896.1999999999998</v>
      </c>
    </row>
    <row r="4662" spans="1:12">
      <c r="A4662" t="s">
        <v>5497</v>
      </c>
      <c r="B4662" s="1">
        <v>46176</v>
      </c>
      <c r="C4662" t="s">
        <v>318</v>
      </c>
      <c r="D4662" t="s">
        <v>56</v>
      </c>
      <c r="E4662" t="s">
        <v>21</v>
      </c>
      <c r="F4662">
        <v>5</v>
      </c>
      <c r="G4662">
        <v>599</v>
      </c>
      <c r="H4662">
        <v>0.1</v>
      </c>
      <c r="I4662" t="s">
        <v>32</v>
      </c>
      <c r="J4662" t="s">
        <v>16</v>
      </c>
      <c r="K4662" t="s">
        <v>23</v>
      </c>
      <c r="L4662">
        <f>F4661*G4661*(1-H4661)</f>
        <v>19996</v>
      </c>
    </row>
    <row r="4663" spans="1:12">
      <c r="A4663" t="s">
        <v>5498</v>
      </c>
      <c r="B4663" s="1">
        <v>46266</v>
      </c>
      <c r="C4663" t="s">
        <v>489</v>
      </c>
      <c r="D4663" t="s">
        <v>78</v>
      </c>
      <c r="E4663" t="s">
        <v>21</v>
      </c>
      <c r="F4663">
        <v>3</v>
      </c>
      <c r="G4663">
        <v>1299</v>
      </c>
      <c r="H4663">
        <v>0</v>
      </c>
      <c r="I4663" t="s">
        <v>44</v>
      </c>
      <c r="J4663" t="s">
        <v>28</v>
      </c>
      <c r="K4663" t="s">
        <v>17</v>
      </c>
      <c r="L4663">
        <f>F4662*G4662*(1-H4662)</f>
        <v>2695.5</v>
      </c>
    </row>
    <row r="4664" spans="1:12">
      <c r="A4664" t="s">
        <v>5499</v>
      </c>
      <c r="B4664" s="1">
        <v>46238</v>
      </c>
      <c r="C4664" t="s">
        <v>2320</v>
      </c>
      <c r="D4664" t="s">
        <v>59</v>
      </c>
      <c r="E4664" t="s">
        <v>40</v>
      </c>
      <c r="F4664">
        <v>2</v>
      </c>
      <c r="G4664">
        <v>999</v>
      </c>
      <c r="H4664">
        <v>0.05</v>
      </c>
      <c r="I4664" t="s">
        <v>50</v>
      </c>
      <c r="J4664" t="s">
        <v>28</v>
      </c>
      <c r="K4664" t="s">
        <v>17</v>
      </c>
      <c r="L4664">
        <f>F4663*G4663*(1-H4663)</f>
        <v>3897</v>
      </c>
    </row>
    <row r="4665" spans="1:12">
      <c r="A4665" t="s">
        <v>5500</v>
      </c>
      <c r="B4665" s="1">
        <v>46059</v>
      </c>
      <c r="C4665" t="s">
        <v>555</v>
      </c>
      <c r="D4665" t="s">
        <v>78</v>
      </c>
      <c r="E4665" t="s">
        <v>27</v>
      </c>
      <c r="F4665">
        <v>4</v>
      </c>
      <c r="G4665">
        <v>4999</v>
      </c>
      <c r="H4665">
        <v>0.05</v>
      </c>
      <c r="I4665" t="s">
        <v>44</v>
      </c>
      <c r="J4665" t="s">
        <v>51</v>
      </c>
      <c r="K4665" t="s">
        <v>37</v>
      </c>
      <c r="L4665">
        <f>F4664*G4664*(1-H4664)</f>
        <v>1898.1</v>
      </c>
    </row>
    <row r="4666" spans="1:12">
      <c r="A4666" t="s">
        <v>5501</v>
      </c>
      <c r="B4666" s="1">
        <v>46210</v>
      </c>
      <c r="C4666" t="s">
        <v>622</v>
      </c>
      <c r="D4666" t="s">
        <v>31</v>
      </c>
      <c r="E4666" t="s">
        <v>21</v>
      </c>
      <c r="F4666">
        <v>5</v>
      </c>
      <c r="G4666">
        <v>1299</v>
      </c>
      <c r="H4666">
        <v>0</v>
      </c>
      <c r="I4666" t="s">
        <v>44</v>
      </c>
      <c r="J4666" t="s">
        <v>36</v>
      </c>
      <c r="K4666" t="s">
        <v>37</v>
      </c>
      <c r="L4666">
        <f>F4665*G4665*(1-H4665)</f>
        <v>18996.2</v>
      </c>
    </row>
    <row r="4667" spans="1:12">
      <c r="A4667" t="s">
        <v>5502</v>
      </c>
      <c r="B4667" s="1">
        <v>46246</v>
      </c>
      <c r="C4667" t="s">
        <v>265</v>
      </c>
      <c r="D4667" t="s">
        <v>20</v>
      </c>
      <c r="E4667" t="s">
        <v>21</v>
      </c>
      <c r="F4667">
        <v>2</v>
      </c>
      <c r="G4667">
        <v>1299</v>
      </c>
      <c r="H4667">
        <v>0</v>
      </c>
      <c r="I4667" t="s">
        <v>47</v>
      </c>
      <c r="J4667" t="s">
        <v>51</v>
      </c>
      <c r="K4667" t="s">
        <v>37</v>
      </c>
      <c r="L4667">
        <f>F4666*G4666*(1-H4666)</f>
        <v>6495</v>
      </c>
    </row>
    <row r="4668" spans="1:12">
      <c r="A4668" t="s">
        <v>5503</v>
      </c>
      <c r="B4668" s="1">
        <v>46231</v>
      </c>
      <c r="C4668" t="s">
        <v>1347</v>
      </c>
      <c r="D4668" t="s">
        <v>59</v>
      </c>
      <c r="E4668" t="s">
        <v>35</v>
      </c>
      <c r="F4668">
        <v>1</v>
      </c>
      <c r="G4668">
        <v>1499</v>
      </c>
      <c r="H4668">
        <v>0.15</v>
      </c>
      <c r="I4668" t="s">
        <v>50</v>
      </c>
      <c r="J4668" t="s">
        <v>51</v>
      </c>
      <c r="K4668" t="s">
        <v>17</v>
      </c>
      <c r="L4668">
        <f>F4667*G4667*(1-H4667)</f>
        <v>2598</v>
      </c>
    </row>
    <row r="4669" spans="1:12">
      <c r="A4669" t="s">
        <v>5504</v>
      </c>
      <c r="B4669" s="1">
        <v>46182</v>
      </c>
      <c r="C4669" t="s">
        <v>2679</v>
      </c>
      <c r="D4669" t="s">
        <v>31</v>
      </c>
      <c r="E4669" t="s">
        <v>21</v>
      </c>
      <c r="F4669">
        <v>2</v>
      </c>
      <c r="G4669">
        <v>999</v>
      </c>
      <c r="H4669">
        <v>0.15</v>
      </c>
      <c r="I4669" t="s">
        <v>44</v>
      </c>
      <c r="J4669" t="s">
        <v>51</v>
      </c>
      <c r="K4669" t="s">
        <v>23</v>
      </c>
      <c r="L4669">
        <f>F4668*G4668*(1-H4668)</f>
        <v>1274.1499999999999</v>
      </c>
    </row>
    <row r="4670" spans="1:12">
      <c r="A4670" t="s">
        <v>5505</v>
      </c>
      <c r="B4670" s="1">
        <v>46044</v>
      </c>
      <c r="C4670" t="s">
        <v>1726</v>
      </c>
      <c r="D4670" t="s">
        <v>59</v>
      </c>
      <c r="E4670" t="s">
        <v>40</v>
      </c>
      <c r="F4670">
        <v>2</v>
      </c>
      <c r="G4670">
        <v>4999</v>
      </c>
      <c r="H4670">
        <v>0.05</v>
      </c>
      <c r="I4670" t="s">
        <v>50</v>
      </c>
      <c r="J4670" t="s">
        <v>51</v>
      </c>
      <c r="K4670" t="s">
        <v>17</v>
      </c>
      <c r="L4670">
        <f>F4669*G4669*(1-H4669)</f>
        <v>1698.3</v>
      </c>
    </row>
    <row r="4671" spans="1:12">
      <c r="A4671" t="s">
        <v>5506</v>
      </c>
      <c r="B4671" s="1">
        <v>46085</v>
      </c>
      <c r="C4671" t="s">
        <v>448</v>
      </c>
      <c r="D4671" t="s">
        <v>56</v>
      </c>
      <c r="E4671" t="s">
        <v>27</v>
      </c>
      <c r="F4671">
        <v>5</v>
      </c>
      <c r="G4671">
        <v>599</v>
      </c>
      <c r="H4671">
        <v>0.15</v>
      </c>
      <c r="I4671" t="s">
        <v>32</v>
      </c>
      <c r="J4671" t="s">
        <v>16</v>
      </c>
      <c r="K4671" t="s">
        <v>17</v>
      </c>
      <c r="L4671">
        <f>F4670*G4670*(1-H4670)</f>
        <v>9498.1</v>
      </c>
    </row>
    <row r="4672" spans="1:12">
      <c r="A4672" t="s">
        <v>5507</v>
      </c>
      <c r="B4672" s="1">
        <v>46115</v>
      </c>
      <c r="C4672" t="s">
        <v>1052</v>
      </c>
      <c r="D4672" t="s">
        <v>13</v>
      </c>
      <c r="E4672" t="s">
        <v>21</v>
      </c>
      <c r="F4672">
        <v>4</v>
      </c>
      <c r="G4672">
        <v>2499</v>
      </c>
      <c r="H4672">
        <v>0</v>
      </c>
      <c r="I4672" t="s">
        <v>15</v>
      </c>
      <c r="J4672" t="s">
        <v>36</v>
      </c>
      <c r="K4672" t="s">
        <v>23</v>
      </c>
      <c r="L4672">
        <f>F4671*G4671*(1-H4671)</f>
        <v>2545.75</v>
      </c>
    </row>
    <row r="4673" spans="1:12">
      <c r="A4673" t="s">
        <v>5508</v>
      </c>
      <c r="B4673" s="1">
        <v>46292</v>
      </c>
      <c r="C4673" t="s">
        <v>396</v>
      </c>
      <c r="D4673" t="s">
        <v>78</v>
      </c>
      <c r="E4673" t="s">
        <v>40</v>
      </c>
      <c r="F4673">
        <v>2</v>
      </c>
      <c r="G4673">
        <v>4999</v>
      </c>
      <c r="H4673">
        <v>0</v>
      </c>
      <c r="I4673" t="s">
        <v>50</v>
      </c>
      <c r="J4673" t="s">
        <v>28</v>
      </c>
      <c r="K4673" t="s">
        <v>23</v>
      </c>
      <c r="L4673">
        <f>F4672*G4672*(1-H4672)</f>
        <v>9996</v>
      </c>
    </row>
    <row r="4674" spans="1:12">
      <c r="A4674" t="s">
        <v>5509</v>
      </c>
      <c r="B4674" s="1">
        <v>46150</v>
      </c>
      <c r="C4674" t="s">
        <v>121</v>
      </c>
      <c r="D4674" t="s">
        <v>71</v>
      </c>
      <c r="E4674" t="s">
        <v>14</v>
      </c>
      <c r="F4674">
        <v>5</v>
      </c>
      <c r="G4674">
        <v>499</v>
      </c>
      <c r="H4674">
        <v>0.15</v>
      </c>
      <c r="I4674" t="s">
        <v>32</v>
      </c>
      <c r="J4674" t="s">
        <v>36</v>
      </c>
      <c r="K4674" t="s">
        <v>23</v>
      </c>
      <c r="L4674">
        <f>F4673*G4673*(1-H4673)</f>
        <v>9998</v>
      </c>
    </row>
    <row r="4675" spans="1:12">
      <c r="A4675" t="s">
        <v>5510</v>
      </c>
      <c r="B4675" s="1">
        <v>46101</v>
      </c>
      <c r="C4675" t="s">
        <v>1597</v>
      </c>
      <c r="D4675" t="s">
        <v>20</v>
      </c>
      <c r="E4675" t="s">
        <v>14</v>
      </c>
      <c r="F4675">
        <v>3</v>
      </c>
      <c r="G4675">
        <v>2499</v>
      </c>
      <c r="H4675">
        <v>0</v>
      </c>
      <c r="I4675" t="s">
        <v>47</v>
      </c>
      <c r="J4675" t="s">
        <v>36</v>
      </c>
      <c r="K4675" t="s">
        <v>17</v>
      </c>
      <c r="L4675">
        <f>F4674*G4674*(1-H4674)</f>
        <v>2120.75</v>
      </c>
    </row>
    <row r="4676" spans="1:12">
      <c r="A4676" t="s">
        <v>5511</v>
      </c>
      <c r="B4676" s="1">
        <v>46128</v>
      </c>
      <c r="C4676" t="s">
        <v>1136</v>
      </c>
      <c r="D4676" t="s">
        <v>20</v>
      </c>
      <c r="E4676" t="s">
        <v>14</v>
      </c>
      <c r="F4676">
        <v>5</v>
      </c>
      <c r="G4676">
        <v>1999</v>
      </c>
      <c r="H4676">
        <v>0.05</v>
      </c>
      <c r="I4676" t="s">
        <v>50</v>
      </c>
      <c r="J4676" t="s">
        <v>28</v>
      </c>
      <c r="K4676" t="s">
        <v>23</v>
      </c>
      <c r="L4676">
        <f>F4675*G4675*(1-H4675)</f>
        <v>7497</v>
      </c>
    </row>
    <row r="4677" spans="1:12">
      <c r="A4677" t="s">
        <v>5512</v>
      </c>
      <c r="B4677" s="1">
        <v>46080</v>
      </c>
      <c r="C4677" t="s">
        <v>703</v>
      </c>
      <c r="D4677" t="s">
        <v>71</v>
      </c>
      <c r="E4677" t="s">
        <v>40</v>
      </c>
      <c r="F4677">
        <v>5</v>
      </c>
      <c r="G4677">
        <v>999</v>
      </c>
      <c r="H4677">
        <v>0</v>
      </c>
      <c r="I4677" t="s">
        <v>32</v>
      </c>
      <c r="J4677" t="s">
        <v>22</v>
      </c>
      <c r="K4677" t="s">
        <v>17</v>
      </c>
      <c r="L4677">
        <f>F4676*G4676*(1-H4676)</f>
        <v>9495.25</v>
      </c>
    </row>
    <row r="4678" spans="1:12">
      <c r="A4678" t="s">
        <v>5513</v>
      </c>
      <c r="B4678" s="1">
        <v>46276</v>
      </c>
      <c r="C4678" t="s">
        <v>1750</v>
      </c>
      <c r="D4678" t="s">
        <v>56</v>
      </c>
      <c r="E4678" t="s">
        <v>21</v>
      </c>
      <c r="F4678">
        <v>2</v>
      </c>
      <c r="G4678">
        <v>1499</v>
      </c>
      <c r="H4678">
        <v>0.05</v>
      </c>
      <c r="I4678" t="s">
        <v>47</v>
      </c>
      <c r="J4678" t="s">
        <v>16</v>
      </c>
      <c r="K4678" t="s">
        <v>17</v>
      </c>
      <c r="L4678">
        <f>F4677*G4677*(1-H4677)</f>
        <v>4995</v>
      </c>
    </row>
    <row r="4679" spans="1:12">
      <c r="A4679" t="s">
        <v>5514</v>
      </c>
      <c r="B4679" s="1">
        <v>46183</v>
      </c>
      <c r="C4679" t="s">
        <v>1235</v>
      </c>
      <c r="D4679" t="s">
        <v>59</v>
      </c>
      <c r="E4679" t="s">
        <v>21</v>
      </c>
      <c r="F4679">
        <v>3</v>
      </c>
      <c r="G4679">
        <v>4999</v>
      </c>
      <c r="H4679">
        <v>0</v>
      </c>
      <c r="I4679" t="s">
        <v>47</v>
      </c>
      <c r="J4679" t="s">
        <v>36</v>
      </c>
      <c r="K4679" t="s">
        <v>37</v>
      </c>
      <c r="L4679">
        <f>F4678*G4678*(1-H4678)</f>
        <v>2848.1</v>
      </c>
    </row>
    <row r="4680" spans="1:12">
      <c r="A4680" t="s">
        <v>5515</v>
      </c>
      <c r="B4680" s="1">
        <v>46258</v>
      </c>
      <c r="C4680" t="s">
        <v>597</v>
      </c>
      <c r="D4680" t="s">
        <v>43</v>
      </c>
      <c r="E4680" t="s">
        <v>35</v>
      </c>
      <c r="F4680">
        <v>4</v>
      </c>
      <c r="G4680">
        <v>1499</v>
      </c>
      <c r="H4680">
        <v>0.15</v>
      </c>
      <c r="I4680" t="s">
        <v>50</v>
      </c>
      <c r="J4680" t="s">
        <v>16</v>
      </c>
      <c r="K4680" t="s">
        <v>37</v>
      </c>
      <c r="L4680">
        <f>F4679*G4679*(1-H4679)</f>
        <v>14997</v>
      </c>
    </row>
    <row r="4681" spans="1:12">
      <c r="A4681" t="s">
        <v>5516</v>
      </c>
      <c r="B4681" s="1">
        <v>46267</v>
      </c>
      <c r="C4681" t="s">
        <v>1750</v>
      </c>
      <c r="D4681" t="s">
        <v>31</v>
      </c>
      <c r="E4681" t="s">
        <v>21</v>
      </c>
      <c r="F4681">
        <v>1</v>
      </c>
      <c r="G4681">
        <v>1299</v>
      </c>
      <c r="H4681">
        <v>0</v>
      </c>
      <c r="I4681" t="s">
        <v>15</v>
      </c>
      <c r="J4681" t="s">
        <v>22</v>
      </c>
      <c r="K4681" t="s">
        <v>17</v>
      </c>
      <c r="L4681">
        <f>F4680*G4680*(1-H4680)</f>
        <v>5096.5999999999995</v>
      </c>
    </row>
    <row r="4682" spans="1:12">
      <c r="A4682" t="s">
        <v>5517</v>
      </c>
      <c r="B4682" s="1">
        <v>46030</v>
      </c>
      <c r="C4682" t="s">
        <v>989</v>
      </c>
      <c r="D4682" t="s">
        <v>56</v>
      </c>
      <c r="E4682" t="s">
        <v>27</v>
      </c>
      <c r="F4682">
        <v>4</v>
      </c>
      <c r="G4682">
        <v>4999</v>
      </c>
      <c r="H4682">
        <v>0</v>
      </c>
      <c r="I4682" t="s">
        <v>15</v>
      </c>
      <c r="J4682" t="s">
        <v>51</v>
      </c>
      <c r="K4682" t="s">
        <v>37</v>
      </c>
      <c r="L4682">
        <f>F4681*G4681*(1-H4681)</f>
        <v>1299</v>
      </c>
    </row>
    <row r="4683" spans="1:12">
      <c r="A4683" t="s">
        <v>5518</v>
      </c>
      <c r="B4683" s="1">
        <v>46173</v>
      </c>
      <c r="C4683" t="s">
        <v>498</v>
      </c>
      <c r="D4683" t="s">
        <v>78</v>
      </c>
      <c r="E4683" t="s">
        <v>40</v>
      </c>
      <c r="F4683">
        <v>1</v>
      </c>
      <c r="G4683">
        <v>499</v>
      </c>
      <c r="H4683">
        <v>0.1</v>
      </c>
      <c r="I4683" t="s">
        <v>32</v>
      </c>
      <c r="J4683" t="s">
        <v>28</v>
      </c>
      <c r="K4683" t="s">
        <v>37</v>
      </c>
      <c r="L4683">
        <f>F4682*G4682*(1-H4682)</f>
        <v>19996</v>
      </c>
    </row>
    <row r="4684" spans="1:12">
      <c r="A4684" t="s">
        <v>5519</v>
      </c>
      <c r="B4684" s="1">
        <v>46274</v>
      </c>
      <c r="C4684" t="s">
        <v>1052</v>
      </c>
      <c r="D4684" t="s">
        <v>78</v>
      </c>
      <c r="E4684" t="s">
        <v>35</v>
      </c>
      <c r="F4684">
        <v>3</v>
      </c>
      <c r="G4684">
        <v>2499</v>
      </c>
      <c r="H4684">
        <v>0</v>
      </c>
      <c r="I4684" t="s">
        <v>47</v>
      </c>
      <c r="J4684" t="s">
        <v>36</v>
      </c>
      <c r="K4684" t="s">
        <v>17</v>
      </c>
      <c r="L4684">
        <f>F4683*G4683*(1-H4683)</f>
        <v>449.1</v>
      </c>
    </row>
    <row r="4685" spans="1:12">
      <c r="A4685" t="s">
        <v>5520</v>
      </c>
      <c r="B4685" s="1">
        <v>46280</v>
      </c>
      <c r="C4685" t="s">
        <v>1568</v>
      </c>
      <c r="D4685" t="s">
        <v>31</v>
      </c>
      <c r="E4685" t="s">
        <v>40</v>
      </c>
      <c r="F4685">
        <v>1</v>
      </c>
      <c r="G4685">
        <v>4999</v>
      </c>
      <c r="H4685">
        <v>0.1</v>
      </c>
      <c r="I4685" t="s">
        <v>32</v>
      </c>
      <c r="J4685" t="s">
        <v>51</v>
      </c>
      <c r="K4685" t="s">
        <v>17</v>
      </c>
      <c r="L4685">
        <f>F4684*G4684*(1-H4684)</f>
        <v>7497</v>
      </c>
    </row>
    <row r="4686" spans="1:12">
      <c r="A4686" t="s">
        <v>5521</v>
      </c>
      <c r="B4686" s="1">
        <v>46206</v>
      </c>
      <c r="C4686" t="s">
        <v>4405</v>
      </c>
      <c r="D4686" t="s">
        <v>56</v>
      </c>
      <c r="E4686" t="s">
        <v>40</v>
      </c>
      <c r="F4686">
        <v>2</v>
      </c>
      <c r="G4686">
        <v>2499</v>
      </c>
      <c r="H4686">
        <v>0.1</v>
      </c>
      <c r="I4686" t="s">
        <v>15</v>
      </c>
      <c r="J4686" t="s">
        <v>16</v>
      </c>
      <c r="K4686" t="s">
        <v>17</v>
      </c>
      <c r="L4686">
        <f>F4685*G4685*(1-H4685)</f>
        <v>4499.1000000000004</v>
      </c>
    </row>
    <row r="4687" spans="1:12">
      <c r="A4687" t="s">
        <v>5522</v>
      </c>
      <c r="B4687" s="1">
        <v>46078</v>
      </c>
      <c r="C4687" t="s">
        <v>2066</v>
      </c>
      <c r="D4687" t="s">
        <v>31</v>
      </c>
      <c r="E4687" t="s">
        <v>14</v>
      </c>
      <c r="F4687">
        <v>2</v>
      </c>
      <c r="G4687">
        <v>4999</v>
      </c>
      <c r="H4687">
        <v>0.15</v>
      </c>
      <c r="I4687" t="s">
        <v>15</v>
      </c>
      <c r="J4687" t="s">
        <v>16</v>
      </c>
      <c r="K4687" t="s">
        <v>17</v>
      </c>
      <c r="L4687">
        <f>F4686*G4686*(1-H4686)</f>
        <v>4498.2</v>
      </c>
    </row>
    <row r="4688" spans="1:12">
      <c r="A4688" t="s">
        <v>5523</v>
      </c>
      <c r="B4688" s="1">
        <v>46270</v>
      </c>
      <c r="C4688" t="s">
        <v>699</v>
      </c>
      <c r="D4688" t="s">
        <v>26</v>
      </c>
      <c r="E4688" t="s">
        <v>40</v>
      </c>
      <c r="F4688">
        <v>4</v>
      </c>
      <c r="G4688">
        <v>1499</v>
      </c>
      <c r="H4688">
        <v>0.15</v>
      </c>
      <c r="I4688" t="s">
        <v>44</v>
      </c>
      <c r="J4688" t="s">
        <v>22</v>
      </c>
      <c r="K4688" t="s">
        <v>23</v>
      </c>
      <c r="L4688">
        <f>F4687*G4687*(1-H4687)</f>
        <v>8498.2999999999993</v>
      </c>
    </row>
    <row r="4689" spans="1:12">
      <c r="A4689" t="s">
        <v>5524</v>
      </c>
      <c r="B4689" s="1">
        <v>46089</v>
      </c>
      <c r="C4689" t="s">
        <v>1448</v>
      </c>
      <c r="D4689" t="s">
        <v>56</v>
      </c>
      <c r="E4689" t="s">
        <v>14</v>
      </c>
      <c r="F4689">
        <v>4</v>
      </c>
      <c r="G4689">
        <v>7999</v>
      </c>
      <c r="H4689">
        <v>0.1</v>
      </c>
      <c r="I4689" t="s">
        <v>15</v>
      </c>
      <c r="J4689" t="s">
        <v>22</v>
      </c>
      <c r="K4689" t="s">
        <v>17</v>
      </c>
      <c r="L4689">
        <f>F4688*G4688*(1-H4688)</f>
        <v>5096.5999999999995</v>
      </c>
    </row>
    <row r="4690" spans="1:12">
      <c r="A4690" t="s">
        <v>5525</v>
      </c>
      <c r="B4690" s="1">
        <v>46245</v>
      </c>
      <c r="C4690" t="s">
        <v>2270</v>
      </c>
      <c r="D4690" t="s">
        <v>43</v>
      </c>
      <c r="E4690" t="s">
        <v>14</v>
      </c>
      <c r="F4690">
        <v>3</v>
      </c>
      <c r="G4690">
        <v>599</v>
      </c>
      <c r="H4690">
        <v>0</v>
      </c>
      <c r="I4690" t="s">
        <v>44</v>
      </c>
      <c r="J4690" t="s">
        <v>16</v>
      </c>
      <c r="K4690" t="s">
        <v>17</v>
      </c>
      <c r="L4690">
        <f>F4689*G4689*(1-H4689)</f>
        <v>28796.400000000001</v>
      </c>
    </row>
    <row r="4691" spans="1:12">
      <c r="A4691" t="s">
        <v>5526</v>
      </c>
      <c r="B4691" s="1">
        <v>46045</v>
      </c>
      <c r="C4691" t="s">
        <v>182</v>
      </c>
      <c r="D4691" t="s">
        <v>26</v>
      </c>
      <c r="E4691" t="s">
        <v>14</v>
      </c>
      <c r="F4691">
        <v>4</v>
      </c>
      <c r="G4691">
        <v>499</v>
      </c>
      <c r="H4691">
        <v>0.15</v>
      </c>
      <c r="I4691" t="s">
        <v>47</v>
      </c>
      <c r="J4691" t="s">
        <v>22</v>
      </c>
      <c r="K4691" t="s">
        <v>17</v>
      </c>
      <c r="L4691">
        <f>F4690*G4690*(1-H4690)</f>
        <v>1797</v>
      </c>
    </row>
    <row r="4692" spans="1:12">
      <c r="A4692" t="s">
        <v>5527</v>
      </c>
      <c r="B4692" s="1">
        <v>46248</v>
      </c>
      <c r="C4692" t="s">
        <v>3006</v>
      </c>
      <c r="D4692" t="s">
        <v>43</v>
      </c>
      <c r="E4692" t="s">
        <v>35</v>
      </c>
      <c r="F4692">
        <v>3</v>
      </c>
      <c r="G4692">
        <v>999</v>
      </c>
      <c r="H4692">
        <v>0.1</v>
      </c>
      <c r="I4692" t="s">
        <v>32</v>
      </c>
      <c r="J4692" t="s">
        <v>28</v>
      </c>
      <c r="K4692" t="s">
        <v>37</v>
      </c>
      <c r="L4692">
        <f>F4691*G4691*(1-H4691)</f>
        <v>1696.6</v>
      </c>
    </row>
    <row r="4693" spans="1:12">
      <c r="A4693" t="s">
        <v>5528</v>
      </c>
      <c r="B4693" s="1">
        <v>46062</v>
      </c>
      <c r="C4693" t="s">
        <v>594</v>
      </c>
      <c r="D4693" t="s">
        <v>13</v>
      </c>
      <c r="E4693" t="s">
        <v>40</v>
      </c>
      <c r="F4693">
        <v>4</v>
      </c>
      <c r="G4693">
        <v>599</v>
      </c>
      <c r="H4693">
        <v>0</v>
      </c>
      <c r="I4693" t="s">
        <v>47</v>
      </c>
      <c r="J4693" t="s">
        <v>22</v>
      </c>
      <c r="K4693" t="s">
        <v>17</v>
      </c>
      <c r="L4693">
        <f>F4692*G4692*(1-H4692)</f>
        <v>2697.3</v>
      </c>
    </row>
    <row r="4694" spans="1:12">
      <c r="A4694" t="s">
        <v>5529</v>
      </c>
      <c r="B4694" s="1">
        <v>46189</v>
      </c>
      <c r="C4694" t="s">
        <v>1804</v>
      </c>
      <c r="D4694" t="s">
        <v>71</v>
      </c>
      <c r="E4694" t="s">
        <v>21</v>
      </c>
      <c r="F4694">
        <v>5</v>
      </c>
      <c r="G4694">
        <v>4999</v>
      </c>
      <c r="H4694">
        <v>0.15</v>
      </c>
      <c r="I4694" t="s">
        <v>50</v>
      </c>
      <c r="J4694" t="s">
        <v>51</v>
      </c>
      <c r="K4694" t="s">
        <v>23</v>
      </c>
      <c r="L4694">
        <f>F4693*G4693*(1-H4693)</f>
        <v>2396</v>
      </c>
    </row>
    <row r="4695" spans="1:12">
      <c r="A4695" t="s">
        <v>5530</v>
      </c>
      <c r="B4695" s="1">
        <v>46156</v>
      </c>
      <c r="C4695" t="s">
        <v>3336</v>
      </c>
      <c r="D4695" t="s">
        <v>26</v>
      </c>
      <c r="E4695" t="s">
        <v>40</v>
      </c>
      <c r="F4695">
        <v>2</v>
      </c>
      <c r="G4695">
        <v>4999</v>
      </c>
      <c r="H4695">
        <v>0</v>
      </c>
      <c r="I4695" t="s">
        <v>44</v>
      </c>
      <c r="J4695" t="s">
        <v>51</v>
      </c>
      <c r="K4695" t="s">
        <v>37</v>
      </c>
      <c r="L4695">
        <f>F4694*G4694*(1-H4694)</f>
        <v>21245.75</v>
      </c>
    </row>
    <row r="4696" spans="1:12">
      <c r="A4696" t="s">
        <v>5531</v>
      </c>
      <c r="B4696" s="1">
        <v>46212</v>
      </c>
      <c r="C4696" t="s">
        <v>1508</v>
      </c>
      <c r="D4696" t="s">
        <v>59</v>
      </c>
      <c r="E4696" t="s">
        <v>40</v>
      </c>
      <c r="F4696">
        <v>5</v>
      </c>
      <c r="G4696">
        <v>799</v>
      </c>
      <c r="H4696">
        <v>0.15</v>
      </c>
      <c r="I4696" t="s">
        <v>44</v>
      </c>
      <c r="J4696" t="s">
        <v>16</v>
      </c>
      <c r="K4696" t="s">
        <v>37</v>
      </c>
      <c r="L4696">
        <f>F4695*G4695*(1-H4695)</f>
        <v>9998</v>
      </c>
    </row>
    <row r="4697" spans="1:12">
      <c r="A4697" t="s">
        <v>5532</v>
      </c>
      <c r="B4697" s="1">
        <v>46049</v>
      </c>
      <c r="C4697" t="s">
        <v>1080</v>
      </c>
      <c r="D4697" t="s">
        <v>56</v>
      </c>
      <c r="E4697" t="s">
        <v>14</v>
      </c>
      <c r="F4697">
        <v>4</v>
      </c>
      <c r="G4697">
        <v>599</v>
      </c>
      <c r="H4697">
        <v>0.1</v>
      </c>
      <c r="I4697" t="s">
        <v>15</v>
      </c>
      <c r="J4697" t="s">
        <v>36</v>
      </c>
      <c r="K4697" t="s">
        <v>17</v>
      </c>
      <c r="L4697">
        <f>F4696*G4696*(1-H4696)</f>
        <v>3395.75</v>
      </c>
    </row>
    <row r="4698" spans="1:12">
      <c r="A4698" t="s">
        <v>5533</v>
      </c>
      <c r="B4698" s="1">
        <v>46266</v>
      </c>
      <c r="C4698" t="s">
        <v>182</v>
      </c>
      <c r="D4698" t="s">
        <v>26</v>
      </c>
      <c r="E4698" t="s">
        <v>14</v>
      </c>
      <c r="F4698">
        <v>4</v>
      </c>
      <c r="G4698">
        <v>2499</v>
      </c>
      <c r="H4698">
        <v>0.05</v>
      </c>
      <c r="I4698" t="s">
        <v>15</v>
      </c>
      <c r="J4698" t="s">
        <v>51</v>
      </c>
      <c r="K4698" t="s">
        <v>37</v>
      </c>
      <c r="L4698">
        <f>F4697*G4697*(1-H4697)</f>
        <v>2156.4</v>
      </c>
    </row>
    <row r="4699" spans="1:12">
      <c r="A4699" t="s">
        <v>5534</v>
      </c>
      <c r="B4699" s="1">
        <v>46203</v>
      </c>
      <c r="C4699" t="s">
        <v>653</v>
      </c>
      <c r="D4699" t="s">
        <v>71</v>
      </c>
      <c r="E4699" t="s">
        <v>21</v>
      </c>
      <c r="F4699">
        <v>1</v>
      </c>
      <c r="G4699">
        <v>499</v>
      </c>
      <c r="H4699">
        <v>0.05</v>
      </c>
      <c r="I4699" t="s">
        <v>50</v>
      </c>
      <c r="J4699" t="s">
        <v>36</v>
      </c>
      <c r="K4699" t="s">
        <v>37</v>
      </c>
      <c r="L4699">
        <f>F4698*G4698*(1-H4698)</f>
        <v>9496.1999999999989</v>
      </c>
    </row>
    <row r="4700" spans="1:12">
      <c r="A4700" t="s">
        <v>5535</v>
      </c>
      <c r="B4700" s="1">
        <v>46129</v>
      </c>
      <c r="C4700" t="s">
        <v>1923</v>
      </c>
      <c r="D4700" t="s">
        <v>71</v>
      </c>
      <c r="E4700" t="s">
        <v>27</v>
      </c>
      <c r="F4700">
        <v>5</v>
      </c>
      <c r="G4700">
        <v>4999</v>
      </c>
      <c r="H4700">
        <v>0.05</v>
      </c>
      <c r="I4700" t="s">
        <v>44</v>
      </c>
      <c r="J4700" t="s">
        <v>28</v>
      </c>
      <c r="K4700" t="s">
        <v>17</v>
      </c>
      <c r="L4700">
        <f>F4699*G4699*(1-H4699)</f>
        <v>474.04999999999995</v>
      </c>
    </row>
    <row r="4701" spans="1:12">
      <c r="A4701" t="s">
        <v>5536</v>
      </c>
      <c r="B4701" s="1">
        <v>46211</v>
      </c>
      <c r="C4701" t="s">
        <v>567</v>
      </c>
      <c r="D4701" t="s">
        <v>71</v>
      </c>
      <c r="E4701" t="s">
        <v>14</v>
      </c>
      <c r="F4701">
        <v>3</v>
      </c>
      <c r="G4701">
        <v>599</v>
      </c>
      <c r="H4701">
        <v>0</v>
      </c>
      <c r="I4701" t="s">
        <v>50</v>
      </c>
      <c r="J4701" t="s">
        <v>16</v>
      </c>
      <c r="K4701" t="s">
        <v>17</v>
      </c>
      <c r="L4701">
        <f>F4700*G4700*(1-H4700)</f>
        <v>23745.25</v>
      </c>
    </row>
    <row r="4702" spans="1:12">
      <c r="A4702" t="s">
        <v>5537</v>
      </c>
      <c r="B4702" s="1">
        <v>46040</v>
      </c>
      <c r="C4702" t="s">
        <v>1590</v>
      </c>
      <c r="D4702" t="s">
        <v>20</v>
      </c>
      <c r="E4702" t="s">
        <v>40</v>
      </c>
      <c r="F4702">
        <v>2</v>
      </c>
      <c r="G4702">
        <v>499</v>
      </c>
      <c r="H4702">
        <v>0.15</v>
      </c>
      <c r="I4702" t="s">
        <v>50</v>
      </c>
      <c r="J4702" t="s">
        <v>22</v>
      </c>
      <c r="K4702" t="s">
        <v>17</v>
      </c>
      <c r="L4702">
        <f>F4701*G4701*(1-H4701)</f>
        <v>1797</v>
      </c>
    </row>
    <row r="4703" spans="1:12">
      <c r="A4703" t="s">
        <v>5538</v>
      </c>
      <c r="B4703" s="1">
        <v>46060</v>
      </c>
      <c r="C4703" t="s">
        <v>2898</v>
      </c>
      <c r="D4703" t="s">
        <v>71</v>
      </c>
      <c r="E4703" t="s">
        <v>35</v>
      </c>
      <c r="F4703">
        <v>4</v>
      </c>
      <c r="G4703">
        <v>2499</v>
      </c>
      <c r="H4703">
        <v>0</v>
      </c>
      <c r="I4703" t="s">
        <v>50</v>
      </c>
      <c r="J4703" t="s">
        <v>22</v>
      </c>
      <c r="K4703" t="s">
        <v>17</v>
      </c>
      <c r="L4703">
        <f>F4702*G4702*(1-H4702)</f>
        <v>848.3</v>
      </c>
    </row>
    <row r="4704" spans="1:12">
      <c r="A4704" t="s">
        <v>5539</v>
      </c>
      <c r="B4704" s="1">
        <v>46059</v>
      </c>
      <c r="C4704" t="s">
        <v>1146</v>
      </c>
      <c r="D4704" t="s">
        <v>20</v>
      </c>
      <c r="E4704" t="s">
        <v>21</v>
      </c>
      <c r="F4704">
        <v>4</v>
      </c>
      <c r="G4704">
        <v>1999</v>
      </c>
      <c r="H4704">
        <v>0.15</v>
      </c>
      <c r="I4704" t="s">
        <v>32</v>
      </c>
      <c r="J4704" t="s">
        <v>16</v>
      </c>
      <c r="K4704" t="s">
        <v>37</v>
      </c>
      <c r="L4704">
        <f>F4703*G4703*(1-H4703)</f>
        <v>9996</v>
      </c>
    </row>
    <row r="4705" spans="1:12">
      <c r="A4705" t="s">
        <v>5540</v>
      </c>
      <c r="B4705" s="1">
        <v>46264</v>
      </c>
      <c r="C4705" t="s">
        <v>1737</v>
      </c>
      <c r="D4705" t="s">
        <v>62</v>
      </c>
      <c r="E4705" t="s">
        <v>35</v>
      </c>
      <c r="F4705">
        <v>3</v>
      </c>
      <c r="G4705">
        <v>799</v>
      </c>
      <c r="H4705">
        <v>0</v>
      </c>
      <c r="I4705" t="s">
        <v>15</v>
      </c>
      <c r="J4705" t="s">
        <v>22</v>
      </c>
      <c r="K4705" t="s">
        <v>37</v>
      </c>
      <c r="L4705">
        <f>F4704*G4704*(1-H4704)</f>
        <v>6796.5999999999995</v>
      </c>
    </row>
    <row r="4706" spans="1:12">
      <c r="A4706" t="s">
        <v>5541</v>
      </c>
      <c r="B4706" s="1">
        <v>46106</v>
      </c>
      <c r="C4706" t="s">
        <v>1911</v>
      </c>
      <c r="D4706" t="s">
        <v>13</v>
      </c>
      <c r="E4706" t="s">
        <v>21</v>
      </c>
      <c r="F4706">
        <v>5</v>
      </c>
      <c r="G4706">
        <v>799</v>
      </c>
      <c r="H4706">
        <v>0</v>
      </c>
      <c r="I4706" t="s">
        <v>32</v>
      </c>
      <c r="J4706" t="s">
        <v>22</v>
      </c>
      <c r="K4706" t="s">
        <v>17</v>
      </c>
      <c r="L4706">
        <f>F4705*G4705*(1-H4705)</f>
        <v>2397</v>
      </c>
    </row>
    <row r="4707" spans="1:12">
      <c r="A4707" t="s">
        <v>5542</v>
      </c>
      <c r="B4707" s="1">
        <v>46169</v>
      </c>
      <c r="C4707" t="s">
        <v>792</v>
      </c>
      <c r="D4707" t="s">
        <v>56</v>
      </c>
      <c r="E4707" t="s">
        <v>14</v>
      </c>
      <c r="F4707">
        <v>1</v>
      </c>
      <c r="G4707">
        <v>4999</v>
      </c>
      <c r="H4707">
        <v>0.05</v>
      </c>
      <c r="I4707" t="s">
        <v>44</v>
      </c>
      <c r="J4707" t="s">
        <v>51</v>
      </c>
      <c r="K4707" t="s">
        <v>37</v>
      </c>
      <c r="L4707">
        <f>F4706*G4706*(1-H4706)</f>
        <v>3995</v>
      </c>
    </row>
    <row r="4708" spans="1:12">
      <c r="A4708" t="s">
        <v>5543</v>
      </c>
      <c r="B4708" s="1">
        <v>46127</v>
      </c>
      <c r="C4708" t="s">
        <v>1695</v>
      </c>
      <c r="D4708" t="s">
        <v>62</v>
      </c>
      <c r="E4708" t="s">
        <v>27</v>
      </c>
      <c r="F4708">
        <v>2</v>
      </c>
      <c r="G4708">
        <v>2499</v>
      </c>
      <c r="H4708">
        <v>0</v>
      </c>
      <c r="I4708" t="s">
        <v>15</v>
      </c>
      <c r="J4708" t="s">
        <v>16</v>
      </c>
      <c r="K4708" t="s">
        <v>17</v>
      </c>
      <c r="L4708">
        <f>F4707*G4707*(1-H4707)</f>
        <v>4749.05</v>
      </c>
    </row>
    <row r="4709" spans="1:12">
      <c r="A4709" t="s">
        <v>5544</v>
      </c>
      <c r="B4709" s="1">
        <v>46261</v>
      </c>
      <c r="C4709" t="s">
        <v>759</v>
      </c>
      <c r="D4709" t="s">
        <v>71</v>
      </c>
      <c r="E4709" t="s">
        <v>14</v>
      </c>
      <c r="F4709">
        <v>1</v>
      </c>
      <c r="G4709">
        <v>7999</v>
      </c>
      <c r="H4709">
        <v>0</v>
      </c>
      <c r="I4709" t="s">
        <v>32</v>
      </c>
      <c r="J4709" t="s">
        <v>51</v>
      </c>
      <c r="K4709" t="s">
        <v>17</v>
      </c>
      <c r="L4709">
        <f>F4708*G4708*(1-H4708)</f>
        <v>4998</v>
      </c>
    </row>
    <row r="4710" spans="1:12">
      <c r="A4710" t="s">
        <v>5545</v>
      </c>
      <c r="B4710" s="1">
        <v>46073</v>
      </c>
      <c r="C4710" t="s">
        <v>2429</v>
      </c>
      <c r="D4710" t="s">
        <v>20</v>
      </c>
      <c r="E4710" t="s">
        <v>35</v>
      </c>
      <c r="F4710">
        <v>4</v>
      </c>
      <c r="G4710">
        <v>7999</v>
      </c>
      <c r="H4710">
        <v>0.15</v>
      </c>
      <c r="I4710" t="s">
        <v>50</v>
      </c>
      <c r="J4710" t="s">
        <v>28</v>
      </c>
      <c r="K4710" t="s">
        <v>17</v>
      </c>
      <c r="L4710">
        <f>F4709*G4709*(1-H4709)</f>
        <v>7999</v>
      </c>
    </row>
    <row r="4711" spans="1:12">
      <c r="A4711" t="s">
        <v>5546</v>
      </c>
      <c r="B4711" s="1">
        <v>46036</v>
      </c>
      <c r="C4711" t="s">
        <v>940</v>
      </c>
      <c r="D4711" t="s">
        <v>26</v>
      </c>
      <c r="E4711" t="s">
        <v>40</v>
      </c>
      <c r="F4711">
        <v>1</v>
      </c>
      <c r="G4711">
        <v>7999</v>
      </c>
      <c r="H4711">
        <v>0.15</v>
      </c>
      <c r="I4711" t="s">
        <v>32</v>
      </c>
      <c r="J4711" t="s">
        <v>16</v>
      </c>
      <c r="K4711" t="s">
        <v>17</v>
      </c>
      <c r="L4711">
        <f>F4710*G4710*(1-H4710)</f>
        <v>27196.6</v>
      </c>
    </row>
    <row r="4712" spans="1:12">
      <c r="A4712" t="s">
        <v>5547</v>
      </c>
      <c r="B4712" s="1">
        <v>46276</v>
      </c>
      <c r="C4712" t="s">
        <v>2005</v>
      </c>
      <c r="D4712" t="s">
        <v>62</v>
      </c>
      <c r="E4712" t="s">
        <v>35</v>
      </c>
      <c r="F4712">
        <v>4</v>
      </c>
      <c r="G4712">
        <v>7999</v>
      </c>
      <c r="H4712">
        <v>0</v>
      </c>
      <c r="I4712" t="s">
        <v>50</v>
      </c>
      <c r="J4712" t="s">
        <v>22</v>
      </c>
      <c r="K4712" t="s">
        <v>37</v>
      </c>
      <c r="L4712">
        <f>F4711*G4711*(1-H4711)</f>
        <v>6799.15</v>
      </c>
    </row>
    <row r="4713" spans="1:12">
      <c r="A4713" t="s">
        <v>5548</v>
      </c>
      <c r="B4713" s="1">
        <v>46116</v>
      </c>
      <c r="C4713" t="s">
        <v>729</v>
      </c>
      <c r="D4713" t="s">
        <v>20</v>
      </c>
      <c r="E4713" t="s">
        <v>35</v>
      </c>
      <c r="F4713">
        <v>2</v>
      </c>
      <c r="G4713">
        <v>599</v>
      </c>
      <c r="H4713">
        <v>0.05</v>
      </c>
      <c r="I4713" t="s">
        <v>32</v>
      </c>
      <c r="J4713" t="s">
        <v>16</v>
      </c>
      <c r="K4713" t="s">
        <v>23</v>
      </c>
      <c r="L4713">
        <f>F4712*G4712*(1-H4712)</f>
        <v>31996</v>
      </c>
    </row>
    <row r="4714" spans="1:12">
      <c r="A4714" t="s">
        <v>5549</v>
      </c>
      <c r="B4714" s="1">
        <v>46259</v>
      </c>
      <c r="C4714" t="s">
        <v>741</v>
      </c>
      <c r="D4714" t="s">
        <v>20</v>
      </c>
      <c r="E4714" t="s">
        <v>21</v>
      </c>
      <c r="F4714">
        <v>1</v>
      </c>
      <c r="G4714">
        <v>1299</v>
      </c>
      <c r="H4714">
        <v>0</v>
      </c>
      <c r="I4714" t="s">
        <v>15</v>
      </c>
      <c r="J4714" t="s">
        <v>16</v>
      </c>
      <c r="K4714" t="s">
        <v>37</v>
      </c>
      <c r="L4714">
        <f>F4713*G4713*(1-H4713)</f>
        <v>1138.0999999999999</v>
      </c>
    </row>
    <row r="4715" spans="1:12">
      <c r="A4715" t="s">
        <v>5550</v>
      </c>
      <c r="B4715" s="1">
        <v>46259</v>
      </c>
      <c r="C4715" t="s">
        <v>680</v>
      </c>
      <c r="D4715" t="s">
        <v>71</v>
      </c>
      <c r="E4715" t="s">
        <v>40</v>
      </c>
      <c r="F4715">
        <v>5</v>
      </c>
      <c r="G4715">
        <v>499</v>
      </c>
      <c r="H4715">
        <v>0.15</v>
      </c>
      <c r="I4715" t="s">
        <v>15</v>
      </c>
      <c r="J4715" t="s">
        <v>51</v>
      </c>
      <c r="K4715" t="s">
        <v>17</v>
      </c>
      <c r="L4715">
        <f>F4714*G4714*(1-H4714)</f>
        <v>1299</v>
      </c>
    </row>
    <row r="4716" spans="1:12">
      <c r="A4716" t="s">
        <v>5551</v>
      </c>
      <c r="B4716" s="1">
        <v>46081</v>
      </c>
      <c r="C4716" t="s">
        <v>70</v>
      </c>
      <c r="D4716" t="s">
        <v>71</v>
      </c>
      <c r="E4716" t="s">
        <v>14</v>
      </c>
      <c r="F4716">
        <v>5</v>
      </c>
      <c r="G4716">
        <v>499</v>
      </c>
      <c r="H4716">
        <v>0</v>
      </c>
      <c r="I4716" t="s">
        <v>50</v>
      </c>
      <c r="J4716" t="s">
        <v>22</v>
      </c>
      <c r="K4716" t="s">
        <v>17</v>
      </c>
      <c r="L4716">
        <f>F4715*G4715*(1-H4715)</f>
        <v>2120.75</v>
      </c>
    </row>
    <row r="4717" spans="1:12">
      <c r="A4717" t="s">
        <v>5552</v>
      </c>
      <c r="B4717" s="1">
        <v>46164</v>
      </c>
      <c r="C4717" t="s">
        <v>1563</v>
      </c>
      <c r="D4717" t="s">
        <v>62</v>
      </c>
      <c r="E4717" t="s">
        <v>14</v>
      </c>
      <c r="F4717">
        <v>3</v>
      </c>
      <c r="G4717">
        <v>1999</v>
      </c>
      <c r="H4717">
        <v>0.1</v>
      </c>
      <c r="I4717" t="s">
        <v>15</v>
      </c>
      <c r="J4717" t="s">
        <v>28</v>
      </c>
      <c r="K4717" t="s">
        <v>37</v>
      </c>
      <c r="L4717">
        <f>F4716*G4716*(1-H4716)</f>
        <v>2495</v>
      </c>
    </row>
    <row r="4718" spans="1:12">
      <c r="A4718" t="s">
        <v>5553</v>
      </c>
      <c r="B4718" s="1">
        <v>46246</v>
      </c>
      <c r="C4718" t="s">
        <v>2040</v>
      </c>
      <c r="D4718" t="s">
        <v>26</v>
      </c>
      <c r="E4718" t="s">
        <v>21</v>
      </c>
      <c r="F4718">
        <v>1</v>
      </c>
      <c r="G4718">
        <v>799</v>
      </c>
      <c r="H4718">
        <v>0.05</v>
      </c>
      <c r="I4718" t="s">
        <v>47</v>
      </c>
      <c r="J4718" t="s">
        <v>36</v>
      </c>
      <c r="K4718" t="s">
        <v>23</v>
      </c>
      <c r="L4718">
        <f>F4717*G4717*(1-H4717)</f>
        <v>5397.3</v>
      </c>
    </row>
    <row r="4719" spans="1:12">
      <c r="A4719" t="s">
        <v>5554</v>
      </c>
      <c r="B4719" s="1">
        <v>46116</v>
      </c>
      <c r="C4719" t="s">
        <v>2915</v>
      </c>
      <c r="D4719" t="s">
        <v>62</v>
      </c>
      <c r="E4719" t="s">
        <v>27</v>
      </c>
      <c r="F4719">
        <v>4</v>
      </c>
      <c r="G4719">
        <v>2499</v>
      </c>
      <c r="H4719">
        <v>0.1</v>
      </c>
      <c r="I4719" t="s">
        <v>50</v>
      </c>
      <c r="J4719" t="s">
        <v>51</v>
      </c>
      <c r="K4719" t="s">
        <v>17</v>
      </c>
      <c r="L4719">
        <f>F4718*G4718*(1-H4718)</f>
        <v>759.05</v>
      </c>
    </row>
    <row r="4720" spans="1:12">
      <c r="A4720" t="s">
        <v>5555</v>
      </c>
      <c r="B4720" s="1">
        <v>46269</v>
      </c>
      <c r="C4720" t="s">
        <v>1340</v>
      </c>
      <c r="D4720" t="s">
        <v>59</v>
      </c>
      <c r="E4720" t="s">
        <v>35</v>
      </c>
      <c r="F4720">
        <v>2</v>
      </c>
      <c r="G4720">
        <v>999</v>
      </c>
      <c r="H4720">
        <v>0.15</v>
      </c>
      <c r="I4720" t="s">
        <v>47</v>
      </c>
      <c r="J4720" t="s">
        <v>22</v>
      </c>
      <c r="K4720" t="s">
        <v>23</v>
      </c>
      <c r="L4720">
        <f>F4719*G4719*(1-H4719)</f>
        <v>8996.4</v>
      </c>
    </row>
    <row r="4721" spans="1:12">
      <c r="A4721" t="s">
        <v>5556</v>
      </c>
      <c r="B4721" s="1">
        <v>46062</v>
      </c>
      <c r="C4721" t="s">
        <v>1611</v>
      </c>
      <c r="D4721" t="s">
        <v>13</v>
      </c>
      <c r="E4721" t="s">
        <v>21</v>
      </c>
      <c r="F4721">
        <v>3</v>
      </c>
      <c r="G4721">
        <v>4999</v>
      </c>
      <c r="H4721">
        <v>0</v>
      </c>
      <c r="I4721" t="s">
        <v>44</v>
      </c>
      <c r="J4721" t="s">
        <v>51</v>
      </c>
      <c r="K4721" t="s">
        <v>37</v>
      </c>
      <c r="L4721">
        <f>F4720*G4720*(1-H4720)</f>
        <v>1698.3</v>
      </c>
    </row>
    <row r="4722" spans="1:12">
      <c r="A4722" t="s">
        <v>5557</v>
      </c>
      <c r="B4722" s="1">
        <v>46133</v>
      </c>
      <c r="C4722" t="s">
        <v>496</v>
      </c>
      <c r="D4722" t="s">
        <v>62</v>
      </c>
      <c r="E4722" t="s">
        <v>40</v>
      </c>
      <c r="F4722">
        <v>2</v>
      </c>
      <c r="G4722">
        <v>799</v>
      </c>
      <c r="H4722">
        <v>0.05</v>
      </c>
      <c r="I4722" t="s">
        <v>44</v>
      </c>
      <c r="J4722" t="s">
        <v>28</v>
      </c>
      <c r="K4722" t="s">
        <v>23</v>
      </c>
      <c r="L4722">
        <f>F4721*G4721*(1-H4721)</f>
        <v>14997</v>
      </c>
    </row>
    <row r="4723" spans="1:12">
      <c r="A4723" t="s">
        <v>5558</v>
      </c>
      <c r="B4723" s="1">
        <v>46069</v>
      </c>
      <c r="C4723" t="s">
        <v>211</v>
      </c>
      <c r="D4723" t="s">
        <v>71</v>
      </c>
      <c r="E4723" t="s">
        <v>21</v>
      </c>
      <c r="F4723">
        <v>2</v>
      </c>
      <c r="G4723">
        <v>499</v>
      </c>
      <c r="H4723">
        <v>0.05</v>
      </c>
      <c r="I4723" t="s">
        <v>50</v>
      </c>
      <c r="J4723" t="s">
        <v>16</v>
      </c>
      <c r="K4723" t="s">
        <v>17</v>
      </c>
      <c r="L4723">
        <f>F4722*G4722*(1-H4722)</f>
        <v>1518.1</v>
      </c>
    </row>
    <row r="4724" spans="1:12">
      <c r="A4724" t="s">
        <v>5559</v>
      </c>
      <c r="B4724" s="1">
        <v>46122</v>
      </c>
      <c r="C4724" t="s">
        <v>1663</v>
      </c>
      <c r="D4724" t="s">
        <v>31</v>
      </c>
      <c r="E4724" t="s">
        <v>35</v>
      </c>
      <c r="F4724">
        <v>5</v>
      </c>
      <c r="G4724">
        <v>4999</v>
      </c>
      <c r="H4724">
        <v>0.1</v>
      </c>
      <c r="I4724" t="s">
        <v>50</v>
      </c>
      <c r="J4724" t="s">
        <v>28</v>
      </c>
      <c r="K4724" t="s">
        <v>17</v>
      </c>
      <c r="L4724">
        <f>F4723*G4723*(1-H4723)</f>
        <v>948.09999999999991</v>
      </c>
    </row>
    <row r="4725" spans="1:12">
      <c r="A4725" t="s">
        <v>5560</v>
      </c>
      <c r="B4725" s="1">
        <v>46126</v>
      </c>
      <c r="C4725" t="s">
        <v>100</v>
      </c>
      <c r="D4725" t="s">
        <v>78</v>
      </c>
      <c r="E4725" t="s">
        <v>35</v>
      </c>
      <c r="F4725">
        <v>5</v>
      </c>
      <c r="G4725">
        <v>999</v>
      </c>
      <c r="H4725">
        <v>0</v>
      </c>
      <c r="I4725" t="s">
        <v>44</v>
      </c>
      <c r="J4725" t="s">
        <v>22</v>
      </c>
      <c r="K4725" t="s">
        <v>17</v>
      </c>
      <c r="L4725">
        <f>F4724*G4724*(1-H4724)</f>
        <v>22495.5</v>
      </c>
    </row>
    <row r="4726" spans="1:12">
      <c r="A4726" t="s">
        <v>5561</v>
      </c>
      <c r="B4726" s="1">
        <v>46214</v>
      </c>
      <c r="C4726" t="s">
        <v>801</v>
      </c>
      <c r="D4726" t="s">
        <v>13</v>
      </c>
      <c r="E4726" t="s">
        <v>40</v>
      </c>
      <c r="F4726">
        <v>1</v>
      </c>
      <c r="G4726">
        <v>7999</v>
      </c>
      <c r="H4726">
        <v>0.15</v>
      </c>
      <c r="I4726" t="s">
        <v>47</v>
      </c>
      <c r="J4726" t="s">
        <v>22</v>
      </c>
      <c r="K4726" t="s">
        <v>17</v>
      </c>
      <c r="L4726">
        <f>F4725*G4725*(1-H4725)</f>
        <v>4995</v>
      </c>
    </row>
    <row r="4727" spans="1:12">
      <c r="A4727" t="s">
        <v>5562</v>
      </c>
      <c r="B4727" s="1">
        <v>46030</v>
      </c>
      <c r="C4727" t="s">
        <v>3414</v>
      </c>
      <c r="D4727" t="s">
        <v>78</v>
      </c>
      <c r="E4727" t="s">
        <v>35</v>
      </c>
      <c r="F4727">
        <v>1</v>
      </c>
      <c r="G4727">
        <v>7999</v>
      </c>
      <c r="H4727">
        <v>0.05</v>
      </c>
      <c r="I4727" t="s">
        <v>32</v>
      </c>
      <c r="J4727" t="s">
        <v>36</v>
      </c>
      <c r="K4727" t="s">
        <v>37</v>
      </c>
      <c r="L4727">
        <f>F4726*G4726*(1-H4726)</f>
        <v>6799.15</v>
      </c>
    </row>
    <row r="4728" spans="1:12">
      <c r="A4728" t="s">
        <v>5563</v>
      </c>
      <c r="B4728" s="1">
        <v>46183</v>
      </c>
      <c r="C4728" t="s">
        <v>1582</v>
      </c>
      <c r="D4728" t="s">
        <v>78</v>
      </c>
      <c r="E4728" t="s">
        <v>27</v>
      </c>
      <c r="F4728">
        <v>4</v>
      </c>
      <c r="G4728">
        <v>4999</v>
      </c>
      <c r="H4728">
        <v>0</v>
      </c>
      <c r="I4728" t="s">
        <v>50</v>
      </c>
      <c r="J4728" t="s">
        <v>28</v>
      </c>
      <c r="K4728" t="s">
        <v>17</v>
      </c>
      <c r="L4728">
        <f>F4727*G4727*(1-H4727)</f>
        <v>7599.0499999999993</v>
      </c>
    </row>
    <row r="4729" spans="1:12">
      <c r="A4729" t="s">
        <v>5564</v>
      </c>
      <c r="B4729" s="1">
        <v>46054</v>
      </c>
      <c r="C4729" t="s">
        <v>378</v>
      </c>
      <c r="D4729" t="s">
        <v>20</v>
      </c>
      <c r="E4729" t="s">
        <v>14</v>
      </c>
      <c r="F4729">
        <v>1</v>
      </c>
      <c r="G4729">
        <v>4999</v>
      </c>
      <c r="H4729">
        <v>0.05</v>
      </c>
      <c r="I4729" t="s">
        <v>32</v>
      </c>
      <c r="J4729" t="s">
        <v>22</v>
      </c>
      <c r="K4729" t="s">
        <v>17</v>
      </c>
      <c r="L4729">
        <f>F4728*G4728*(1-H4728)</f>
        <v>19996</v>
      </c>
    </row>
    <row r="4730" spans="1:12">
      <c r="A4730" t="s">
        <v>5565</v>
      </c>
      <c r="B4730" s="1">
        <v>46208</v>
      </c>
      <c r="C4730" t="s">
        <v>832</v>
      </c>
      <c r="D4730" t="s">
        <v>20</v>
      </c>
      <c r="E4730" t="s">
        <v>21</v>
      </c>
      <c r="F4730">
        <v>1</v>
      </c>
      <c r="G4730">
        <v>2499</v>
      </c>
      <c r="H4730">
        <v>0.15</v>
      </c>
      <c r="I4730" t="s">
        <v>50</v>
      </c>
      <c r="J4730" t="s">
        <v>22</v>
      </c>
      <c r="K4730" t="s">
        <v>23</v>
      </c>
      <c r="L4730">
        <f>F4729*G4729*(1-H4729)</f>
        <v>4749.05</v>
      </c>
    </row>
    <row r="4731" spans="1:12">
      <c r="A4731" t="s">
        <v>5566</v>
      </c>
      <c r="B4731" s="1">
        <v>46127</v>
      </c>
      <c r="C4731" t="s">
        <v>2559</v>
      </c>
      <c r="D4731" t="s">
        <v>59</v>
      </c>
      <c r="E4731" t="s">
        <v>14</v>
      </c>
      <c r="F4731">
        <v>4</v>
      </c>
      <c r="G4731">
        <v>4999</v>
      </c>
      <c r="H4731">
        <v>0.1</v>
      </c>
      <c r="I4731" t="s">
        <v>32</v>
      </c>
      <c r="J4731" t="s">
        <v>16</v>
      </c>
      <c r="K4731" t="s">
        <v>17</v>
      </c>
      <c r="L4731">
        <f>F4730*G4730*(1-H4730)</f>
        <v>2124.15</v>
      </c>
    </row>
    <row r="4732" spans="1:12">
      <c r="A4732" t="s">
        <v>5567</v>
      </c>
      <c r="B4732" s="1">
        <v>46176</v>
      </c>
      <c r="C4732" t="s">
        <v>1475</v>
      </c>
      <c r="D4732" t="s">
        <v>62</v>
      </c>
      <c r="E4732" t="s">
        <v>21</v>
      </c>
      <c r="F4732">
        <v>4</v>
      </c>
      <c r="G4732">
        <v>1299</v>
      </c>
      <c r="H4732">
        <v>0.05</v>
      </c>
      <c r="I4732" t="s">
        <v>44</v>
      </c>
      <c r="J4732" t="s">
        <v>51</v>
      </c>
      <c r="K4732" t="s">
        <v>23</v>
      </c>
      <c r="L4732">
        <f>F4731*G4731*(1-H4731)</f>
        <v>17996.400000000001</v>
      </c>
    </row>
    <row r="4733" spans="1:12">
      <c r="A4733" t="s">
        <v>5568</v>
      </c>
      <c r="B4733" s="1">
        <v>46169</v>
      </c>
      <c r="C4733" t="s">
        <v>1456</v>
      </c>
      <c r="D4733" t="s">
        <v>62</v>
      </c>
      <c r="E4733" t="s">
        <v>40</v>
      </c>
      <c r="F4733">
        <v>1</v>
      </c>
      <c r="G4733">
        <v>999</v>
      </c>
      <c r="H4733">
        <v>0</v>
      </c>
      <c r="I4733" t="s">
        <v>50</v>
      </c>
      <c r="J4733" t="s">
        <v>51</v>
      </c>
      <c r="K4733" t="s">
        <v>17</v>
      </c>
      <c r="L4733">
        <f>F4732*G4732*(1-H4732)</f>
        <v>4936.2</v>
      </c>
    </row>
    <row r="4734" spans="1:12">
      <c r="A4734" t="s">
        <v>5569</v>
      </c>
      <c r="B4734" s="1">
        <v>46254</v>
      </c>
      <c r="C4734" t="s">
        <v>1636</v>
      </c>
      <c r="D4734" t="s">
        <v>26</v>
      </c>
      <c r="E4734" t="s">
        <v>14</v>
      </c>
      <c r="F4734">
        <v>3</v>
      </c>
      <c r="G4734">
        <v>4999</v>
      </c>
      <c r="H4734">
        <v>0.1</v>
      </c>
      <c r="I4734" t="s">
        <v>15</v>
      </c>
      <c r="J4734" t="s">
        <v>36</v>
      </c>
      <c r="K4734" t="s">
        <v>17</v>
      </c>
      <c r="L4734">
        <f>F4733*G4733*(1-H4733)</f>
        <v>999</v>
      </c>
    </row>
    <row r="4735" spans="1:12">
      <c r="A4735" t="s">
        <v>5570</v>
      </c>
      <c r="B4735" s="1">
        <v>46123</v>
      </c>
      <c r="C4735" t="s">
        <v>665</v>
      </c>
      <c r="D4735" t="s">
        <v>71</v>
      </c>
      <c r="E4735" t="s">
        <v>40</v>
      </c>
      <c r="F4735">
        <v>5</v>
      </c>
      <c r="G4735">
        <v>599</v>
      </c>
      <c r="H4735">
        <v>0.1</v>
      </c>
      <c r="I4735" t="s">
        <v>15</v>
      </c>
      <c r="J4735" t="s">
        <v>36</v>
      </c>
      <c r="K4735" t="s">
        <v>17</v>
      </c>
      <c r="L4735">
        <f>F4734*G4734*(1-H4734)</f>
        <v>13497.300000000001</v>
      </c>
    </row>
    <row r="4736" spans="1:12">
      <c r="A4736" t="s">
        <v>5571</v>
      </c>
      <c r="B4736" s="1">
        <v>46034</v>
      </c>
      <c r="C4736" t="s">
        <v>12</v>
      </c>
      <c r="D4736" t="s">
        <v>13</v>
      </c>
      <c r="E4736" t="s">
        <v>14</v>
      </c>
      <c r="F4736">
        <v>1</v>
      </c>
      <c r="G4736">
        <v>1499</v>
      </c>
      <c r="H4736">
        <v>0.1</v>
      </c>
      <c r="I4736" t="s">
        <v>32</v>
      </c>
      <c r="J4736" t="s">
        <v>28</v>
      </c>
      <c r="K4736" t="s">
        <v>17</v>
      </c>
      <c r="L4736">
        <f>F4735*G4735*(1-H4735)</f>
        <v>2695.5</v>
      </c>
    </row>
    <row r="4737" spans="1:12">
      <c r="A4737" t="s">
        <v>5572</v>
      </c>
      <c r="B4737" s="1">
        <v>46204</v>
      </c>
      <c r="C4737" t="s">
        <v>1207</v>
      </c>
      <c r="D4737" t="s">
        <v>13</v>
      </c>
      <c r="E4737" t="s">
        <v>40</v>
      </c>
      <c r="F4737">
        <v>1</v>
      </c>
      <c r="G4737">
        <v>599</v>
      </c>
      <c r="H4737">
        <v>0</v>
      </c>
      <c r="I4737" t="s">
        <v>15</v>
      </c>
      <c r="J4737" t="s">
        <v>16</v>
      </c>
      <c r="K4737" t="s">
        <v>23</v>
      </c>
      <c r="L4737">
        <f>F4736*G4736*(1-H4736)</f>
        <v>1349.1000000000001</v>
      </c>
    </row>
    <row r="4738" spans="1:12">
      <c r="A4738" t="s">
        <v>5573</v>
      </c>
      <c r="B4738" s="1">
        <v>46292</v>
      </c>
      <c r="C4738" t="s">
        <v>2862</v>
      </c>
      <c r="D4738" t="s">
        <v>71</v>
      </c>
      <c r="E4738" t="s">
        <v>40</v>
      </c>
      <c r="F4738">
        <v>1</v>
      </c>
      <c r="G4738">
        <v>7999</v>
      </c>
      <c r="H4738">
        <v>0</v>
      </c>
      <c r="I4738" t="s">
        <v>47</v>
      </c>
      <c r="J4738" t="s">
        <v>16</v>
      </c>
      <c r="K4738" t="s">
        <v>17</v>
      </c>
      <c r="L4738">
        <f>F4737*G4737*(1-H4737)</f>
        <v>599</v>
      </c>
    </row>
    <row r="4739" spans="1:12">
      <c r="A4739" t="s">
        <v>5574</v>
      </c>
      <c r="B4739" s="1">
        <v>46090</v>
      </c>
      <c r="C4739" t="s">
        <v>148</v>
      </c>
      <c r="D4739" t="s">
        <v>62</v>
      </c>
      <c r="E4739" t="s">
        <v>14</v>
      </c>
      <c r="F4739">
        <v>4</v>
      </c>
      <c r="G4739">
        <v>999</v>
      </c>
      <c r="H4739">
        <v>0.1</v>
      </c>
      <c r="I4739" t="s">
        <v>44</v>
      </c>
      <c r="J4739" t="s">
        <v>28</v>
      </c>
      <c r="K4739" t="s">
        <v>17</v>
      </c>
      <c r="L4739">
        <f>F4738*G4738*(1-H4738)</f>
        <v>7999</v>
      </c>
    </row>
    <row r="4740" spans="1:12">
      <c r="A4740" t="s">
        <v>5575</v>
      </c>
      <c r="B4740" s="1">
        <v>46258</v>
      </c>
      <c r="C4740" t="s">
        <v>1278</v>
      </c>
      <c r="D4740" t="s">
        <v>62</v>
      </c>
      <c r="E4740" t="s">
        <v>40</v>
      </c>
      <c r="F4740">
        <v>4</v>
      </c>
      <c r="G4740">
        <v>1299</v>
      </c>
      <c r="H4740">
        <v>0</v>
      </c>
      <c r="I4740" t="s">
        <v>32</v>
      </c>
      <c r="J4740" t="s">
        <v>28</v>
      </c>
      <c r="K4740" t="s">
        <v>17</v>
      </c>
      <c r="L4740">
        <f>F4739*G4739*(1-H4739)</f>
        <v>3596.4</v>
      </c>
    </row>
    <row r="4741" spans="1:12">
      <c r="A4741" t="s">
        <v>5576</v>
      </c>
      <c r="B4741" s="1">
        <v>46236</v>
      </c>
      <c r="C4741" t="s">
        <v>485</v>
      </c>
      <c r="D4741" t="s">
        <v>78</v>
      </c>
      <c r="E4741" t="s">
        <v>21</v>
      </c>
      <c r="F4741">
        <v>5</v>
      </c>
      <c r="G4741">
        <v>799</v>
      </c>
      <c r="H4741">
        <v>0.15</v>
      </c>
      <c r="I4741" t="s">
        <v>47</v>
      </c>
      <c r="J4741" t="s">
        <v>36</v>
      </c>
      <c r="K4741" t="s">
        <v>17</v>
      </c>
      <c r="L4741">
        <f>F4740*G4740*(1-H4740)</f>
        <v>5196</v>
      </c>
    </row>
    <row r="4742" spans="1:12">
      <c r="A4742" t="s">
        <v>5577</v>
      </c>
      <c r="B4742" s="1">
        <v>46154</v>
      </c>
      <c r="C4742" t="s">
        <v>1597</v>
      </c>
      <c r="D4742" t="s">
        <v>31</v>
      </c>
      <c r="E4742" t="s">
        <v>40</v>
      </c>
      <c r="F4742">
        <v>4</v>
      </c>
      <c r="G4742">
        <v>799</v>
      </c>
      <c r="H4742">
        <v>0</v>
      </c>
      <c r="I4742" t="s">
        <v>47</v>
      </c>
      <c r="J4742" t="s">
        <v>36</v>
      </c>
      <c r="K4742" t="s">
        <v>17</v>
      </c>
      <c r="L4742">
        <f>F4741*G4741*(1-H4741)</f>
        <v>3395.75</v>
      </c>
    </row>
    <row r="4743" spans="1:12">
      <c r="A4743" t="s">
        <v>5578</v>
      </c>
      <c r="B4743" s="1">
        <v>46111</v>
      </c>
      <c r="C4743" t="s">
        <v>848</v>
      </c>
      <c r="D4743" t="s">
        <v>78</v>
      </c>
      <c r="E4743" t="s">
        <v>40</v>
      </c>
      <c r="F4743">
        <v>1</v>
      </c>
      <c r="G4743">
        <v>999</v>
      </c>
      <c r="H4743">
        <v>0</v>
      </c>
      <c r="I4743" t="s">
        <v>15</v>
      </c>
      <c r="J4743" t="s">
        <v>16</v>
      </c>
      <c r="K4743" t="s">
        <v>17</v>
      </c>
      <c r="L4743">
        <f>F4742*G4742*(1-H4742)</f>
        <v>3196</v>
      </c>
    </row>
    <row r="4744" spans="1:12">
      <c r="A4744" t="s">
        <v>5579</v>
      </c>
      <c r="B4744" s="1">
        <v>46167</v>
      </c>
      <c r="C4744" t="s">
        <v>2991</v>
      </c>
      <c r="D4744" t="s">
        <v>78</v>
      </c>
      <c r="E4744" t="s">
        <v>21</v>
      </c>
      <c r="F4744">
        <v>5</v>
      </c>
      <c r="G4744">
        <v>1499</v>
      </c>
      <c r="H4744">
        <v>0</v>
      </c>
      <c r="I4744" t="s">
        <v>47</v>
      </c>
      <c r="J4744" t="s">
        <v>22</v>
      </c>
      <c r="K4744" t="s">
        <v>37</v>
      </c>
      <c r="L4744">
        <f>F4743*G4743*(1-H4743)</f>
        <v>999</v>
      </c>
    </row>
    <row r="4745" spans="1:12">
      <c r="A4745" t="s">
        <v>5580</v>
      </c>
      <c r="B4745" s="1">
        <v>46149</v>
      </c>
      <c r="C4745" t="s">
        <v>1585</v>
      </c>
      <c r="D4745" t="s">
        <v>43</v>
      </c>
      <c r="E4745" t="s">
        <v>21</v>
      </c>
      <c r="F4745">
        <v>5</v>
      </c>
      <c r="G4745">
        <v>4999</v>
      </c>
      <c r="H4745">
        <v>0.05</v>
      </c>
      <c r="I4745" t="s">
        <v>15</v>
      </c>
      <c r="J4745" t="s">
        <v>36</v>
      </c>
      <c r="K4745" t="s">
        <v>17</v>
      </c>
      <c r="L4745">
        <f>F4744*G4744*(1-H4744)</f>
        <v>7495</v>
      </c>
    </row>
    <row r="4746" spans="1:12">
      <c r="A4746" t="s">
        <v>5581</v>
      </c>
      <c r="B4746" s="1">
        <v>46089</v>
      </c>
      <c r="C4746" t="s">
        <v>713</v>
      </c>
      <c r="D4746" t="s">
        <v>56</v>
      </c>
      <c r="E4746" t="s">
        <v>21</v>
      </c>
      <c r="F4746">
        <v>3</v>
      </c>
      <c r="G4746">
        <v>1499</v>
      </c>
      <c r="H4746">
        <v>0.1</v>
      </c>
      <c r="I4746" t="s">
        <v>44</v>
      </c>
      <c r="J4746" t="s">
        <v>36</v>
      </c>
      <c r="K4746" t="s">
        <v>17</v>
      </c>
      <c r="L4746">
        <f>F4745*G4745*(1-H4745)</f>
        <v>23745.25</v>
      </c>
    </row>
    <row r="4747" spans="1:12">
      <c r="A4747" t="s">
        <v>5582</v>
      </c>
      <c r="B4747" s="1">
        <v>46222</v>
      </c>
      <c r="C4747" t="s">
        <v>940</v>
      </c>
      <c r="D4747" t="s">
        <v>78</v>
      </c>
      <c r="E4747" t="s">
        <v>14</v>
      </c>
      <c r="F4747">
        <v>5</v>
      </c>
      <c r="G4747">
        <v>999</v>
      </c>
      <c r="H4747">
        <v>0</v>
      </c>
      <c r="I4747" t="s">
        <v>15</v>
      </c>
      <c r="J4747" t="s">
        <v>16</v>
      </c>
      <c r="K4747" t="s">
        <v>17</v>
      </c>
      <c r="L4747">
        <f>F4746*G4746*(1-H4746)</f>
        <v>4047.3</v>
      </c>
    </row>
    <row r="4748" spans="1:12">
      <c r="A4748" t="s">
        <v>5583</v>
      </c>
      <c r="B4748" s="1">
        <v>46192</v>
      </c>
      <c r="C4748" t="s">
        <v>545</v>
      </c>
      <c r="D4748" t="s">
        <v>26</v>
      </c>
      <c r="E4748" t="s">
        <v>21</v>
      </c>
      <c r="F4748">
        <v>2</v>
      </c>
      <c r="G4748">
        <v>499</v>
      </c>
      <c r="H4748">
        <v>0.15</v>
      </c>
      <c r="I4748" t="s">
        <v>32</v>
      </c>
      <c r="J4748" t="s">
        <v>22</v>
      </c>
      <c r="K4748" t="s">
        <v>17</v>
      </c>
      <c r="L4748">
        <f>F4747*G4747*(1-H4747)</f>
        <v>4995</v>
      </c>
    </row>
    <row r="4749" spans="1:12">
      <c r="A4749" t="s">
        <v>5584</v>
      </c>
      <c r="B4749" s="1">
        <v>46063</v>
      </c>
      <c r="C4749" t="s">
        <v>394</v>
      </c>
      <c r="D4749" t="s">
        <v>62</v>
      </c>
      <c r="E4749" t="s">
        <v>35</v>
      </c>
      <c r="F4749">
        <v>4</v>
      </c>
      <c r="G4749">
        <v>499</v>
      </c>
      <c r="H4749">
        <v>0.15</v>
      </c>
      <c r="I4749" t="s">
        <v>32</v>
      </c>
      <c r="J4749" t="s">
        <v>36</v>
      </c>
      <c r="K4749" t="s">
        <v>17</v>
      </c>
      <c r="L4749">
        <f>F4748*G4748*(1-H4748)</f>
        <v>848.3</v>
      </c>
    </row>
    <row r="4750" spans="1:12">
      <c r="A4750" t="s">
        <v>5585</v>
      </c>
      <c r="B4750" s="1">
        <v>46187</v>
      </c>
      <c r="C4750" t="s">
        <v>2724</v>
      </c>
      <c r="D4750" t="s">
        <v>20</v>
      </c>
      <c r="E4750" t="s">
        <v>21</v>
      </c>
      <c r="F4750">
        <v>4</v>
      </c>
      <c r="G4750">
        <v>1499</v>
      </c>
      <c r="H4750">
        <v>0.05</v>
      </c>
      <c r="I4750" t="s">
        <v>32</v>
      </c>
      <c r="J4750" t="s">
        <v>51</v>
      </c>
      <c r="K4750" t="s">
        <v>17</v>
      </c>
      <c r="L4750">
        <f>F4749*G4749*(1-H4749)</f>
        <v>1696.6</v>
      </c>
    </row>
    <row r="4751" spans="1:12">
      <c r="A4751" t="s">
        <v>5586</v>
      </c>
      <c r="B4751" s="1">
        <v>46209</v>
      </c>
      <c r="C4751" t="s">
        <v>1233</v>
      </c>
      <c r="D4751" t="s">
        <v>62</v>
      </c>
      <c r="E4751" t="s">
        <v>40</v>
      </c>
      <c r="F4751">
        <v>4</v>
      </c>
      <c r="G4751">
        <v>1999</v>
      </c>
      <c r="H4751">
        <v>0</v>
      </c>
      <c r="I4751" t="s">
        <v>44</v>
      </c>
      <c r="J4751" t="s">
        <v>28</v>
      </c>
      <c r="K4751" t="s">
        <v>17</v>
      </c>
      <c r="L4751">
        <f>F4750*G4750*(1-H4750)</f>
        <v>5696.2</v>
      </c>
    </row>
    <row r="4752" spans="1:12">
      <c r="A4752" t="s">
        <v>5587</v>
      </c>
      <c r="B4752" s="1">
        <v>46251</v>
      </c>
      <c r="C4752" t="s">
        <v>969</v>
      </c>
      <c r="D4752" t="s">
        <v>78</v>
      </c>
      <c r="E4752" t="s">
        <v>40</v>
      </c>
      <c r="F4752">
        <v>1</v>
      </c>
      <c r="G4752">
        <v>599</v>
      </c>
      <c r="H4752">
        <v>0</v>
      </c>
      <c r="I4752" t="s">
        <v>47</v>
      </c>
      <c r="J4752" t="s">
        <v>22</v>
      </c>
      <c r="K4752" t="s">
        <v>17</v>
      </c>
      <c r="L4752">
        <f>F4751*G4751*(1-H4751)</f>
        <v>7996</v>
      </c>
    </row>
    <row r="4753" spans="1:12">
      <c r="A4753" t="s">
        <v>5588</v>
      </c>
      <c r="B4753" s="1">
        <v>46293</v>
      </c>
      <c r="C4753" t="s">
        <v>94</v>
      </c>
      <c r="D4753" t="s">
        <v>62</v>
      </c>
      <c r="E4753" t="s">
        <v>14</v>
      </c>
      <c r="F4753">
        <v>1</v>
      </c>
      <c r="G4753">
        <v>799</v>
      </c>
      <c r="H4753">
        <v>0.15</v>
      </c>
      <c r="I4753" t="s">
        <v>15</v>
      </c>
      <c r="J4753" t="s">
        <v>51</v>
      </c>
      <c r="K4753" t="s">
        <v>23</v>
      </c>
      <c r="L4753">
        <f>F4752*G4752*(1-H4752)</f>
        <v>599</v>
      </c>
    </row>
    <row r="4754" spans="1:12">
      <c r="A4754" t="s">
        <v>5589</v>
      </c>
      <c r="B4754" s="1">
        <v>46103</v>
      </c>
      <c r="C4754" t="s">
        <v>166</v>
      </c>
      <c r="D4754" t="s">
        <v>13</v>
      </c>
      <c r="E4754" t="s">
        <v>27</v>
      </c>
      <c r="F4754">
        <v>4</v>
      </c>
      <c r="G4754">
        <v>999</v>
      </c>
      <c r="H4754">
        <v>0</v>
      </c>
      <c r="I4754" t="s">
        <v>50</v>
      </c>
      <c r="J4754" t="s">
        <v>36</v>
      </c>
      <c r="K4754" t="s">
        <v>17</v>
      </c>
      <c r="L4754">
        <f>F4753*G4753*(1-H4753)</f>
        <v>679.15</v>
      </c>
    </row>
    <row r="4755" spans="1:12">
      <c r="A4755" t="s">
        <v>5590</v>
      </c>
      <c r="B4755" s="1">
        <v>46161</v>
      </c>
      <c r="C4755" t="s">
        <v>4130</v>
      </c>
      <c r="D4755" t="s">
        <v>26</v>
      </c>
      <c r="E4755" t="s">
        <v>27</v>
      </c>
      <c r="F4755">
        <v>1</v>
      </c>
      <c r="G4755">
        <v>7999</v>
      </c>
      <c r="H4755">
        <v>0</v>
      </c>
      <c r="I4755" t="s">
        <v>15</v>
      </c>
      <c r="J4755" t="s">
        <v>51</v>
      </c>
      <c r="K4755" t="s">
        <v>17</v>
      </c>
      <c r="L4755">
        <f>F4754*G4754*(1-H4754)</f>
        <v>3996</v>
      </c>
    </row>
    <row r="4756" spans="1:12">
      <c r="A4756" t="s">
        <v>5591</v>
      </c>
      <c r="B4756" s="1">
        <v>46132</v>
      </c>
      <c r="C4756" t="s">
        <v>2634</v>
      </c>
      <c r="D4756" t="s">
        <v>59</v>
      </c>
      <c r="E4756" t="s">
        <v>35</v>
      </c>
      <c r="F4756">
        <v>3</v>
      </c>
      <c r="G4756">
        <v>2499</v>
      </c>
      <c r="H4756">
        <v>0.05</v>
      </c>
      <c r="I4756" t="s">
        <v>50</v>
      </c>
      <c r="J4756" t="s">
        <v>22</v>
      </c>
      <c r="K4756" t="s">
        <v>37</v>
      </c>
      <c r="L4756">
        <f>F4755*G4755*(1-H4755)</f>
        <v>7999</v>
      </c>
    </row>
    <row r="4757" spans="1:12">
      <c r="A4757" t="s">
        <v>5592</v>
      </c>
      <c r="B4757" s="1">
        <v>46160</v>
      </c>
      <c r="C4757" t="s">
        <v>2000</v>
      </c>
      <c r="D4757" t="s">
        <v>43</v>
      </c>
      <c r="E4757" t="s">
        <v>35</v>
      </c>
      <c r="F4757">
        <v>1</v>
      </c>
      <c r="G4757">
        <v>799</v>
      </c>
      <c r="H4757">
        <v>0.15</v>
      </c>
      <c r="I4757" t="s">
        <v>15</v>
      </c>
      <c r="J4757" t="s">
        <v>36</v>
      </c>
      <c r="K4757" t="s">
        <v>17</v>
      </c>
      <c r="L4757">
        <f>F4756*G4756*(1-H4756)</f>
        <v>7122.15</v>
      </c>
    </row>
    <row r="4758" spans="1:12">
      <c r="A4758" t="s">
        <v>5593</v>
      </c>
      <c r="B4758" s="1">
        <v>46180</v>
      </c>
      <c r="C4758" t="s">
        <v>1009</v>
      </c>
      <c r="D4758" t="s">
        <v>56</v>
      </c>
      <c r="E4758" t="s">
        <v>40</v>
      </c>
      <c r="F4758">
        <v>4</v>
      </c>
      <c r="G4758">
        <v>1499</v>
      </c>
      <c r="H4758">
        <v>0.15</v>
      </c>
      <c r="I4758" t="s">
        <v>15</v>
      </c>
      <c r="J4758" t="s">
        <v>36</v>
      </c>
      <c r="K4758" t="s">
        <v>17</v>
      </c>
      <c r="L4758">
        <f>F4757*G4757*(1-H4757)</f>
        <v>679.15</v>
      </c>
    </row>
    <row r="4759" spans="1:12">
      <c r="A4759" t="s">
        <v>5594</v>
      </c>
      <c r="B4759" s="1">
        <v>46179</v>
      </c>
      <c r="C4759" t="s">
        <v>421</v>
      </c>
      <c r="D4759" t="s">
        <v>62</v>
      </c>
      <c r="E4759" t="s">
        <v>40</v>
      </c>
      <c r="F4759">
        <v>4</v>
      </c>
      <c r="G4759">
        <v>7999</v>
      </c>
      <c r="H4759">
        <v>0</v>
      </c>
      <c r="I4759" t="s">
        <v>50</v>
      </c>
      <c r="J4759" t="s">
        <v>28</v>
      </c>
      <c r="K4759" t="s">
        <v>23</v>
      </c>
      <c r="L4759">
        <f>F4758*G4758*(1-H4758)</f>
        <v>5096.5999999999995</v>
      </c>
    </row>
    <row r="4760" spans="1:12">
      <c r="A4760" t="s">
        <v>5595</v>
      </c>
      <c r="B4760" s="1">
        <v>46276</v>
      </c>
      <c r="C4760" t="s">
        <v>2644</v>
      </c>
      <c r="D4760" t="s">
        <v>31</v>
      </c>
      <c r="E4760" t="s">
        <v>35</v>
      </c>
      <c r="F4760">
        <v>2</v>
      </c>
      <c r="G4760">
        <v>4999</v>
      </c>
      <c r="H4760">
        <v>0.05</v>
      </c>
      <c r="I4760" t="s">
        <v>47</v>
      </c>
      <c r="J4760" t="s">
        <v>22</v>
      </c>
      <c r="K4760" t="s">
        <v>17</v>
      </c>
      <c r="L4760">
        <f>F4759*G4759*(1-H4759)</f>
        <v>31996</v>
      </c>
    </row>
    <row r="4761" spans="1:12">
      <c r="A4761" t="s">
        <v>5596</v>
      </c>
      <c r="B4761" s="1">
        <v>46205</v>
      </c>
      <c r="C4761" t="s">
        <v>475</v>
      </c>
      <c r="D4761" t="s">
        <v>62</v>
      </c>
      <c r="E4761" t="s">
        <v>21</v>
      </c>
      <c r="F4761">
        <v>3</v>
      </c>
      <c r="G4761">
        <v>7999</v>
      </c>
      <c r="H4761">
        <v>0.05</v>
      </c>
      <c r="I4761" t="s">
        <v>15</v>
      </c>
      <c r="J4761" t="s">
        <v>16</v>
      </c>
      <c r="K4761" t="s">
        <v>17</v>
      </c>
      <c r="L4761">
        <f>F4760*G4760*(1-H4760)</f>
        <v>9498.1</v>
      </c>
    </row>
    <row r="4762" spans="1:12">
      <c r="A4762" t="s">
        <v>5597</v>
      </c>
      <c r="B4762" s="1">
        <v>46082</v>
      </c>
      <c r="C4762" t="s">
        <v>1173</v>
      </c>
      <c r="D4762" t="s">
        <v>59</v>
      </c>
      <c r="E4762" t="s">
        <v>40</v>
      </c>
      <c r="F4762">
        <v>3</v>
      </c>
      <c r="G4762">
        <v>4999</v>
      </c>
      <c r="H4762">
        <v>0</v>
      </c>
      <c r="I4762" t="s">
        <v>32</v>
      </c>
      <c r="J4762" t="s">
        <v>22</v>
      </c>
      <c r="K4762" t="s">
        <v>17</v>
      </c>
      <c r="L4762">
        <f>F4761*G4761*(1-H4761)</f>
        <v>22797.149999999998</v>
      </c>
    </row>
    <row r="4763" spans="1:12">
      <c r="A4763" t="s">
        <v>5598</v>
      </c>
      <c r="B4763" s="1">
        <v>46031</v>
      </c>
      <c r="C4763" t="s">
        <v>2191</v>
      </c>
      <c r="D4763" t="s">
        <v>43</v>
      </c>
      <c r="E4763" t="s">
        <v>14</v>
      </c>
      <c r="F4763">
        <v>2</v>
      </c>
      <c r="G4763">
        <v>599</v>
      </c>
      <c r="H4763">
        <v>0</v>
      </c>
      <c r="I4763" t="s">
        <v>15</v>
      </c>
      <c r="J4763" t="s">
        <v>22</v>
      </c>
      <c r="K4763" t="s">
        <v>17</v>
      </c>
      <c r="L4763">
        <f>F4762*G4762*(1-H4762)</f>
        <v>14997</v>
      </c>
    </row>
    <row r="4764" spans="1:12">
      <c r="A4764" t="s">
        <v>5599</v>
      </c>
      <c r="B4764" s="1">
        <v>46207</v>
      </c>
      <c r="C4764" t="s">
        <v>46</v>
      </c>
      <c r="D4764" t="s">
        <v>62</v>
      </c>
      <c r="E4764" t="s">
        <v>21</v>
      </c>
      <c r="F4764">
        <v>1</v>
      </c>
      <c r="G4764">
        <v>1299</v>
      </c>
      <c r="H4764">
        <v>0.1</v>
      </c>
      <c r="I4764" t="s">
        <v>44</v>
      </c>
      <c r="J4764" t="s">
        <v>36</v>
      </c>
      <c r="K4764" t="s">
        <v>37</v>
      </c>
      <c r="L4764">
        <f>F4763*G4763*(1-H4763)</f>
        <v>1198</v>
      </c>
    </row>
    <row r="4765" spans="1:12">
      <c r="A4765" t="s">
        <v>5600</v>
      </c>
      <c r="B4765" s="1">
        <v>46093</v>
      </c>
      <c r="C4765" t="s">
        <v>1142</v>
      </c>
      <c r="D4765" t="s">
        <v>31</v>
      </c>
      <c r="E4765" t="s">
        <v>35</v>
      </c>
      <c r="F4765">
        <v>1</v>
      </c>
      <c r="G4765">
        <v>2499</v>
      </c>
      <c r="H4765">
        <v>0.15</v>
      </c>
      <c r="I4765" t="s">
        <v>32</v>
      </c>
      <c r="J4765" t="s">
        <v>36</v>
      </c>
      <c r="K4765" t="s">
        <v>17</v>
      </c>
      <c r="L4765">
        <f>F4764*G4764*(1-H4764)</f>
        <v>1169.1000000000001</v>
      </c>
    </row>
    <row r="4766" spans="1:12">
      <c r="A4766" t="s">
        <v>5601</v>
      </c>
      <c r="B4766" s="1">
        <v>46031</v>
      </c>
      <c r="C4766" t="s">
        <v>965</v>
      </c>
      <c r="D4766" t="s">
        <v>62</v>
      </c>
      <c r="E4766" t="s">
        <v>21</v>
      </c>
      <c r="F4766">
        <v>4</v>
      </c>
      <c r="G4766">
        <v>499</v>
      </c>
      <c r="H4766">
        <v>0</v>
      </c>
      <c r="I4766" t="s">
        <v>15</v>
      </c>
      <c r="J4766" t="s">
        <v>51</v>
      </c>
      <c r="K4766" t="s">
        <v>17</v>
      </c>
      <c r="L4766">
        <f>F4765*G4765*(1-H4765)</f>
        <v>2124.15</v>
      </c>
    </row>
    <row r="4767" spans="1:12">
      <c r="A4767" t="s">
        <v>5602</v>
      </c>
      <c r="B4767" s="1">
        <v>46204</v>
      </c>
      <c r="C4767" t="s">
        <v>1582</v>
      </c>
      <c r="D4767" t="s">
        <v>13</v>
      </c>
      <c r="E4767" t="s">
        <v>27</v>
      </c>
      <c r="F4767">
        <v>5</v>
      </c>
      <c r="G4767">
        <v>499</v>
      </c>
      <c r="H4767">
        <v>0</v>
      </c>
      <c r="I4767" t="s">
        <v>44</v>
      </c>
      <c r="J4767" t="s">
        <v>51</v>
      </c>
      <c r="K4767" t="s">
        <v>17</v>
      </c>
      <c r="L4767">
        <f>F4766*G4766*(1-H4766)</f>
        <v>1996</v>
      </c>
    </row>
    <row r="4768" spans="1:12">
      <c r="A4768" t="s">
        <v>5603</v>
      </c>
      <c r="B4768" s="1">
        <v>46135</v>
      </c>
      <c r="C4768" t="s">
        <v>430</v>
      </c>
      <c r="D4768" t="s">
        <v>78</v>
      </c>
      <c r="E4768" t="s">
        <v>40</v>
      </c>
      <c r="F4768">
        <v>2</v>
      </c>
      <c r="G4768">
        <v>4999</v>
      </c>
      <c r="H4768">
        <v>0.15</v>
      </c>
      <c r="I4768" t="s">
        <v>32</v>
      </c>
      <c r="J4768" t="s">
        <v>16</v>
      </c>
      <c r="K4768" t="s">
        <v>17</v>
      </c>
      <c r="L4768">
        <f>F4767*G4767*(1-H4767)</f>
        <v>2495</v>
      </c>
    </row>
    <row r="4769" spans="1:12">
      <c r="A4769" t="s">
        <v>5604</v>
      </c>
      <c r="B4769" s="1">
        <v>46152</v>
      </c>
      <c r="C4769" t="s">
        <v>2172</v>
      </c>
      <c r="D4769" t="s">
        <v>62</v>
      </c>
      <c r="E4769" t="s">
        <v>27</v>
      </c>
      <c r="F4769">
        <v>1</v>
      </c>
      <c r="G4769">
        <v>7999</v>
      </c>
      <c r="H4769">
        <v>0</v>
      </c>
      <c r="I4769" t="s">
        <v>44</v>
      </c>
      <c r="J4769" t="s">
        <v>16</v>
      </c>
      <c r="K4769" t="s">
        <v>17</v>
      </c>
      <c r="L4769">
        <f>F4768*G4768*(1-H4768)</f>
        <v>8498.2999999999993</v>
      </c>
    </row>
    <row r="4770" spans="1:12">
      <c r="A4770" t="s">
        <v>5605</v>
      </c>
      <c r="B4770" s="1">
        <v>46122</v>
      </c>
      <c r="C4770" t="s">
        <v>857</v>
      </c>
      <c r="D4770" t="s">
        <v>62</v>
      </c>
      <c r="E4770" t="s">
        <v>21</v>
      </c>
      <c r="F4770">
        <v>4</v>
      </c>
      <c r="G4770">
        <v>999</v>
      </c>
      <c r="H4770">
        <v>0</v>
      </c>
      <c r="I4770" t="s">
        <v>47</v>
      </c>
      <c r="J4770" t="s">
        <v>51</v>
      </c>
      <c r="K4770" t="s">
        <v>17</v>
      </c>
      <c r="L4770">
        <f>F4769*G4769*(1-H4769)</f>
        <v>7999</v>
      </c>
    </row>
    <row r="4771" spans="1:12">
      <c r="A4771" t="s">
        <v>5606</v>
      </c>
      <c r="B4771" s="1">
        <v>46183</v>
      </c>
      <c r="C4771" t="s">
        <v>247</v>
      </c>
      <c r="D4771" t="s">
        <v>59</v>
      </c>
      <c r="E4771" t="s">
        <v>27</v>
      </c>
      <c r="F4771">
        <v>5</v>
      </c>
      <c r="G4771">
        <v>2499</v>
      </c>
      <c r="H4771">
        <v>0.05</v>
      </c>
      <c r="I4771" t="s">
        <v>47</v>
      </c>
      <c r="J4771" t="s">
        <v>16</v>
      </c>
      <c r="K4771" t="s">
        <v>17</v>
      </c>
      <c r="L4771">
        <f>F4770*G4770*(1-H4770)</f>
        <v>3996</v>
      </c>
    </row>
    <row r="4772" spans="1:12">
      <c r="A4772" t="s">
        <v>5607</v>
      </c>
      <c r="B4772" s="1">
        <v>46062</v>
      </c>
      <c r="C4772" t="s">
        <v>910</v>
      </c>
      <c r="D4772" t="s">
        <v>71</v>
      </c>
      <c r="E4772" t="s">
        <v>35</v>
      </c>
      <c r="F4772">
        <v>4</v>
      </c>
      <c r="G4772">
        <v>1999</v>
      </c>
      <c r="H4772">
        <v>0.1</v>
      </c>
      <c r="I4772" t="s">
        <v>15</v>
      </c>
      <c r="J4772" t="s">
        <v>51</v>
      </c>
      <c r="K4772" t="s">
        <v>37</v>
      </c>
      <c r="L4772">
        <f>F4771*G4771*(1-H4771)</f>
        <v>11870.25</v>
      </c>
    </row>
    <row r="4773" spans="1:12">
      <c r="A4773" t="s">
        <v>5608</v>
      </c>
      <c r="B4773" s="1">
        <v>46289</v>
      </c>
      <c r="C4773" t="s">
        <v>1489</v>
      </c>
      <c r="D4773" t="s">
        <v>59</v>
      </c>
      <c r="E4773" t="s">
        <v>40</v>
      </c>
      <c r="F4773">
        <v>2</v>
      </c>
      <c r="G4773">
        <v>499</v>
      </c>
      <c r="H4773">
        <v>0.05</v>
      </c>
      <c r="I4773" t="s">
        <v>50</v>
      </c>
      <c r="J4773" t="s">
        <v>22</v>
      </c>
      <c r="K4773" t="s">
        <v>17</v>
      </c>
      <c r="L4773">
        <f>F4772*G4772*(1-H4772)</f>
        <v>7196.4000000000005</v>
      </c>
    </row>
    <row r="4774" spans="1:12">
      <c r="A4774" t="s">
        <v>5609</v>
      </c>
      <c r="B4774" s="1">
        <v>46159</v>
      </c>
      <c r="C4774" t="s">
        <v>1165</v>
      </c>
      <c r="D4774" t="s">
        <v>62</v>
      </c>
      <c r="E4774" t="s">
        <v>14</v>
      </c>
      <c r="F4774">
        <v>5</v>
      </c>
      <c r="G4774">
        <v>799</v>
      </c>
      <c r="H4774">
        <v>0</v>
      </c>
      <c r="I4774" t="s">
        <v>50</v>
      </c>
      <c r="J4774" t="s">
        <v>28</v>
      </c>
      <c r="K4774" t="s">
        <v>17</v>
      </c>
      <c r="L4774">
        <f>F4773*G4773*(1-H4773)</f>
        <v>948.09999999999991</v>
      </c>
    </row>
    <row r="4775" spans="1:12">
      <c r="A4775" t="s">
        <v>5610</v>
      </c>
      <c r="B4775" s="1">
        <v>46185</v>
      </c>
      <c r="C4775" t="s">
        <v>2724</v>
      </c>
      <c r="D4775" t="s">
        <v>13</v>
      </c>
      <c r="E4775" t="s">
        <v>27</v>
      </c>
      <c r="F4775">
        <v>1</v>
      </c>
      <c r="G4775">
        <v>4999</v>
      </c>
      <c r="H4775">
        <v>0.15</v>
      </c>
      <c r="I4775" t="s">
        <v>32</v>
      </c>
      <c r="J4775" t="s">
        <v>28</v>
      </c>
      <c r="K4775" t="s">
        <v>37</v>
      </c>
      <c r="L4775">
        <f>F4774*G4774*(1-H4774)</f>
        <v>3995</v>
      </c>
    </row>
    <row r="4776" spans="1:12">
      <c r="A4776" t="s">
        <v>5611</v>
      </c>
      <c r="B4776" s="1">
        <v>46033</v>
      </c>
      <c r="C4776" t="s">
        <v>5340</v>
      </c>
      <c r="D4776" t="s">
        <v>56</v>
      </c>
      <c r="E4776" t="s">
        <v>21</v>
      </c>
      <c r="F4776">
        <v>1</v>
      </c>
      <c r="G4776">
        <v>1999</v>
      </c>
      <c r="H4776">
        <v>0.1</v>
      </c>
      <c r="I4776" t="s">
        <v>47</v>
      </c>
      <c r="J4776" t="s">
        <v>36</v>
      </c>
      <c r="K4776" t="s">
        <v>17</v>
      </c>
      <c r="L4776">
        <f>F4775*G4775*(1-H4775)</f>
        <v>4249.1499999999996</v>
      </c>
    </row>
    <row r="4777" spans="1:12">
      <c r="A4777" t="s">
        <v>5612</v>
      </c>
      <c r="B4777" s="1">
        <v>46265</v>
      </c>
      <c r="C4777" t="s">
        <v>1250</v>
      </c>
      <c r="D4777" t="s">
        <v>59</v>
      </c>
      <c r="E4777" t="s">
        <v>21</v>
      </c>
      <c r="F4777">
        <v>5</v>
      </c>
      <c r="G4777">
        <v>999</v>
      </c>
      <c r="H4777">
        <v>0.05</v>
      </c>
      <c r="I4777" t="s">
        <v>47</v>
      </c>
      <c r="J4777" t="s">
        <v>36</v>
      </c>
      <c r="K4777" t="s">
        <v>17</v>
      </c>
      <c r="L4777">
        <f>F4776*G4776*(1-H4776)</f>
        <v>1799.1000000000001</v>
      </c>
    </row>
    <row r="4778" spans="1:12">
      <c r="A4778" t="s">
        <v>5613</v>
      </c>
      <c r="B4778" s="1">
        <v>46282</v>
      </c>
      <c r="C4778" t="s">
        <v>1568</v>
      </c>
      <c r="D4778" t="s">
        <v>78</v>
      </c>
      <c r="E4778" t="s">
        <v>27</v>
      </c>
      <c r="F4778">
        <v>2</v>
      </c>
      <c r="G4778">
        <v>1299</v>
      </c>
      <c r="H4778">
        <v>0</v>
      </c>
      <c r="I4778" t="s">
        <v>50</v>
      </c>
      <c r="J4778" t="s">
        <v>28</v>
      </c>
      <c r="K4778" t="s">
        <v>17</v>
      </c>
      <c r="L4778">
        <f>F4777*G4777*(1-H4777)</f>
        <v>4745.25</v>
      </c>
    </row>
    <row r="4779" spans="1:12">
      <c r="A4779" t="s">
        <v>5614</v>
      </c>
      <c r="B4779" s="1">
        <v>46131</v>
      </c>
      <c r="C4779" t="s">
        <v>189</v>
      </c>
      <c r="D4779" t="s">
        <v>20</v>
      </c>
      <c r="E4779" t="s">
        <v>27</v>
      </c>
      <c r="F4779">
        <v>1</v>
      </c>
      <c r="G4779">
        <v>7999</v>
      </c>
      <c r="H4779">
        <v>0</v>
      </c>
      <c r="I4779" t="s">
        <v>50</v>
      </c>
      <c r="J4779" t="s">
        <v>28</v>
      </c>
      <c r="K4779" t="s">
        <v>17</v>
      </c>
      <c r="L4779">
        <f>F4778*G4778*(1-H4778)</f>
        <v>2598</v>
      </c>
    </row>
    <row r="4780" spans="1:12">
      <c r="A4780" t="s">
        <v>5615</v>
      </c>
      <c r="B4780" s="1">
        <v>46088</v>
      </c>
      <c r="C4780" t="s">
        <v>1066</v>
      </c>
      <c r="D4780" t="s">
        <v>59</v>
      </c>
      <c r="E4780" t="s">
        <v>21</v>
      </c>
      <c r="F4780">
        <v>2</v>
      </c>
      <c r="G4780">
        <v>1299</v>
      </c>
      <c r="H4780">
        <v>0.1</v>
      </c>
      <c r="I4780" t="s">
        <v>32</v>
      </c>
      <c r="J4780" t="s">
        <v>22</v>
      </c>
      <c r="K4780" t="s">
        <v>37</v>
      </c>
      <c r="L4780">
        <f>F4779*G4779*(1-H4779)</f>
        <v>7999</v>
      </c>
    </row>
    <row r="4781" spans="1:12">
      <c r="A4781" t="s">
        <v>5616</v>
      </c>
      <c r="B4781" s="1">
        <v>46292</v>
      </c>
      <c r="C4781" t="s">
        <v>92</v>
      </c>
      <c r="D4781" t="s">
        <v>59</v>
      </c>
      <c r="E4781" t="s">
        <v>35</v>
      </c>
      <c r="F4781">
        <v>4</v>
      </c>
      <c r="G4781">
        <v>2499</v>
      </c>
      <c r="H4781">
        <v>0</v>
      </c>
      <c r="I4781" t="s">
        <v>50</v>
      </c>
      <c r="J4781" t="s">
        <v>16</v>
      </c>
      <c r="K4781" t="s">
        <v>17</v>
      </c>
      <c r="L4781">
        <f>F4780*G4780*(1-H4780)</f>
        <v>2338.2000000000003</v>
      </c>
    </row>
    <row r="4782" spans="1:12">
      <c r="A4782" t="s">
        <v>5617</v>
      </c>
      <c r="B4782" s="1">
        <v>46099</v>
      </c>
      <c r="C4782" t="s">
        <v>64</v>
      </c>
      <c r="D4782" t="s">
        <v>13</v>
      </c>
      <c r="E4782" t="s">
        <v>14</v>
      </c>
      <c r="F4782">
        <v>2</v>
      </c>
      <c r="G4782">
        <v>799</v>
      </c>
      <c r="H4782">
        <v>0.1</v>
      </c>
      <c r="I4782" t="s">
        <v>15</v>
      </c>
      <c r="J4782" t="s">
        <v>22</v>
      </c>
      <c r="K4782" t="s">
        <v>37</v>
      </c>
      <c r="L4782">
        <f>F4781*G4781*(1-H4781)</f>
        <v>9996</v>
      </c>
    </row>
    <row r="4783" spans="1:12">
      <c r="A4783" t="s">
        <v>5618</v>
      </c>
      <c r="B4783" s="1">
        <v>46141</v>
      </c>
      <c r="C4783" t="s">
        <v>944</v>
      </c>
      <c r="D4783" t="s">
        <v>56</v>
      </c>
      <c r="E4783" t="s">
        <v>35</v>
      </c>
      <c r="F4783">
        <v>4</v>
      </c>
      <c r="G4783">
        <v>799</v>
      </c>
      <c r="H4783">
        <v>0.1</v>
      </c>
      <c r="I4783" t="s">
        <v>32</v>
      </c>
      <c r="J4783" t="s">
        <v>22</v>
      </c>
      <c r="K4783" t="s">
        <v>17</v>
      </c>
      <c r="L4783">
        <f>F4782*G4782*(1-H4782)</f>
        <v>1438.2</v>
      </c>
    </row>
    <row r="4784" spans="1:12">
      <c r="A4784" t="s">
        <v>5619</v>
      </c>
      <c r="B4784" s="1">
        <v>46167</v>
      </c>
      <c r="C4784" t="s">
        <v>94</v>
      </c>
      <c r="D4784" t="s">
        <v>59</v>
      </c>
      <c r="E4784" t="s">
        <v>35</v>
      </c>
      <c r="F4784">
        <v>3</v>
      </c>
      <c r="G4784">
        <v>499</v>
      </c>
      <c r="H4784">
        <v>0</v>
      </c>
      <c r="I4784" t="s">
        <v>50</v>
      </c>
      <c r="J4784" t="s">
        <v>36</v>
      </c>
      <c r="K4784" t="s">
        <v>23</v>
      </c>
      <c r="L4784">
        <f>F4783*G4783*(1-H4783)</f>
        <v>2876.4</v>
      </c>
    </row>
    <row r="4785" spans="1:12">
      <c r="A4785" t="s">
        <v>5620</v>
      </c>
      <c r="B4785" s="1">
        <v>46071</v>
      </c>
      <c r="C4785" t="s">
        <v>1395</v>
      </c>
      <c r="D4785" t="s">
        <v>43</v>
      </c>
      <c r="E4785" t="s">
        <v>14</v>
      </c>
      <c r="F4785">
        <v>5</v>
      </c>
      <c r="G4785">
        <v>999</v>
      </c>
      <c r="H4785">
        <v>0</v>
      </c>
      <c r="I4785" t="s">
        <v>32</v>
      </c>
      <c r="J4785" t="s">
        <v>36</v>
      </c>
      <c r="K4785" t="s">
        <v>17</v>
      </c>
      <c r="L4785">
        <f>F4784*G4784*(1-H4784)</f>
        <v>1497</v>
      </c>
    </row>
    <row r="4786" spans="1:12">
      <c r="A4786" t="s">
        <v>5621</v>
      </c>
      <c r="B4786" s="1">
        <v>46155</v>
      </c>
      <c r="C4786" t="s">
        <v>1760</v>
      </c>
      <c r="D4786" t="s">
        <v>43</v>
      </c>
      <c r="E4786" t="s">
        <v>14</v>
      </c>
      <c r="F4786">
        <v>3</v>
      </c>
      <c r="G4786">
        <v>999</v>
      </c>
      <c r="H4786">
        <v>0.15</v>
      </c>
      <c r="I4786" t="s">
        <v>15</v>
      </c>
      <c r="J4786" t="s">
        <v>51</v>
      </c>
      <c r="K4786" t="s">
        <v>17</v>
      </c>
      <c r="L4786">
        <f>F4785*G4785*(1-H4785)</f>
        <v>4995</v>
      </c>
    </row>
    <row r="4787" spans="1:12">
      <c r="A4787" t="s">
        <v>5622</v>
      </c>
      <c r="B4787" s="1">
        <v>46047</v>
      </c>
      <c r="C4787" t="s">
        <v>872</v>
      </c>
      <c r="D4787" t="s">
        <v>71</v>
      </c>
      <c r="E4787" t="s">
        <v>14</v>
      </c>
      <c r="F4787">
        <v>2</v>
      </c>
      <c r="G4787">
        <v>499</v>
      </c>
      <c r="H4787">
        <v>0</v>
      </c>
      <c r="I4787" t="s">
        <v>47</v>
      </c>
      <c r="J4787" t="s">
        <v>51</v>
      </c>
      <c r="K4787" t="s">
        <v>17</v>
      </c>
      <c r="L4787">
        <f>F4786*G4786*(1-H4786)</f>
        <v>2547.4499999999998</v>
      </c>
    </row>
    <row r="4788" spans="1:12">
      <c r="A4788" t="s">
        <v>5623</v>
      </c>
      <c r="B4788" s="1">
        <v>46239</v>
      </c>
      <c r="C4788" t="s">
        <v>1169</v>
      </c>
      <c r="D4788" t="s">
        <v>31</v>
      </c>
      <c r="E4788" t="s">
        <v>35</v>
      </c>
      <c r="F4788">
        <v>3</v>
      </c>
      <c r="G4788">
        <v>999</v>
      </c>
      <c r="H4788">
        <v>0.1</v>
      </c>
      <c r="I4788" t="s">
        <v>15</v>
      </c>
      <c r="J4788" t="s">
        <v>51</v>
      </c>
      <c r="K4788" t="s">
        <v>17</v>
      </c>
      <c r="L4788">
        <f>F4787*G4787*(1-H4787)</f>
        <v>998</v>
      </c>
    </row>
    <row r="4789" spans="1:12">
      <c r="A4789" t="s">
        <v>5624</v>
      </c>
      <c r="B4789" s="1">
        <v>46128</v>
      </c>
      <c r="C4789" t="s">
        <v>1207</v>
      </c>
      <c r="D4789" t="s">
        <v>56</v>
      </c>
      <c r="E4789" t="s">
        <v>21</v>
      </c>
      <c r="F4789">
        <v>1</v>
      </c>
      <c r="G4789">
        <v>7999</v>
      </c>
      <c r="H4789">
        <v>0.1</v>
      </c>
      <c r="I4789" t="s">
        <v>44</v>
      </c>
      <c r="J4789" t="s">
        <v>28</v>
      </c>
      <c r="K4789" t="s">
        <v>17</v>
      </c>
      <c r="L4789">
        <f>F4788*G4788*(1-H4788)</f>
        <v>2697.3</v>
      </c>
    </row>
    <row r="4790" spans="1:12">
      <c r="A4790" t="s">
        <v>5625</v>
      </c>
      <c r="B4790" s="1">
        <v>46044</v>
      </c>
      <c r="C4790" t="s">
        <v>1911</v>
      </c>
      <c r="D4790" t="s">
        <v>56</v>
      </c>
      <c r="E4790" t="s">
        <v>40</v>
      </c>
      <c r="F4790">
        <v>5</v>
      </c>
      <c r="G4790">
        <v>1999</v>
      </c>
      <c r="H4790">
        <v>0.15</v>
      </c>
      <c r="I4790" t="s">
        <v>47</v>
      </c>
      <c r="J4790" t="s">
        <v>22</v>
      </c>
      <c r="K4790" t="s">
        <v>37</v>
      </c>
      <c r="L4790">
        <f>F4789*G4789*(1-H4789)</f>
        <v>7199.1</v>
      </c>
    </row>
    <row r="4791" spans="1:12">
      <c r="A4791" t="s">
        <v>5626</v>
      </c>
      <c r="B4791" s="1">
        <v>46119</v>
      </c>
      <c r="C4791" t="s">
        <v>376</v>
      </c>
      <c r="D4791" t="s">
        <v>31</v>
      </c>
      <c r="E4791" t="s">
        <v>27</v>
      </c>
      <c r="F4791">
        <v>2</v>
      </c>
      <c r="G4791">
        <v>1299</v>
      </c>
      <c r="H4791">
        <v>0</v>
      </c>
      <c r="I4791" t="s">
        <v>32</v>
      </c>
      <c r="J4791" t="s">
        <v>36</v>
      </c>
      <c r="K4791" t="s">
        <v>37</v>
      </c>
      <c r="L4791">
        <f>F4790*G4790*(1-H4790)</f>
        <v>8495.75</v>
      </c>
    </row>
    <row r="4792" spans="1:12">
      <c r="A4792" t="s">
        <v>5627</v>
      </c>
      <c r="B4792" s="1">
        <v>46138</v>
      </c>
      <c r="C4792" t="s">
        <v>39</v>
      </c>
      <c r="D4792" t="s">
        <v>13</v>
      </c>
      <c r="E4792" t="s">
        <v>14</v>
      </c>
      <c r="F4792">
        <v>5</v>
      </c>
      <c r="G4792">
        <v>1299</v>
      </c>
      <c r="H4792">
        <v>0</v>
      </c>
      <c r="I4792" t="s">
        <v>50</v>
      </c>
      <c r="J4792" t="s">
        <v>16</v>
      </c>
      <c r="K4792" t="s">
        <v>23</v>
      </c>
      <c r="L4792">
        <f>F4791*G4791*(1-H4791)</f>
        <v>2598</v>
      </c>
    </row>
    <row r="4793" spans="1:12">
      <c r="A4793" t="s">
        <v>5628</v>
      </c>
      <c r="B4793" s="1">
        <v>46224</v>
      </c>
      <c r="C4793" t="s">
        <v>1112</v>
      </c>
      <c r="D4793" t="s">
        <v>20</v>
      </c>
      <c r="E4793" t="s">
        <v>35</v>
      </c>
      <c r="F4793">
        <v>5</v>
      </c>
      <c r="G4793">
        <v>1299</v>
      </c>
      <c r="H4793">
        <v>0.05</v>
      </c>
      <c r="I4793" t="s">
        <v>50</v>
      </c>
      <c r="J4793" t="s">
        <v>36</v>
      </c>
      <c r="K4793" t="s">
        <v>23</v>
      </c>
      <c r="L4793">
        <f>F4792*G4792*(1-H4792)</f>
        <v>6495</v>
      </c>
    </row>
    <row r="4794" spans="1:12">
      <c r="A4794" t="s">
        <v>5629</v>
      </c>
      <c r="B4794" s="1">
        <v>46280</v>
      </c>
      <c r="C4794" t="s">
        <v>846</v>
      </c>
      <c r="D4794" t="s">
        <v>56</v>
      </c>
      <c r="E4794" t="s">
        <v>14</v>
      </c>
      <c r="F4794">
        <v>4</v>
      </c>
      <c r="G4794">
        <v>599</v>
      </c>
      <c r="H4794">
        <v>0</v>
      </c>
      <c r="I4794" t="s">
        <v>32</v>
      </c>
      <c r="J4794" t="s">
        <v>51</v>
      </c>
      <c r="K4794" t="s">
        <v>37</v>
      </c>
      <c r="L4794">
        <f>F4793*G4793*(1-H4793)</f>
        <v>6170.25</v>
      </c>
    </row>
    <row r="4795" spans="1:12">
      <c r="A4795" t="s">
        <v>5630</v>
      </c>
      <c r="B4795" s="1">
        <v>46287</v>
      </c>
      <c r="C4795" t="s">
        <v>1288</v>
      </c>
      <c r="D4795" t="s">
        <v>31</v>
      </c>
      <c r="E4795" t="s">
        <v>14</v>
      </c>
      <c r="F4795">
        <v>3</v>
      </c>
      <c r="G4795">
        <v>1999</v>
      </c>
      <c r="H4795">
        <v>0</v>
      </c>
      <c r="I4795" t="s">
        <v>47</v>
      </c>
      <c r="J4795" t="s">
        <v>28</v>
      </c>
      <c r="K4795" t="s">
        <v>17</v>
      </c>
      <c r="L4795">
        <f>F4794*G4794*(1-H4794)</f>
        <v>2396</v>
      </c>
    </row>
    <row r="4796" spans="1:12">
      <c r="A4796" t="s">
        <v>5631</v>
      </c>
      <c r="B4796" s="1">
        <v>46237</v>
      </c>
      <c r="C4796" t="s">
        <v>289</v>
      </c>
      <c r="D4796" t="s">
        <v>31</v>
      </c>
      <c r="E4796" t="s">
        <v>14</v>
      </c>
      <c r="F4796">
        <v>3</v>
      </c>
      <c r="G4796">
        <v>599</v>
      </c>
      <c r="H4796">
        <v>0</v>
      </c>
      <c r="I4796" t="s">
        <v>15</v>
      </c>
      <c r="J4796" t="s">
        <v>16</v>
      </c>
      <c r="K4796" t="s">
        <v>17</v>
      </c>
      <c r="L4796">
        <f>F4795*G4795*(1-H4795)</f>
        <v>5997</v>
      </c>
    </row>
    <row r="4797" spans="1:12">
      <c r="A4797" t="s">
        <v>5632</v>
      </c>
      <c r="B4797" s="1">
        <v>46040</v>
      </c>
      <c r="C4797" t="s">
        <v>1766</v>
      </c>
      <c r="D4797" t="s">
        <v>59</v>
      </c>
      <c r="E4797" t="s">
        <v>27</v>
      </c>
      <c r="F4797">
        <v>3</v>
      </c>
      <c r="G4797">
        <v>4999</v>
      </c>
      <c r="H4797">
        <v>0</v>
      </c>
      <c r="I4797" t="s">
        <v>32</v>
      </c>
      <c r="J4797" t="s">
        <v>36</v>
      </c>
      <c r="K4797" t="s">
        <v>37</v>
      </c>
      <c r="L4797">
        <f>F4796*G4796*(1-H4796)</f>
        <v>1797</v>
      </c>
    </row>
    <row r="4798" spans="1:12">
      <c r="A4798" t="s">
        <v>5633</v>
      </c>
      <c r="B4798" s="1">
        <v>46070</v>
      </c>
      <c r="C4798" t="s">
        <v>2755</v>
      </c>
      <c r="D4798" t="s">
        <v>71</v>
      </c>
      <c r="E4798" t="s">
        <v>35</v>
      </c>
      <c r="F4798">
        <v>2</v>
      </c>
      <c r="G4798">
        <v>2499</v>
      </c>
      <c r="H4798">
        <v>0.15</v>
      </c>
      <c r="I4798" t="s">
        <v>32</v>
      </c>
      <c r="J4798" t="s">
        <v>28</v>
      </c>
      <c r="K4798" t="s">
        <v>17</v>
      </c>
      <c r="L4798">
        <f>F4797*G4797*(1-H4797)</f>
        <v>14997</v>
      </c>
    </row>
    <row r="4799" spans="1:12">
      <c r="A4799" t="s">
        <v>5634</v>
      </c>
      <c r="B4799" s="1">
        <v>46220</v>
      </c>
      <c r="C4799" t="s">
        <v>729</v>
      </c>
      <c r="D4799" t="s">
        <v>56</v>
      </c>
      <c r="E4799" t="s">
        <v>14</v>
      </c>
      <c r="F4799">
        <v>1</v>
      </c>
      <c r="G4799">
        <v>499</v>
      </c>
      <c r="H4799">
        <v>0</v>
      </c>
      <c r="I4799" t="s">
        <v>47</v>
      </c>
      <c r="J4799" t="s">
        <v>36</v>
      </c>
      <c r="K4799" t="s">
        <v>17</v>
      </c>
      <c r="L4799">
        <f>F4798*G4798*(1-H4798)</f>
        <v>4248.3</v>
      </c>
    </row>
    <row r="4800" spans="1:12">
      <c r="A4800" t="s">
        <v>5635</v>
      </c>
      <c r="B4800" s="1">
        <v>46051</v>
      </c>
      <c r="C4800" t="s">
        <v>685</v>
      </c>
      <c r="D4800" t="s">
        <v>62</v>
      </c>
      <c r="E4800" t="s">
        <v>14</v>
      </c>
      <c r="F4800">
        <v>2</v>
      </c>
      <c r="G4800">
        <v>999</v>
      </c>
      <c r="H4800">
        <v>0</v>
      </c>
      <c r="I4800" t="s">
        <v>15</v>
      </c>
      <c r="J4800" t="s">
        <v>22</v>
      </c>
      <c r="K4800" t="s">
        <v>23</v>
      </c>
      <c r="L4800">
        <f>F4799*G4799*(1-H4799)</f>
        <v>499</v>
      </c>
    </row>
    <row r="4801" spans="1:12">
      <c r="A4801" t="s">
        <v>5636</v>
      </c>
      <c r="B4801" s="1">
        <v>46161</v>
      </c>
      <c r="C4801" t="s">
        <v>2679</v>
      </c>
      <c r="D4801" t="s">
        <v>59</v>
      </c>
      <c r="E4801" t="s">
        <v>35</v>
      </c>
      <c r="F4801">
        <v>3</v>
      </c>
      <c r="G4801">
        <v>499</v>
      </c>
      <c r="H4801">
        <v>0.15</v>
      </c>
      <c r="I4801" t="s">
        <v>50</v>
      </c>
      <c r="J4801" t="s">
        <v>16</v>
      </c>
      <c r="K4801" t="s">
        <v>37</v>
      </c>
      <c r="L4801">
        <f>F4800*G4800*(1-H4800)</f>
        <v>1998</v>
      </c>
    </row>
    <row r="4802" spans="1:12">
      <c r="A4802" t="s">
        <v>5637</v>
      </c>
      <c r="B4802" s="1">
        <v>46087</v>
      </c>
      <c r="C4802" t="s">
        <v>1625</v>
      </c>
      <c r="D4802" t="s">
        <v>26</v>
      </c>
      <c r="E4802" t="s">
        <v>14</v>
      </c>
      <c r="F4802">
        <v>1</v>
      </c>
      <c r="G4802">
        <v>599</v>
      </c>
      <c r="H4802">
        <v>0.05</v>
      </c>
      <c r="I4802" t="s">
        <v>15</v>
      </c>
      <c r="J4802" t="s">
        <v>16</v>
      </c>
      <c r="K4802" t="s">
        <v>17</v>
      </c>
      <c r="L4802">
        <f>F4801*G4801*(1-H4801)</f>
        <v>1272.45</v>
      </c>
    </row>
    <row r="4803" spans="1:12">
      <c r="A4803" t="s">
        <v>5638</v>
      </c>
      <c r="B4803" s="1">
        <v>46242</v>
      </c>
      <c r="C4803" t="s">
        <v>526</v>
      </c>
      <c r="D4803" t="s">
        <v>62</v>
      </c>
      <c r="E4803" t="s">
        <v>35</v>
      </c>
      <c r="F4803">
        <v>5</v>
      </c>
      <c r="G4803">
        <v>2499</v>
      </c>
      <c r="H4803">
        <v>0</v>
      </c>
      <c r="I4803" t="s">
        <v>47</v>
      </c>
      <c r="J4803" t="s">
        <v>22</v>
      </c>
      <c r="K4803" t="s">
        <v>23</v>
      </c>
      <c r="L4803">
        <f>F4802*G4802*(1-H4802)</f>
        <v>569.04999999999995</v>
      </c>
    </row>
    <row r="4804" spans="1:12">
      <c r="A4804" t="s">
        <v>5639</v>
      </c>
      <c r="B4804" s="1">
        <v>46264</v>
      </c>
      <c r="C4804" t="s">
        <v>247</v>
      </c>
      <c r="D4804" t="s">
        <v>20</v>
      </c>
      <c r="E4804" t="s">
        <v>40</v>
      </c>
      <c r="F4804">
        <v>3</v>
      </c>
      <c r="G4804">
        <v>999</v>
      </c>
      <c r="H4804">
        <v>0</v>
      </c>
      <c r="I4804" t="s">
        <v>47</v>
      </c>
      <c r="J4804" t="s">
        <v>16</v>
      </c>
      <c r="K4804" t="s">
        <v>17</v>
      </c>
      <c r="L4804">
        <f>F4803*G4803*(1-H4803)</f>
        <v>12495</v>
      </c>
    </row>
    <row r="4805" spans="1:12">
      <c r="A4805" t="s">
        <v>5640</v>
      </c>
      <c r="B4805" s="1">
        <v>46282</v>
      </c>
      <c r="C4805" t="s">
        <v>489</v>
      </c>
      <c r="D4805" t="s">
        <v>43</v>
      </c>
      <c r="E4805" t="s">
        <v>21</v>
      </c>
      <c r="F4805">
        <v>3</v>
      </c>
      <c r="G4805">
        <v>2499</v>
      </c>
      <c r="H4805">
        <v>0.05</v>
      </c>
      <c r="I4805" t="s">
        <v>32</v>
      </c>
      <c r="J4805" t="s">
        <v>51</v>
      </c>
      <c r="K4805" t="s">
        <v>23</v>
      </c>
      <c r="L4805">
        <f>F4804*G4804*(1-H4804)</f>
        <v>2997</v>
      </c>
    </row>
    <row r="4806" spans="1:12">
      <c r="A4806" t="s">
        <v>5641</v>
      </c>
      <c r="B4806" s="1">
        <v>46194</v>
      </c>
      <c r="C4806" t="s">
        <v>1646</v>
      </c>
      <c r="D4806" t="s">
        <v>62</v>
      </c>
      <c r="E4806" t="s">
        <v>40</v>
      </c>
      <c r="F4806">
        <v>1</v>
      </c>
      <c r="G4806">
        <v>4999</v>
      </c>
      <c r="H4806">
        <v>0.05</v>
      </c>
      <c r="I4806" t="s">
        <v>44</v>
      </c>
      <c r="J4806" t="s">
        <v>16</v>
      </c>
      <c r="K4806" t="s">
        <v>17</v>
      </c>
      <c r="L4806">
        <f>F4805*G4805*(1-H4805)</f>
        <v>7122.15</v>
      </c>
    </row>
    <row r="4807" spans="1:12">
      <c r="A4807" t="s">
        <v>5642</v>
      </c>
      <c r="B4807" s="1">
        <v>46088</v>
      </c>
      <c r="C4807" t="s">
        <v>513</v>
      </c>
      <c r="D4807" t="s">
        <v>62</v>
      </c>
      <c r="E4807" t="s">
        <v>21</v>
      </c>
      <c r="F4807">
        <v>1</v>
      </c>
      <c r="G4807">
        <v>1999</v>
      </c>
      <c r="H4807">
        <v>0</v>
      </c>
      <c r="I4807" t="s">
        <v>15</v>
      </c>
      <c r="J4807" t="s">
        <v>36</v>
      </c>
      <c r="K4807" t="s">
        <v>17</v>
      </c>
      <c r="L4807">
        <f>F4806*G4806*(1-H4806)</f>
        <v>4749.05</v>
      </c>
    </row>
    <row r="4808" spans="1:12">
      <c r="A4808" t="s">
        <v>5643</v>
      </c>
      <c r="B4808" s="1">
        <v>46103</v>
      </c>
      <c r="C4808" t="s">
        <v>1768</v>
      </c>
      <c r="D4808" t="s">
        <v>62</v>
      </c>
      <c r="E4808" t="s">
        <v>40</v>
      </c>
      <c r="F4808">
        <v>2</v>
      </c>
      <c r="G4808">
        <v>999</v>
      </c>
      <c r="H4808">
        <v>0.1</v>
      </c>
      <c r="I4808" t="s">
        <v>47</v>
      </c>
      <c r="J4808" t="s">
        <v>51</v>
      </c>
      <c r="K4808" t="s">
        <v>17</v>
      </c>
      <c r="L4808">
        <f>F4807*G4807*(1-H4807)</f>
        <v>1999</v>
      </c>
    </row>
    <row r="4809" spans="1:12">
      <c r="A4809" t="s">
        <v>5644</v>
      </c>
      <c r="B4809" s="1">
        <v>46252</v>
      </c>
      <c r="C4809" t="s">
        <v>564</v>
      </c>
      <c r="D4809" t="s">
        <v>13</v>
      </c>
      <c r="E4809" t="s">
        <v>21</v>
      </c>
      <c r="F4809">
        <v>4</v>
      </c>
      <c r="G4809">
        <v>599</v>
      </c>
      <c r="H4809">
        <v>0</v>
      </c>
      <c r="I4809" t="s">
        <v>15</v>
      </c>
      <c r="J4809" t="s">
        <v>28</v>
      </c>
      <c r="K4809" t="s">
        <v>17</v>
      </c>
      <c r="L4809">
        <f>F4808*G4808*(1-H4808)</f>
        <v>1798.2</v>
      </c>
    </row>
    <row r="4810" spans="1:12">
      <c r="A4810" t="s">
        <v>5645</v>
      </c>
      <c r="B4810" s="1">
        <v>46071</v>
      </c>
      <c r="C4810" t="s">
        <v>794</v>
      </c>
      <c r="D4810" t="s">
        <v>78</v>
      </c>
      <c r="E4810" t="s">
        <v>27</v>
      </c>
      <c r="F4810">
        <v>5</v>
      </c>
      <c r="G4810">
        <v>7999</v>
      </c>
      <c r="H4810">
        <v>0</v>
      </c>
      <c r="I4810" t="s">
        <v>47</v>
      </c>
      <c r="J4810" t="s">
        <v>36</v>
      </c>
      <c r="K4810" t="s">
        <v>23</v>
      </c>
      <c r="L4810">
        <f>F4809*G4809*(1-H4809)</f>
        <v>2396</v>
      </c>
    </row>
    <row r="4811" spans="1:12">
      <c r="A4811" t="s">
        <v>5646</v>
      </c>
      <c r="B4811" s="1">
        <v>46133</v>
      </c>
      <c r="C4811" t="s">
        <v>1777</v>
      </c>
      <c r="D4811" t="s">
        <v>20</v>
      </c>
      <c r="E4811" t="s">
        <v>40</v>
      </c>
      <c r="F4811">
        <v>1</v>
      </c>
      <c r="G4811">
        <v>499</v>
      </c>
      <c r="H4811">
        <v>0.1</v>
      </c>
      <c r="I4811" t="s">
        <v>32</v>
      </c>
      <c r="J4811" t="s">
        <v>22</v>
      </c>
      <c r="K4811" t="s">
        <v>17</v>
      </c>
      <c r="L4811">
        <f>F4810*G4810*(1-H4810)</f>
        <v>39995</v>
      </c>
    </row>
    <row r="4812" spans="1:12">
      <c r="A4812" t="s">
        <v>5647</v>
      </c>
      <c r="B4812" s="1">
        <v>46169</v>
      </c>
      <c r="C4812" t="s">
        <v>168</v>
      </c>
      <c r="D4812" t="s">
        <v>59</v>
      </c>
      <c r="E4812" t="s">
        <v>27</v>
      </c>
      <c r="F4812">
        <v>3</v>
      </c>
      <c r="G4812">
        <v>1499</v>
      </c>
      <c r="H4812">
        <v>0</v>
      </c>
      <c r="I4812" t="s">
        <v>32</v>
      </c>
      <c r="J4812" t="s">
        <v>16</v>
      </c>
      <c r="K4812" t="s">
        <v>37</v>
      </c>
      <c r="L4812">
        <f>F4811*G4811*(1-H4811)</f>
        <v>449.1</v>
      </c>
    </row>
    <row r="4813" spans="1:12">
      <c r="A4813" t="s">
        <v>5648</v>
      </c>
      <c r="B4813" s="1">
        <v>46207</v>
      </c>
      <c r="C4813" t="s">
        <v>1318</v>
      </c>
      <c r="D4813" t="s">
        <v>62</v>
      </c>
      <c r="E4813" t="s">
        <v>14</v>
      </c>
      <c r="F4813">
        <v>5</v>
      </c>
      <c r="G4813">
        <v>599</v>
      </c>
      <c r="H4813">
        <v>0.1</v>
      </c>
      <c r="I4813" t="s">
        <v>47</v>
      </c>
      <c r="J4813" t="s">
        <v>36</v>
      </c>
      <c r="K4813" t="s">
        <v>17</v>
      </c>
      <c r="L4813">
        <f>F4812*G4812*(1-H4812)</f>
        <v>4497</v>
      </c>
    </row>
    <row r="4814" spans="1:12">
      <c r="A4814" t="s">
        <v>5649</v>
      </c>
      <c r="B4814" s="1">
        <v>46247</v>
      </c>
      <c r="C4814" t="s">
        <v>243</v>
      </c>
      <c r="D4814" t="s">
        <v>43</v>
      </c>
      <c r="E4814" t="s">
        <v>21</v>
      </c>
      <c r="F4814">
        <v>2</v>
      </c>
      <c r="G4814">
        <v>1499</v>
      </c>
      <c r="H4814">
        <v>0.15</v>
      </c>
      <c r="I4814" t="s">
        <v>32</v>
      </c>
      <c r="J4814" t="s">
        <v>51</v>
      </c>
      <c r="K4814" t="s">
        <v>17</v>
      </c>
      <c r="L4814">
        <f>F4813*G4813*(1-H4813)</f>
        <v>2695.5</v>
      </c>
    </row>
    <row r="4815" spans="1:12">
      <c r="A4815" t="s">
        <v>5650</v>
      </c>
      <c r="B4815" s="1">
        <v>46141</v>
      </c>
      <c r="C4815" t="s">
        <v>5340</v>
      </c>
      <c r="D4815" t="s">
        <v>26</v>
      </c>
      <c r="E4815" t="s">
        <v>40</v>
      </c>
      <c r="F4815">
        <v>3</v>
      </c>
      <c r="G4815">
        <v>2499</v>
      </c>
      <c r="H4815">
        <v>0.1</v>
      </c>
      <c r="I4815" t="s">
        <v>50</v>
      </c>
      <c r="J4815" t="s">
        <v>51</v>
      </c>
      <c r="K4815" t="s">
        <v>23</v>
      </c>
      <c r="L4815">
        <f>F4814*G4814*(1-H4814)</f>
        <v>2548.2999999999997</v>
      </c>
    </row>
    <row r="4816" spans="1:12">
      <c r="A4816" t="s">
        <v>5651</v>
      </c>
      <c r="B4816" s="1">
        <v>46071</v>
      </c>
      <c r="C4816" t="s">
        <v>581</v>
      </c>
      <c r="D4816" t="s">
        <v>13</v>
      </c>
      <c r="E4816" t="s">
        <v>27</v>
      </c>
      <c r="F4816">
        <v>1</v>
      </c>
      <c r="G4816">
        <v>499</v>
      </c>
      <c r="H4816">
        <v>0</v>
      </c>
      <c r="I4816" t="s">
        <v>32</v>
      </c>
      <c r="J4816" t="s">
        <v>22</v>
      </c>
      <c r="K4816" t="s">
        <v>17</v>
      </c>
      <c r="L4816">
        <f>F4815*G4815*(1-H4815)</f>
        <v>6747.3</v>
      </c>
    </row>
    <row r="4817" spans="1:12">
      <c r="A4817" t="s">
        <v>5652</v>
      </c>
      <c r="B4817" s="1">
        <v>46174</v>
      </c>
      <c r="C4817" t="s">
        <v>285</v>
      </c>
      <c r="D4817" t="s">
        <v>26</v>
      </c>
      <c r="E4817" t="s">
        <v>21</v>
      </c>
      <c r="F4817">
        <v>4</v>
      </c>
      <c r="G4817">
        <v>1499</v>
      </c>
      <c r="H4817">
        <v>0</v>
      </c>
      <c r="I4817" t="s">
        <v>47</v>
      </c>
      <c r="J4817" t="s">
        <v>16</v>
      </c>
      <c r="K4817" t="s">
        <v>17</v>
      </c>
      <c r="L4817">
        <f>F4816*G4816*(1-H4816)</f>
        <v>499</v>
      </c>
    </row>
    <row r="4818" spans="1:12">
      <c r="A4818" t="s">
        <v>5653</v>
      </c>
      <c r="B4818" s="1">
        <v>46083</v>
      </c>
      <c r="C4818" t="s">
        <v>642</v>
      </c>
      <c r="D4818" t="s">
        <v>56</v>
      </c>
      <c r="E4818" t="s">
        <v>40</v>
      </c>
      <c r="F4818">
        <v>1</v>
      </c>
      <c r="G4818">
        <v>1999</v>
      </c>
      <c r="H4818">
        <v>0</v>
      </c>
      <c r="I4818" t="s">
        <v>47</v>
      </c>
      <c r="J4818" t="s">
        <v>36</v>
      </c>
      <c r="K4818" t="s">
        <v>23</v>
      </c>
      <c r="L4818">
        <f>F4817*G4817*(1-H4817)</f>
        <v>5996</v>
      </c>
    </row>
    <row r="4819" spans="1:12">
      <c r="A4819" t="s">
        <v>5654</v>
      </c>
      <c r="B4819" s="1">
        <v>46236</v>
      </c>
      <c r="C4819" t="s">
        <v>84</v>
      </c>
      <c r="D4819" t="s">
        <v>59</v>
      </c>
      <c r="E4819" t="s">
        <v>21</v>
      </c>
      <c r="F4819">
        <v>3</v>
      </c>
      <c r="G4819">
        <v>599</v>
      </c>
      <c r="H4819">
        <v>0</v>
      </c>
      <c r="I4819" t="s">
        <v>50</v>
      </c>
      <c r="J4819" t="s">
        <v>51</v>
      </c>
      <c r="K4819" t="s">
        <v>17</v>
      </c>
      <c r="L4819">
        <f>F4818*G4818*(1-H4818)</f>
        <v>1999</v>
      </c>
    </row>
    <row r="4820" spans="1:12">
      <c r="A4820" t="s">
        <v>5655</v>
      </c>
      <c r="B4820" s="1">
        <v>46059</v>
      </c>
      <c r="C4820" t="s">
        <v>115</v>
      </c>
      <c r="D4820" t="s">
        <v>78</v>
      </c>
      <c r="E4820" t="s">
        <v>35</v>
      </c>
      <c r="F4820">
        <v>3</v>
      </c>
      <c r="G4820">
        <v>499</v>
      </c>
      <c r="H4820">
        <v>0.15</v>
      </c>
      <c r="I4820" t="s">
        <v>32</v>
      </c>
      <c r="J4820" t="s">
        <v>36</v>
      </c>
      <c r="K4820" t="s">
        <v>17</v>
      </c>
      <c r="L4820">
        <f>F4819*G4819*(1-H4819)</f>
        <v>1797</v>
      </c>
    </row>
    <row r="4821" spans="1:12">
      <c r="A4821" t="s">
        <v>5656</v>
      </c>
      <c r="B4821" s="1">
        <v>46186</v>
      </c>
      <c r="C4821" t="s">
        <v>822</v>
      </c>
      <c r="D4821" t="s">
        <v>20</v>
      </c>
      <c r="E4821" t="s">
        <v>21</v>
      </c>
      <c r="F4821">
        <v>4</v>
      </c>
      <c r="G4821">
        <v>1999</v>
      </c>
      <c r="H4821">
        <v>0</v>
      </c>
      <c r="I4821" t="s">
        <v>15</v>
      </c>
      <c r="J4821" t="s">
        <v>22</v>
      </c>
      <c r="K4821" t="s">
        <v>17</v>
      </c>
      <c r="L4821">
        <f>F4820*G4820*(1-H4820)</f>
        <v>1272.45</v>
      </c>
    </row>
    <row r="4822" spans="1:12">
      <c r="A4822" t="s">
        <v>5657</v>
      </c>
      <c r="B4822" s="1">
        <v>46276</v>
      </c>
      <c r="C4822" t="s">
        <v>1462</v>
      </c>
      <c r="D4822" t="s">
        <v>71</v>
      </c>
      <c r="E4822" t="s">
        <v>27</v>
      </c>
      <c r="F4822">
        <v>3</v>
      </c>
      <c r="G4822">
        <v>1999</v>
      </c>
      <c r="H4822">
        <v>0</v>
      </c>
      <c r="I4822" t="s">
        <v>44</v>
      </c>
      <c r="J4822" t="s">
        <v>28</v>
      </c>
      <c r="K4822" t="s">
        <v>17</v>
      </c>
      <c r="L4822">
        <f>F4821*G4821*(1-H4821)</f>
        <v>7996</v>
      </c>
    </row>
    <row r="4823" spans="1:12">
      <c r="A4823" t="s">
        <v>5658</v>
      </c>
      <c r="B4823" s="1">
        <v>46025</v>
      </c>
      <c r="C4823" t="s">
        <v>667</v>
      </c>
      <c r="D4823" t="s">
        <v>71</v>
      </c>
      <c r="E4823" t="s">
        <v>14</v>
      </c>
      <c r="F4823">
        <v>3</v>
      </c>
      <c r="G4823">
        <v>4999</v>
      </c>
      <c r="H4823">
        <v>0.1</v>
      </c>
      <c r="I4823" t="s">
        <v>44</v>
      </c>
      <c r="J4823" t="s">
        <v>16</v>
      </c>
      <c r="K4823" t="s">
        <v>17</v>
      </c>
      <c r="L4823">
        <f>F4822*G4822*(1-H4822)</f>
        <v>5997</v>
      </c>
    </row>
    <row r="4824" spans="1:12">
      <c r="A4824" t="s">
        <v>5659</v>
      </c>
      <c r="B4824" s="1">
        <v>46287</v>
      </c>
      <c r="C4824" t="s">
        <v>1132</v>
      </c>
      <c r="D4824" t="s">
        <v>13</v>
      </c>
      <c r="E4824" t="s">
        <v>27</v>
      </c>
      <c r="F4824">
        <v>4</v>
      </c>
      <c r="G4824">
        <v>799</v>
      </c>
      <c r="H4824">
        <v>0.15</v>
      </c>
      <c r="I4824" t="s">
        <v>47</v>
      </c>
      <c r="J4824" t="s">
        <v>22</v>
      </c>
      <c r="K4824" t="s">
        <v>17</v>
      </c>
      <c r="L4824">
        <f>F4823*G4823*(1-H4823)</f>
        <v>13497.300000000001</v>
      </c>
    </row>
    <row r="4825" spans="1:12">
      <c r="A4825" t="s">
        <v>5660</v>
      </c>
      <c r="B4825" s="1">
        <v>46191</v>
      </c>
      <c r="C4825" t="s">
        <v>259</v>
      </c>
      <c r="D4825" t="s">
        <v>43</v>
      </c>
      <c r="E4825" t="s">
        <v>14</v>
      </c>
      <c r="F4825">
        <v>1</v>
      </c>
      <c r="G4825">
        <v>4999</v>
      </c>
      <c r="H4825">
        <v>0</v>
      </c>
      <c r="I4825" t="s">
        <v>47</v>
      </c>
      <c r="J4825" t="s">
        <v>36</v>
      </c>
      <c r="K4825" t="s">
        <v>17</v>
      </c>
      <c r="L4825">
        <f>F4824*G4824*(1-H4824)</f>
        <v>2716.6</v>
      </c>
    </row>
    <row r="4826" spans="1:12">
      <c r="A4826" t="s">
        <v>5661</v>
      </c>
      <c r="B4826" s="1">
        <v>46066</v>
      </c>
      <c r="C4826" t="s">
        <v>336</v>
      </c>
      <c r="D4826" t="s">
        <v>43</v>
      </c>
      <c r="E4826" t="s">
        <v>27</v>
      </c>
      <c r="F4826">
        <v>2</v>
      </c>
      <c r="G4826">
        <v>599</v>
      </c>
      <c r="H4826">
        <v>0.1</v>
      </c>
      <c r="I4826" t="s">
        <v>47</v>
      </c>
      <c r="J4826" t="s">
        <v>22</v>
      </c>
      <c r="K4826" t="s">
        <v>17</v>
      </c>
      <c r="L4826">
        <f>F4825*G4825*(1-H4825)</f>
        <v>4999</v>
      </c>
    </row>
    <row r="4827" spans="1:12">
      <c r="A4827" t="s">
        <v>5662</v>
      </c>
      <c r="B4827" s="1">
        <v>46064</v>
      </c>
      <c r="C4827" t="s">
        <v>456</v>
      </c>
      <c r="D4827" t="s">
        <v>59</v>
      </c>
      <c r="E4827" t="s">
        <v>35</v>
      </c>
      <c r="F4827">
        <v>1</v>
      </c>
      <c r="G4827">
        <v>499</v>
      </c>
      <c r="H4827">
        <v>0</v>
      </c>
      <c r="I4827" t="s">
        <v>50</v>
      </c>
      <c r="J4827" t="s">
        <v>51</v>
      </c>
      <c r="K4827" t="s">
        <v>17</v>
      </c>
      <c r="L4827">
        <f>F4826*G4826*(1-H4826)</f>
        <v>1078.2</v>
      </c>
    </row>
    <row r="4828" spans="1:12">
      <c r="A4828" t="s">
        <v>5663</v>
      </c>
      <c r="B4828" s="1">
        <v>46216</v>
      </c>
      <c r="C4828" t="s">
        <v>2755</v>
      </c>
      <c r="D4828" t="s">
        <v>13</v>
      </c>
      <c r="E4828" t="s">
        <v>14</v>
      </c>
      <c r="F4828">
        <v>5</v>
      </c>
      <c r="G4828">
        <v>2499</v>
      </c>
      <c r="H4828">
        <v>0.1</v>
      </c>
      <c r="I4828" t="s">
        <v>32</v>
      </c>
      <c r="J4828" t="s">
        <v>16</v>
      </c>
      <c r="K4828" t="s">
        <v>17</v>
      </c>
      <c r="L4828">
        <f>F4827*G4827*(1-H4827)</f>
        <v>499</v>
      </c>
    </row>
    <row r="4829" spans="1:12">
      <c r="A4829" t="s">
        <v>5664</v>
      </c>
      <c r="B4829" s="1">
        <v>46235</v>
      </c>
      <c r="C4829" t="s">
        <v>746</v>
      </c>
      <c r="D4829" t="s">
        <v>62</v>
      </c>
      <c r="E4829" t="s">
        <v>27</v>
      </c>
      <c r="F4829">
        <v>1</v>
      </c>
      <c r="G4829">
        <v>2499</v>
      </c>
      <c r="H4829">
        <v>0.15</v>
      </c>
      <c r="I4829" t="s">
        <v>32</v>
      </c>
      <c r="J4829" t="s">
        <v>16</v>
      </c>
      <c r="K4829" t="s">
        <v>37</v>
      </c>
      <c r="L4829">
        <f>F4828*G4828*(1-H4828)</f>
        <v>11245.5</v>
      </c>
    </row>
    <row r="4830" spans="1:12">
      <c r="A4830" t="s">
        <v>5665</v>
      </c>
      <c r="B4830" s="1">
        <v>46134</v>
      </c>
      <c r="C4830" t="s">
        <v>3039</v>
      </c>
      <c r="D4830" t="s">
        <v>20</v>
      </c>
      <c r="E4830" t="s">
        <v>21</v>
      </c>
      <c r="F4830">
        <v>1</v>
      </c>
      <c r="G4830">
        <v>7999</v>
      </c>
      <c r="H4830">
        <v>0.1</v>
      </c>
      <c r="I4830" t="s">
        <v>44</v>
      </c>
      <c r="J4830" t="s">
        <v>16</v>
      </c>
      <c r="K4830" t="s">
        <v>17</v>
      </c>
      <c r="L4830">
        <f>F4829*G4829*(1-H4829)</f>
        <v>2124.15</v>
      </c>
    </row>
    <row r="4831" spans="1:12">
      <c r="A4831" t="s">
        <v>5666</v>
      </c>
      <c r="B4831" s="1">
        <v>46034</v>
      </c>
      <c r="C4831" t="s">
        <v>637</v>
      </c>
      <c r="D4831" t="s">
        <v>71</v>
      </c>
      <c r="E4831" t="s">
        <v>40</v>
      </c>
      <c r="F4831">
        <v>2</v>
      </c>
      <c r="G4831">
        <v>1299</v>
      </c>
      <c r="H4831">
        <v>0.15</v>
      </c>
      <c r="I4831" t="s">
        <v>50</v>
      </c>
      <c r="J4831" t="s">
        <v>16</v>
      </c>
      <c r="K4831" t="s">
        <v>37</v>
      </c>
      <c r="L4831">
        <f>F4830*G4830*(1-H4830)</f>
        <v>7199.1</v>
      </c>
    </row>
    <row r="4832" spans="1:12">
      <c r="A4832" t="s">
        <v>5667</v>
      </c>
      <c r="B4832" s="1">
        <v>46087</v>
      </c>
      <c r="C4832" t="s">
        <v>663</v>
      </c>
      <c r="D4832" t="s">
        <v>71</v>
      </c>
      <c r="E4832" t="s">
        <v>21</v>
      </c>
      <c r="F4832">
        <v>3</v>
      </c>
      <c r="G4832">
        <v>7999</v>
      </c>
      <c r="H4832">
        <v>0</v>
      </c>
      <c r="I4832" t="s">
        <v>15</v>
      </c>
      <c r="J4832" t="s">
        <v>16</v>
      </c>
      <c r="K4832" t="s">
        <v>37</v>
      </c>
      <c r="L4832">
        <f>F4831*G4831*(1-H4831)</f>
        <v>2208.2999999999997</v>
      </c>
    </row>
    <row r="4833" spans="1:12">
      <c r="A4833" t="s">
        <v>5668</v>
      </c>
      <c r="B4833" s="1">
        <v>46031</v>
      </c>
      <c r="C4833" t="s">
        <v>3000</v>
      </c>
      <c r="D4833" t="s">
        <v>13</v>
      </c>
      <c r="E4833" t="s">
        <v>21</v>
      </c>
      <c r="F4833">
        <v>5</v>
      </c>
      <c r="G4833">
        <v>499</v>
      </c>
      <c r="H4833">
        <v>0</v>
      </c>
      <c r="I4833" t="s">
        <v>15</v>
      </c>
      <c r="J4833" t="s">
        <v>51</v>
      </c>
      <c r="K4833" t="s">
        <v>17</v>
      </c>
      <c r="L4833">
        <f>F4832*G4832*(1-H4832)</f>
        <v>23997</v>
      </c>
    </row>
    <row r="4834" spans="1:12">
      <c r="A4834" t="s">
        <v>5669</v>
      </c>
      <c r="B4834" s="1">
        <v>46201</v>
      </c>
      <c r="C4834" t="s">
        <v>1983</v>
      </c>
      <c r="D4834" t="s">
        <v>43</v>
      </c>
      <c r="E4834" t="s">
        <v>35</v>
      </c>
      <c r="F4834">
        <v>4</v>
      </c>
      <c r="G4834">
        <v>7999</v>
      </c>
      <c r="H4834">
        <v>0.05</v>
      </c>
      <c r="I4834" t="s">
        <v>50</v>
      </c>
      <c r="J4834" t="s">
        <v>51</v>
      </c>
      <c r="K4834" t="s">
        <v>17</v>
      </c>
      <c r="L4834">
        <f>F4833*G4833*(1-H4833)</f>
        <v>2495</v>
      </c>
    </row>
    <row r="4835" spans="1:12">
      <c r="A4835" t="s">
        <v>5670</v>
      </c>
      <c r="B4835" s="1">
        <v>46272</v>
      </c>
      <c r="C4835" t="s">
        <v>1344</v>
      </c>
      <c r="D4835" t="s">
        <v>56</v>
      </c>
      <c r="E4835" t="s">
        <v>35</v>
      </c>
      <c r="F4835">
        <v>5</v>
      </c>
      <c r="G4835">
        <v>799</v>
      </c>
      <c r="H4835">
        <v>0</v>
      </c>
      <c r="I4835" t="s">
        <v>50</v>
      </c>
      <c r="J4835" t="s">
        <v>36</v>
      </c>
      <c r="K4835" t="s">
        <v>23</v>
      </c>
      <c r="L4835">
        <f>F4834*G4834*(1-H4834)</f>
        <v>30396.199999999997</v>
      </c>
    </row>
    <row r="4836" spans="1:12">
      <c r="A4836" t="s">
        <v>5671</v>
      </c>
      <c r="B4836" s="1">
        <v>46096</v>
      </c>
      <c r="C4836" t="s">
        <v>958</v>
      </c>
      <c r="D4836" t="s">
        <v>56</v>
      </c>
      <c r="E4836" t="s">
        <v>40</v>
      </c>
      <c r="F4836">
        <v>2</v>
      </c>
      <c r="G4836">
        <v>599</v>
      </c>
      <c r="H4836">
        <v>0</v>
      </c>
      <c r="I4836" t="s">
        <v>50</v>
      </c>
      <c r="J4836" t="s">
        <v>28</v>
      </c>
      <c r="K4836" t="s">
        <v>17</v>
      </c>
      <c r="L4836">
        <f>F4835*G4835*(1-H4835)</f>
        <v>3995</v>
      </c>
    </row>
    <row r="4837" spans="1:12">
      <c r="A4837" t="s">
        <v>5672</v>
      </c>
      <c r="B4837" s="1">
        <v>46155</v>
      </c>
      <c r="C4837" t="s">
        <v>182</v>
      </c>
      <c r="D4837" t="s">
        <v>71</v>
      </c>
      <c r="E4837" t="s">
        <v>40</v>
      </c>
      <c r="F4837">
        <v>4</v>
      </c>
      <c r="G4837">
        <v>4999</v>
      </c>
      <c r="H4837">
        <v>0.05</v>
      </c>
      <c r="I4837" t="s">
        <v>47</v>
      </c>
      <c r="J4837" t="s">
        <v>16</v>
      </c>
      <c r="K4837" t="s">
        <v>17</v>
      </c>
      <c r="L4837">
        <f>F4836*G4836*(1-H4836)</f>
        <v>1198</v>
      </c>
    </row>
    <row r="4838" spans="1:12">
      <c r="A4838" t="s">
        <v>5673</v>
      </c>
      <c r="B4838" s="1">
        <v>46231</v>
      </c>
      <c r="C4838" t="s">
        <v>1156</v>
      </c>
      <c r="D4838" t="s">
        <v>13</v>
      </c>
      <c r="E4838" t="s">
        <v>21</v>
      </c>
      <c r="F4838">
        <v>4</v>
      </c>
      <c r="G4838">
        <v>7999</v>
      </c>
      <c r="H4838">
        <v>0</v>
      </c>
      <c r="I4838" t="s">
        <v>50</v>
      </c>
      <c r="J4838" t="s">
        <v>16</v>
      </c>
      <c r="K4838" t="s">
        <v>37</v>
      </c>
      <c r="L4838">
        <f>F4837*G4837*(1-H4837)</f>
        <v>18996.2</v>
      </c>
    </row>
    <row r="4839" spans="1:12">
      <c r="A4839" t="s">
        <v>5674</v>
      </c>
      <c r="B4839" s="1">
        <v>46250</v>
      </c>
      <c r="C4839" t="s">
        <v>1318</v>
      </c>
      <c r="D4839" t="s">
        <v>13</v>
      </c>
      <c r="E4839" t="s">
        <v>27</v>
      </c>
      <c r="F4839">
        <v>5</v>
      </c>
      <c r="G4839">
        <v>7999</v>
      </c>
      <c r="H4839">
        <v>0</v>
      </c>
      <c r="I4839" t="s">
        <v>50</v>
      </c>
      <c r="J4839" t="s">
        <v>22</v>
      </c>
      <c r="K4839" t="s">
        <v>17</v>
      </c>
      <c r="L4839">
        <f>F4838*G4838*(1-H4838)</f>
        <v>31996</v>
      </c>
    </row>
    <row r="4840" spans="1:12">
      <c r="A4840" t="s">
        <v>5675</v>
      </c>
      <c r="B4840" s="1">
        <v>46065</v>
      </c>
      <c r="C4840" t="s">
        <v>2241</v>
      </c>
      <c r="D4840" t="s">
        <v>71</v>
      </c>
      <c r="E4840" t="s">
        <v>14</v>
      </c>
      <c r="F4840">
        <v>2</v>
      </c>
      <c r="G4840">
        <v>1299</v>
      </c>
      <c r="H4840">
        <v>0.05</v>
      </c>
      <c r="I4840" t="s">
        <v>15</v>
      </c>
      <c r="J4840" t="s">
        <v>22</v>
      </c>
      <c r="K4840" t="s">
        <v>37</v>
      </c>
      <c r="L4840">
        <f>F4839*G4839*(1-H4839)</f>
        <v>39995</v>
      </c>
    </row>
    <row r="4841" spans="1:12">
      <c r="A4841" t="s">
        <v>5676</v>
      </c>
      <c r="B4841" s="1">
        <v>46093</v>
      </c>
      <c r="C4841" t="s">
        <v>543</v>
      </c>
      <c r="D4841" t="s">
        <v>13</v>
      </c>
      <c r="E4841" t="s">
        <v>27</v>
      </c>
      <c r="F4841">
        <v>2</v>
      </c>
      <c r="G4841">
        <v>2499</v>
      </c>
      <c r="H4841">
        <v>0.1</v>
      </c>
      <c r="I4841" t="s">
        <v>47</v>
      </c>
      <c r="J4841" t="s">
        <v>16</v>
      </c>
      <c r="K4841" t="s">
        <v>37</v>
      </c>
      <c r="L4841">
        <f>F4840*G4840*(1-H4840)</f>
        <v>2468.1</v>
      </c>
    </row>
    <row r="4842" spans="1:12">
      <c r="A4842" t="s">
        <v>5677</v>
      </c>
      <c r="B4842" s="1">
        <v>46280</v>
      </c>
      <c r="C4842" t="s">
        <v>1196</v>
      </c>
      <c r="D4842" t="s">
        <v>26</v>
      </c>
      <c r="E4842" t="s">
        <v>21</v>
      </c>
      <c r="F4842">
        <v>5</v>
      </c>
      <c r="G4842">
        <v>1299</v>
      </c>
      <c r="H4842">
        <v>0.1</v>
      </c>
      <c r="I4842" t="s">
        <v>15</v>
      </c>
      <c r="J4842" t="s">
        <v>28</v>
      </c>
      <c r="K4842" t="s">
        <v>17</v>
      </c>
      <c r="L4842">
        <f>F4841*G4841*(1-H4841)</f>
        <v>4498.2</v>
      </c>
    </row>
    <row r="4843" spans="1:12">
      <c r="A4843" t="s">
        <v>5678</v>
      </c>
      <c r="B4843" s="1">
        <v>46079</v>
      </c>
      <c r="C4843" t="s">
        <v>1146</v>
      </c>
      <c r="D4843" t="s">
        <v>26</v>
      </c>
      <c r="E4843" t="s">
        <v>14</v>
      </c>
      <c r="F4843">
        <v>3</v>
      </c>
      <c r="G4843">
        <v>1999</v>
      </c>
      <c r="H4843">
        <v>0.1</v>
      </c>
      <c r="I4843" t="s">
        <v>15</v>
      </c>
      <c r="J4843" t="s">
        <v>51</v>
      </c>
      <c r="K4843" t="s">
        <v>23</v>
      </c>
      <c r="L4843">
        <f>F4842*G4842*(1-H4842)</f>
        <v>5845.5</v>
      </c>
    </row>
    <row r="4844" spans="1:12">
      <c r="A4844" t="s">
        <v>5679</v>
      </c>
      <c r="B4844" s="1">
        <v>46122</v>
      </c>
      <c r="C4844" t="s">
        <v>217</v>
      </c>
      <c r="D4844" t="s">
        <v>56</v>
      </c>
      <c r="E4844" t="s">
        <v>40</v>
      </c>
      <c r="F4844">
        <v>3</v>
      </c>
      <c r="G4844">
        <v>999</v>
      </c>
      <c r="H4844">
        <v>0.15</v>
      </c>
      <c r="I4844" t="s">
        <v>50</v>
      </c>
      <c r="J4844" t="s">
        <v>28</v>
      </c>
      <c r="K4844" t="s">
        <v>23</v>
      </c>
      <c r="L4844">
        <f>F4843*G4843*(1-H4843)</f>
        <v>5397.3</v>
      </c>
    </row>
    <row r="4845" spans="1:12">
      <c r="A4845" t="s">
        <v>5680</v>
      </c>
      <c r="B4845" s="1">
        <v>46114</v>
      </c>
      <c r="C4845" t="s">
        <v>146</v>
      </c>
      <c r="D4845" t="s">
        <v>26</v>
      </c>
      <c r="E4845" t="s">
        <v>14</v>
      </c>
      <c r="F4845">
        <v>4</v>
      </c>
      <c r="G4845">
        <v>499</v>
      </c>
      <c r="H4845">
        <v>0.15</v>
      </c>
      <c r="I4845" t="s">
        <v>15</v>
      </c>
      <c r="J4845" t="s">
        <v>36</v>
      </c>
      <c r="K4845" t="s">
        <v>17</v>
      </c>
      <c r="L4845">
        <f>F4844*G4844*(1-H4844)</f>
        <v>2547.4499999999998</v>
      </c>
    </row>
    <row r="4846" spans="1:12">
      <c r="A4846" t="s">
        <v>5681</v>
      </c>
      <c r="B4846" s="1">
        <v>46035</v>
      </c>
      <c r="C4846" t="s">
        <v>2094</v>
      </c>
      <c r="D4846" t="s">
        <v>71</v>
      </c>
      <c r="E4846" t="s">
        <v>35</v>
      </c>
      <c r="F4846">
        <v>3</v>
      </c>
      <c r="G4846">
        <v>7999</v>
      </c>
      <c r="H4846">
        <v>0.15</v>
      </c>
      <c r="I4846" t="s">
        <v>47</v>
      </c>
      <c r="J4846" t="s">
        <v>22</v>
      </c>
      <c r="K4846" t="s">
        <v>17</v>
      </c>
      <c r="L4846">
        <f>F4845*G4845*(1-H4845)</f>
        <v>1696.6</v>
      </c>
    </row>
    <row r="4847" spans="1:12">
      <c r="A4847" t="s">
        <v>5682</v>
      </c>
      <c r="B4847" s="1">
        <v>46036</v>
      </c>
      <c r="C4847" t="s">
        <v>1368</v>
      </c>
      <c r="D4847" t="s">
        <v>43</v>
      </c>
      <c r="E4847" t="s">
        <v>40</v>
      </c>
      <c r="F4847">
        <v>4</v>
      </c>
      <c r="G4847">
        <v>1499</v>
      </c>
      <c r="H4847">
        <v>0</v>
      </c>
      <c r="I4847" t="s">
        <v>50</v>
      </c>
      <c r="J4847" t="s">
        <v>51</v>
      </c>
      <c r="K4847" t="s">
        <v>17</v>
      </c>
      <c r="L4847">
        <f>F4846*G4846*(1-H4846)</f>
        <v>20397.45</v>
      </c>
    </row>
    <row r="4848" spans="1:12">
      <c r="A4848" t="s">
        <v>5683</v>
      </c>
      <c r="B4848" s="1">
        <v>46234</v>
      </c>
      <c r="C4848" t="s">
        <v>709</v>
      </c>
      <c r="D4848" t="s">
        <v>59</v>
      </c>
      <c r="E4848" t="s">
        <v>14</v>
      </c>
      <c r="F4848">
        <v>4</v>
      </c>
      <c r="G4848">
        <v>1499</v>
      </c>
      <c r="H4848">
        <v>0</v>
      </c>
      <c r="I4848" t="s">
        <v>47</v>
      </c>
      <c r="J4848" t="s">
        <v>51</v>
      </c>
      <c r="K4848" t="s">
        <v>37</v>
      </c>
      <c r="L4848">
        <f>F4847*G4847*(1-H4847)</f>
        <v>5996</v>
      </c>
    </row>
    <row r="4849" spans="1:12">
      <c r="A4849" t="s">
        <v>5684</v>
      </c>
      <c r="B4849" s="1">
        <v>46034</v>
      </c>
      <c r="C4849" t="s">
        <v>308</v>
      </c>
      <c r="D4849" t="s">
        <v>56</v>
      </c>
      <c r="E4849" t="s">
        <v>35</v>
      </c>
      <c r="F4849">
        <v>2</v>
      </c>
      <c r="G4849">
        <v>1299</v>
      </c>
      <c r="H4849">
        <v>0</v>
      </c>
      <c r="I4849" t="s">
        <v>32</v>
      </c>
      <c r="J4849" t="s">
        <v>36</v>
      </c>
      <c r="K4849" t="s">
        <v>17</v>
      </c>
      <c r="L4849">
        <f>F4848*G4848*(1-H4848)</f>
        <v>5996</v>
      </c>
    </row>
    <row r="4850" spans="1:12">
      <c r="A4850" t="s">
        <v>5685</v>
      </c>
      <c r="B4850" s="1">
        <v>46074</v>
      </c>
      <c r="C4850" t="s">
        <v>541</v>
      </c>
      <c r="D4850" t="s">
        <v>78</v>
      </c>
      <c r="E4850" t="s">
        <v>27</v>
      </c>
      <c r="F4850">
        <v>3</v>
      </c>
      <c r="G4850">
        <v>7999</v>
      </c>
      <c r="H4850">
        <v>0</v>
      </c>
      <c r="I4850" t="s">
        <v>47</v>
      </c>
      <c r="J4850" t="s">
        <v>16</v>
      </c>
      <c r="K4850" t="s">
        <v>17</v>
      </c>
      <c r="L4850">
        <f>F4849*G4849*(1-H4849)</f>
        <v>2598</v>
      </c>
    </row>
    <row r="4851" spans="1:12">
      <c r="A4851" t="s">
        <v>5686</v>
      </c>
      <c r="B4851" s="1">
        <v>46253</v>
      </c>
      <c r="C4851" t="s">
        <v>717</v>
      </c>
      <c r="D4851" t="s">
        <v>20</v>
      </c>
      <c r="E4851" t="s">
        <v>40</v>
      </c>
      <c r="F4851">
        <v>4</v>
      </c>
      <c r="G4851">
        <v>1499</v>
      </c>
      <c r="H4851">
        <v>0</v>
      </c>
      <c r="I4851" t="s">
        <v>50</v>
      </c>
      <c r="J4851" t="s">
        <v>51</v>
      </c>
      <c r="K4851" t="s">
        <v>17</v>
      </c>
      <c r="L4851">
        <f>F4850*G4850*(1-H4850)</f>
        <v>23997</v>
      </c>
    </row>
    <row r="4852" spans="1:12">
      <c r="A4852" t="s">
        <v>5687</v>
      </c>
      <c r="B4852" s="1">
        <v>46232</v>
      </c>
      <c r="C4852" t="s">
        <v>255</v>
      </c>
      <c r="D4852" t="s">
        <v>62</v>
      </c>
      <c r="E4852" t="s">
        <v>14</v>
      </c>
      <c r="F4852">
        <v>4</v>
      </c>
      <c r="G4852">
        <v>999</v>
      </c>
      <c r="H4852">
        <v>0.05</v>
      </c>
      <c r="I4852" t="s">
        <v>47</v>
      </c>
      <c r="J4852" t="s">
        <v>16</v>
      </c>
      <c r="K4852" t="s">
        <v>17</v>
      </c>
      <c r="L4852">
        <f>F4851*G4851*(1-H4851)</f>
        <v>5996</v>
      </c>
    </row>
    <row r="4853" spans="1:12">
      <c r="A4853" t="s">
        <v>5688</v>
      </c>
      <c r="B4853" s="1">
        <v>46134</v>
      </c>
      <c r="C4853" t="s">
        <v>3448</v>
      </c>
      <c r="D4853" t="s">
        <v>20</v>
      </c>
      <c r="E4853" t="s">
        <v>35</v>
      </c>
      <c r="F4853">
        <v>5</v>
      </c>
      <c r="G4853">
        <v>999</v>
      </c>
      <c r="H4853">
        <v>0</v>
      </c>
      <c r="I4853" t="s">
        <v>32</v>
      </c>
      <c r="J4853" t="s">
        <v>28</v>
      </c>
      <c r="K4853" t="s">
        <v>17</v>
      </c>
      <c r="L4853">
        <f>F4852*G4852*(1-H4852)</f>
        <v>3796.2</v>
      </c>
    </row>
    <row r="4854" spans="1:12">
      <c r="A4854" t="s">
        <v>5689</v>
      </c>
      <c r="B4854" s="1">
        <v>46271</v>
      </c>
      <c r="C4854" t="s">
        <v>1125</v>
      </c>
      <c r="D4854" t="s">
        <v>26</v>
      </c>
      <c r="E4854" t="s">
        <v>27</v>
      </c>
      <c r="F4854">
        <v>4</v>
      </c>
      <c r="G4854">
        <v>7999</v>
      </c>
      <c r="H4854">
        <v>0.15</v>
      </c>
      <c r="I4854" t="s">
        <v>44</v>
      </c>
      <c r="J4854" t="s">
        <v>16</v>
      </c>
      <c r="K4854" t="s">
        <v>37</v>
      </c>
      <c r="L4854">
        <f>F4853*G4853*(1-H4853)</f>
        <v>4995</v>
      </c>
    </row>
    <row r="4855" spans="1:12">
      <c r="A4855" t="s">
        <v>5690</v>
      </c>
      <c r="B4855" s="1">
        <v>46120</v>
      </c>
      <c r="C4855" t="s">
        <v>1083</v>
      </c>
      <c r="D4855" t="s">
        <v>20</v>
      </c>
      <c r="E4855" t="s">
        <v>27</v>
      </c>
      <c r="F4855">
        <v>3</v>
      </c>
      <c r="G4855">
        <v>499</v>
      </c>
      <c r="H4855">
        <v>0.15</v>
      </c>
      <c r="I4855" t="s">
        <v>44</v>
      </c>
      <c r="J4855" t="s">
        <v>51</v>
      </c>
      <c r="K4855" t="s">
        <v>17</v>
      </c>
      <c r="L4855">
        <f>F4854*G4854*(1-H4854)</f>
        <v>27196.6</v>
      </c>
    </row>
    <row r="4856" spans="1:12">
      <c r="A4856" t="s">
        <v>5691</v>
      </c>
      <c r="B4856" s="1">
        <v>46249</v>
      </c>
      <c r="C4856" t="s">
        <v>1209</v>
      </c>
      <c r="D4856" t="s">
        <v>71</v>
      </c>
      <c r="E4856" t="s">
        <v>27</v>
      </c>
      <c r="F4856">
        <v>3</v>
      </c>
      <c r="G4856">
        <v>4999</v>
      </c>
      <c r="H4856">
        <v>0</v>
      </c>
      <c r="I4856" t="s">
        <v>32</v>
      </c>
      <c r="J4856" t="s">
        <v>36</v>
      </c>
      <c r="K4856" t="s">
        <v>23</v>
      </c>
      <c r="L4856">
        <f>F4855*G4855*(1-H4855)</f>
        <v>1272.45</v>
      </c>
    </row>
    <row r="4857" spans="1:12">
      <c r="A4857" t="s">
        <v>5692</v>
      </c>
      <c r="B4857" s="1">
        <v>46238</v>
      </c>
      <c r="C4857" t="s">
        <v>2516</v>
      </c>
      <c r="D4857" t="s">
        <v>78</v>
      </c>
      <c r="E4857" t="s">
        <v>21</v>
      </c>
      <c r="F4857">
        <v>2</v>
      </c>
      <c r="G4857">
        <v>7999</v>
      </c>
      <c r="H4857">
        <v>0.05</v>
      </c>
      <c r="I4857" t="s">
        <v>32</v>
      </c>
      <c r="J4857" t="s">
        <v>16</v>
      </c>
      <c r="K4857" t="s">
        <v>17</v>
      </c>
      <c r="L4857">
        <f>F4856*G4856*(1-H4856)</f>
        <v>14997</v>
      </c>
    </row>
    <row r="4858" spans="1:12">
      <c r="A4858" t="s">
        <v>5693</v>
      </c>
      <c r="B4858" s="1">
        <v>46141</v>
      </c>
      <c r="C4858" t="s">
        <v>115</v>
      </c>
      <c r="D4858" t="s">
        <v>78</v>
      </c>
      <c r="E4858" t="s">
        <v>27</v>
      </c>
      <c r="F4858">
        <v>5</v>
      </c>
      <c r="G4858">
        <v>1499</v>
      </c>
      <c r="H4858">
        <v>0.1</v>
      </c>
      <c r="I4858" t="s">
        <v>50</v>
      </c>
      <c r="J4858" t="s">
        <v>51</v>
      </c>
      <c r="K4858" t="s">
        <v>17</v>
      </c>
      <c r="L4858">
        <f>F4857*G4857*(1-H4857)</f>
        <v>15198.099999999999</v>
      </c>
    </row>
    <row r="4859" spans="1:12">
      <c r="A4859" t="s">
        <v>5694</v>
      </c>
      <c r="B4859" s="1">
        <v>46172</v>
      </c>
      <c r="C4859" t="s">
        <v>273</v>
      </c>
      <c r="D4859" t="s">
        <v>59</v>
      </c>
      <c r="E4859" t="s">
        <v>35</v>
      </c>
      <c r="F4859">
        <v>1</v>
      </c>
      <c r="G4859">
        <v>1999</v>
      </c>
      <c r="H4859">
        <v>0</v>
      </c>
      <c r="I4859" t="s">
        <v>32</v>
      </c>
      <c r="J4859" t="s">
        <v>16</v>
      </c>
      <c r="K4859" t="s">
        <v>23</v>
      </c>
      <c r="L4859">
        <f>F4858*G4858*(1-H4858)</f>
        <v>6745.5</v>
      </c>
    </row>
    <row r="4860" spans="1:12">
      <c r="A4860" t="s">
        <v>5695</v>
      </c>
      <c r="B4860" s="1">
        <v>46234</v>
      </c>
      <c r="C4860" t="s">
        <v>1374</v>
      </c>
      <c r="D4860" t="s">
        <v>56</v>
      </c>
      <c r="E4860" t="s">
        <v>14</v>
      </c>
      <c r="F4860">
        <v>2</v>
      </c>
      <c r="G4860">
        <v>2499</v>
      </c>
      <c r="H4860">
        <v>0.1</v>
      </c>
      <c r="I4860" t="s">
        <v>32</v>
      </c>
      <c r="J4860" t="s">
        <v>28</v>
      </c>
      <c r="K4860" t="s">
        <v>17</v>
      </c>
      <c r="L4860">
        <f>F4859*G4859*(1-H4859)</f>
        <v>1999</v>
      </c>
    </row>
    <row r="4861" spans="1:12">
      <c r="A4861" t="s">
        <v>5696</v>
      </c>
      <c r="B4861" s="1">
        <v>46216</v>
      </c>
      <c r="C4861" t="s">
        <v>2634</v>
      </c>
      <c r="D4861" t="s">
        <v>59</v>
      </c>
      <c r="E4861" t="s">
        <v>21</v>
      </c>
      <c r="F4861">
        <v>2</v>
      </c>
      <c r="G4861">
        <v>1999</v>
      </c>
      <c r="H4861">
        <v>0</v>
      </c>
      <c r="I4861" t="s">
        <v>15</v>
      </c>
      <c r="J4861" t="s">
        <v>28</v>
      </c>
      <c r="K4861" t="s">
        <v>37</v>
      </c>
      <c r="L4861">
        <f>F4860*G4860*(1-H4860)</f>
        <v>4498.2</v>
      </c>
    </row>
    <row r="4862" spans="1:12">
      <c r="A4862" t="s">
        <v>5697</v>
      </c>
      <c r="B4862" s="1">
        <v>46238</v>
      </c>
      <c r="C4862" t="s">
        <v>2825</v>
      </c>
      <c r="D4862" t="s">
        <v>43</v>
      </c>
      <c r="E4862" t="s">
        <v>35</v>
      </c>
      <c r="F4862">
        <v>3</v>
      </c>
      <c r="G4862">
        <v>7999</v>
      </c>
      <c r="H4862">
        <v>0</v>
      </c>
      <c r="I4862" t="s">
        <v>44</v>
      </c>
      <c r="J4862" t="s">
        <v>36</v>
      </c>
      <c r="K4862" t="s">
        <v>17</v>
      </c>
      <c r="L4862">
        <f>F4861*G4861*(1-H4861)</f>
        <v>3998</v>
      </c>
    </row>
    <row r="4863" spans="1:12">
      <c r="A4863" t="s">
        <v>5698</v>
      </c>
      <c r="B4863" s="1">
        <v>46210</v>
      </c>
      <c r="C4863" t="s">
        <v>626</v>
      </c>
      <c r="D4863" t="s">
        <v>78</v>
      </c>
      <c r="E4863" t="s">
        <v>21</v>
      </c>
      <c r="F4863">
        <v>4</v>
      </c>
      <c r="G4863">
        <v>1499</v>
      </c>
      <c r="H4863">
        <v>0.1</v>
      </c>
      <c r="I4863" t="s">
        <v>15</v>
      </c>
      <c r="J4863" t="s">
        <v>22</v>
      </c>
      <c r="K4863" t="s">
        <v>17</v>
      </c>
      <c r="L4863">
        <f>F4862*G4862*(1-H4862)</f>
        <v>23997</v>
      </c>
    </row>
    <row r="4864" spans="1:12">
      <c r="A4864" t="s">
        <v>5699</v>
      </c>
      <c r="B4864" s="1">
        <v>46025</v>
      </c>
      <c r="C4864" t="s">
        <v>1998</v>
      </c>
      <c r="D4864" t="s">
        <v>31</v>
      </c>
      <c r="E4864" t="s">
        <v>27</v>
      </c>
      <c r="F4864">
        <v>2</v>
      </c>
      <c r="G4864">
        <v>1999</v>
      </c>
      <c r="H4864">
        <v>0</v>
      </c>
      <c r="I4864" t="s">
        <v>47</v>
      </c>
      <c r="J4864" t="s">
        <v>28</v>
      </c>
      <c r="K4864" t="s">
        <v>17</v>
      </c>
      <c r="L4864">
        <f>F4863*G4863*(1-H4863)</f>
        <v>5396.4000000000005</v>
      </c>
    </row>
    <row r="4865" spans="1:12">
      <c r="A4865" t="s">
        <v>5700</v>
      </c>
      <c r="B4865" s="1">
        <v>46089</v>
      </c>
      <c r="C4865" t="s">
        <v>1563</v>
      </c>
      <c r="D4865" t="s">
        <v>62</v>
      </c>
      <c r="E4865" t="s">
        <v>21</v>
      </c>
      <c r="F4865">
        <v>1</v>
      </c>
      <c r="G4865">
        <v>1999</v>
      </c>
      <c r="H4865">
        <v>0</v>
      </c>
      <c r="I4865" t="s">
        <v>32</v>
      </c>
      <c r="J4865" t="s">
        <v>51</v>
      </c>
      <c r="K4865" t="s">
        <v>37</v>
      </c>
      <c r="L4865">
        <f>F4864*G4864*(1-H4864)</f>
        <v>3998</v>
      </c>
    </row>
    <row r="4866" spans="1:12">
      <c r="A4866" t="s">
        <v>5701</v>
      </c>
      <c r="B4866" s="1">
        <v>46175</v>
      </c>
      <c r="C4866" t="s">
        <v>46</v>
      </c>
      <c r="D4866" t="s">
        <v>20</v>
      </c>
      <c r="E4866" t="s">
        <v>21</v>
      </c>
      <c r="F4866">
        <v>2</v>
      </c>
      <c r="G4866">
        <v>499</v>
      </c>
      <c r="H4866">
        <v>0.15</v>
      </c>
      <c r="I4866" t="s">
        <v>32</v>
      </c>
      <c r="J4866" t="s">
        <v>22</v>
      </c>
      <c r="K4866" t="s">
        <v>17</v>
      </c>
      <c r="L4866">
        <f>F4865*G4865*(1-H4865)</f>
        <v>1999</v>
      </c>
    </row>
    <row r="4867" spans="1:12">
      <c r="A4867" t="s">
        <v>5702</v>
      </c>
      <c r="B4867" s="1">
        <v>46113</v>
      </c>
      <c r="C4867" t="s">
        <v>2338</v>
      </c>
      <c r="D4867" t="s">
        <v>31</v>
      </c>
      <c r="E4867" t="s">
        <v>40</v>
      </c>
      <c r="F4867">
        <v>5</v>
      </c>
      <c r="G4867">
        <v>4999</v>
      </c>
      <c r="H4867">
        <v>0.15</v>
      </c>
      <c r="I4867" t="s">
        <v>50</v>
      </c>
      <c r="J4867" t="s">
        <v>16</v>
      </c>
      <c r="K4867" t="s">
        <v>17</v>
      </c>
      <c r="L4867">
        <f>F4866*G4866*(1-H4866)</f>
        <v>848.3</v>
      </c>
    </row>
    <row r="4868" spans="1:12">
      <c r="A4868" t="s">
        <v>5703</v>
      </c>
      <c r="B4868" s="1">
        <v>46197</v>
      </c>
      <c r="C4868" t="s">
        <v>251</v>
      </c>
      <c r="D4868" t="s">
        <v>56</v>
      </c>
      <c r="E4868" t="s">
        <v>21</v>
      </c>
      <c r="F4868">
        <v>2</v>
      </c>
      <c r="G4868">
        <v>999</v>
      </c>
      <c r="H4868">
        <v>0.15</v>
      </c>
      <c r="I4868" t="s">
        <v>15</v>
      </c>
      <c r="J4868" t="s">
        <v>22</v>
      </c>
      <c r="K4868" t="s">
        <v>17</v>
      </c>
      <c r="L4868">
        <f>F4867*G4867*(1-H4867)</f>
        <v>21245.75</v>
      </c>
    </row>
    <row r="4869" spans="1:12">
      <c r="A4869" t="s">
        <v>5704</v>
      </c>
      <c r="B4869" s="1">
        <v>46206</v>
      </c>
      <c r="C4869" t="s">
        <v>1521</v>
      </c>
      <c r="D4869" t="s">
        <v>78</v>
      </c>
      <c r="E4869" t="s">
        <v>27</v>
      </c>
      <c r="F4869">
        <v>1</v>
      </c>
      <c r="G4869">
        <v>599</v>
      </c>
      <c r="H4869">
        <v>0.15</v>
      </c>
      <c r="I4869" t="s">
        <v>50</v>
      </c>
      <c r="J4869" t="s">
        <v>16</v>
      </c>
      <c r="K4869" t="s">
        <v>17</v>
      </c>
      <c r="L4869">
        <f>F4868*G4868*(1-H4868)</f>
        <v>1698.3</v>
      </c>
    </row>
    <row r="4870" spans="1:12">
      <c r="A4870" t="s">
        <v>5705</v>
      </c>
      <c r="B4870" s="1">
        <v>46192</v>
      </c>
      <c r="C4870" t="s">
        <v>292</v>
      </c>
      <c r="D4870" t="s">
        <v>20</v>
      </c>
      <c r="E4870" t="s">
        <v>35</v>
      </c>
      <c r="F4870">
        <v>3</v>
      </c>
      <c r="G4870">
        <v>799</v>
      </c>
      <c r="H4870">
        <v>0.1</v>
      </c>
      <c r="I4870" t="s">
        <v>47</v>
      </c>
      <c r="J4870" t="s">
        <v>36</v>
      </c>
      <c r="K4870" t="s">
        <v>17</v>
      </c>
      <c r="L4870">
        <f>F4869*G4869*(1-H4869)</f>
        <v>509.15</v>
      </c>
    </row>
    <row r="4871" spans="1:12">
      <c r="A4871" t="s">
        <v>5706</v>
      </c>
      <c r="B4871" s="1">
        <v>46195</v>
      </c>
      <c r="C4871" t="s">
        <v>2553</v>
      </c>
      <c r="D4871" t="s">
        <v>62</v>
      </c>
      <c r="E4871" t="s">
        <v>27</v>
      </c>
      <c r="F4871">
        <v>5</v>
      </c>
      <c r="G4871">
        <v>4999</v>
      </c>
      <c r="H4871">
        <v>0.05</v>
      </c>
      <c r="I4871" t="s">
        <v>32</v>
      </c>
      <c r="J4871" t="s">
        <v>16</v>
      </c>
      <c r="K4871" t="s">
        <v>37</v>
      </c>
      <c r="L4871">
        <f>F4870*G4870*(1-H4870)</f>
        <v>2157.3000000000002</v>
      </c>
    </row>
    <row r="4872" spans="1:12">
      <c r="A4872" t="s">
        <v>5707</v>
      </c>
      <c r="B4872" s="1">
        <v>46167</v>
      </c>
      <c r="C4872" t="s">
        <v>1066</v>
      </c>
      <c r="D4872" t="s">
        <v>62</v>
      </c>
      <c r="E4872" t="s">
        <v>14</v>
      </c>
      <c r="F4872">
        <v>5</v>
      </c>
      <c r="G4872">
        <v>4999</v>
      </c>
      <c r="H4872">
        <v>0.1</v>
      </c>
      <c r="I4872" t="s">
        <v>32</v>
      </c>
      <c r="J4872" t="s">
        <v>36</v>
      </c>
      <c r="K4872" t="s">
        <v>23</v>
      </c>
      <c r="L4872">
        <f>F4871*G4871*(1-H4871)</f>
        <v>23745.25</v>
      </c>
    </row>
    <row r="4873" spans="1:12">
      <c r="A4873" t="s">
        <v>5708</v>
      </c>
      <c r="B4873" s="1">
        <v>46265</v>
      </c>
      <c r="C4873" t="s">
        <v>1038</v>
      </c>
      <c r="D4873" t="s">
        <v>31</v>
      </c>
      <c r="E4873" t="s">
        <v>21</v>
      </c>
      <c r="F4873">
        <v>5</v>
      </c>
      <c r="G4873">
        <v>799</v>
      </c>
      <c r="H4873">
        <v>0.15</v>
      </c>
      <c r="I4873" t="s">
        <v>32</v>
      </c>
      <c r="J4873" t="s">
        <v>51</v>
      </c>
      <c r="K4873" t="s">
        <v>37</v>
      </c>
      <c r="L4873">
        <f>F4872*G4872*(1-H4872)</f>
        <v>22495.5</v>
      </c>
    </row>
    <row r="4874" spans="1:12">
      <c r="A4874" t="s">
        <v>5709</v>
      </c>
      <c r="B4874" s="1">
        <v>46163</v>
      </c>
      <c r="C4874" t="s">
        <v>1551</v>
      </c>
      <c r="D4874" t="s">
        <v>56</v>
      </c>
      <c r="E4874" t="s">
        <v>27</v>
      </c>
      <c r="F4874">
        <v>1</v>
      </c>
      <c r="G4874">
        <v>799</v>
      </c>
      <c r="H4874">
        <v>0.05</v>
      </c>
      <c r="I4874" t="s">
        <v>44</v>
      </c>
      <c r="J4874" t="s">
        <v>22</v>
      </c>
      <c r="K4874" t="s">
        <v>17</v>
      </c>
      <c r="L4874">
        <f>F4873*G4873*(1-H4873)</f>
        <v>3395.75</v>
      </c>
    </row>
    <row r="4875" spans="1:12">
      <c r="A4875" t="s">
        <v>5710</v>
      </c>
      <c r="B4875" s="1">
        <v>46066</v>
      </c>
      <c r="C4875" t="s">
        <v>73</v>
      </c>
      <c r="D4875" t="s">
        <v>26</v>
      </c>
      <c r="E4875" t="s">
        <v>21</v>
      </c>
      <c r="F4875">
        <v>2</v>
      </c>
      <c r="G4875">
        <v>7999</v>
      </c>
      <c r="H4875">
        <v>0</v>
      </c>
      <c r="I4875" t="s">
        <v>47</v>
      </c>
      <c r="J4875" t="s">
        <v>16</v>
      </c>
      <c r="K4875" t="s">
        <v>23</v>
      </c>
      <c r="L4875">
        <f>F4874*G4874*(1-H4874)</f>
        <v>759.05</v>
      </c>
    </row>
    <row r="4876" spans="1:12">
      <c r="A4876" t="s">
        <v>5711</v>
      </c>
      <c r="B4876" s="1">
        <v>46104</v>
      </c>
      <c r="C4876" t="s">
        <v>2403</v>
      </c>
      <c r="D4876" t="s">
        <v>43</v>
      </c>
      <c r="E4876" t="s">
        <v>14</v>
      </c>
      <c r="F4876">
        <v>1</v>
      </c>
      <c r="G4876">
        <v>999</v>
      </c>
      <c r="H4876">
        <v>0.1</v>
      </c>
      <c r="I4876" t="s">
        <v>32</v>
      </c>
      <c r="J4876" t="s">
        <v>51</v>
      </c>
      <c r="K4876" t="s">
        <v>17</v>
      </c>
      <c r="L4876">
        <f>F4875*G4875*(1-H4875)</f>
        <v>15998</v>
      </c>
    </row>
    <row r="4877" spans="1:12">
      <c r="A4877" t="s">
        <v>5712</v>
      </c>
      <c r="B4877" s="1">
        <v>46038</v>
      </c>
      <c r="C4877" t="s">
        <v>588</v>
      </c>
      <c r="D4877" t="s">
        <v>62</v>
      </c>
      <c r="E4877" t="s">
        <v>27</v>
      </c>
      <c r="F4877">
        <v>1</v>
      </c>
      <c r="G4877">
        <v>1299</v>
      </c>
      <c r="H4877">
        <v>0.1</v>
      </c>
      <c r="I4877" t="s">
        <v>44</v>
      </c>
      <c r="J4877" t="s">
        <v>22</v>
      </c>
      <c r="K4877" t="s">
        <v>17</v>
      </c>
      <c r="L4877">
        <f>F4876*G4876*(1-H4876)</f>
        <v>899.1</v>
      </c>
    </row>
    <row r="4878" spans="1:12">
      <c r="A4878" t="s">
        <v>5713</v>
      </c>
      <c r="B4878" s="1">
        <v>46209</v>
      </c>
      <c r="C4878" t="s">
        <v>502</v>
      </c>
      <c r="D4878" t="s">
        <v>78</v>
      </c>
      <c r="E4878" t="s">
        <v>40</v>
      </c>
      <c r="F4878">
        <v>5</v>
      </c>
      <c r="G4878">
        <v>799</v>
      </c>
      <c r="H4878">
        <v>0</v>
      </c>
      <c r="I4878" t="s">
        <v>44</v>
      </c>
      <c r="J4878" t="s">
        <v>22</v>
      </c>
      <c r="K4878" t="s">
        <v>23</v>
      </c>
      <c r="L4878">
        <f>F4877*G4877*(1-H4877)</f>
        <v>1169.1000000000001</v>
      </c>
    </row>
    <row r="4879" spans="1:12">
      <c r="A4879" t="s">
        <v>5714</v>
      </c>
      <c r="B4879" s="1">
        <v>46173</v>
      </c>
      <c r="C4879" t="s">
        <v>271</v>
      </c>
      <c r="D4879" t="s">
        <v>62</v>
      </c>
      <c r="E4879" t="s">
        <v>14</v>
      </c>
      <c r="F4879">
        <v>3</v>
      </c>
      <c r="G4879">
        <v>599</v>
      </c>
      <c r="H4879">
        <v>0.1</v>
      </c>
      <c r="I4879" t="s">
        <v>15</v>
      </c>
      <c r="J4879" t="s">
        <v>28</v>
      </c>
      <c r="K4879" t="s">
        <v>17</v>
      </c>
      <c r="L4879">
        <f>F4878*G4878*(1-H4878)</f>
        <v>3995</v>
      </c>
    </row>
    <row r="4880" spans="1:12">
      <c r="A4880" t="s">
        <v>5715</v>
      </c>
      <c r="B4880" s="1">
        <v>46167</v>
      </c>
      <c r="C4880" t="s">
        <v>631</v>
      </c>
      <c r="D4880" t="s">
        <v>62</v>
      </c>
      <c r="E4880" t="s">
        <v>35</v>
      </c>
      <c r="F4880">
        <v>3</v>
      </c>
      <c r="G4880">
        <v>1499</v>
      </c>
      <c r="H4880">
        <v>0</v>
      </c>
      <c r="I4880" t="s">
        <v>32</v>
      </c>
      <c r="J4880" t="s">
        <v>36</v>
      </c>
      <c r="K4880" t="s">
        <v>17</v>
      </c>
      <c r="L4880">
        <f>F4879*G4879*(1-H4879)</f>
        <v>1617.3</v>
      </c>
    </row>
    <row r="4881" spans="1:12">
      <c r="A4881" t="s">
        <v>5716</v>
      </c>
      <c r="B4881" s="1">
        <v>46239</v>
      </c>
      <c r="C4881" t="s">
        <v>1836</v>
      </c>
      <c r="D4881" t="s">
        <v>56</v>
      </c>
      <c r="E4881" t="s">
        <v>14</v>
      </c>
      <c r="F4881">
        <v>4</v>
      </c>
      <c r="G4881">
        <v>2499</v>
      </c>
      <c r="H4881">
        <v>0</v>
      </c>
      <c r="I4881" t="s">
        <v>32</v>
      </c>
      <c r="J4881" t="s">
        <v>16</v>
      </c>
      <c r="K4881" t="s">
        <v>17</v>
      </c>
      <c r="L4881">
        <f>F4880*G4880*(1-H4880)</f>
        <v>4497</v>
      </c>
    </row>
    <row r="4882" spans="1:12">
      <c r="A4882" t="s">
        <v>5717</v>
      </c>
      <c r="B4882" s="1">
        <v>46220</v>
      </c>
      <c r="C4882" t="s">
        <v>3622</v>
      </c>
      <c r="D4882" t="s">
        <v>31</v>
      </c>
      <c r="E4882" t="s">
        <v>27</v>
      </c>
      <c r="F4882">
        <v>3</v>
      </c>
      <c r="G4882">
        <v>2499</v>
      </c>
      <c r="H4882">
        <v>0</v>
      </c>
      <c r="I4882" t="s">
        <v>15</v>
      </c>
      <c r="J4882" t="s">
        <v>36</v>
      </c>
      <c r="K4882" t="s">
        <v>23</v>
      </c>
      <c r="L4882">
        <f>F4881*G4881*(1-H4881)</f>
        <v>9996</v>
      </c>
    </row>
    <row r="4883" spans="1:12">
      <c r="A4883" t="s">
        <v>5718</v>
      </c>
      <c r="B4883" s="1">
        <v>46043</v>
      </c>
      <c r="C4883" t="s">
        <v>958</v>
      </c>
      <c r="D4883" t="s">
        <v>59</v>
      </c>
      <c r="E4883" t="s">
        <v>21</v>
      </c>
      <c r="F4883">
        <v>1</v>
      </c>
      <c r="G4883">
        <v>1299</v>
      </c>
      <c r="H4883">
        <v>0</v>
      </c>
      <c r="I4883" t="s">
        <v>47</v>
      </c>
      <c r="J4883" t="s">
        <v>16</v>
      </c>
      <c r="K4883" t="s">
        <v>17</v>
      </c>
      <c r="L4883">
        <f>F4882*G4882*(1-H4882)</f>
        <v>7497</v>
      </c>
    </row>
    <row r="4884" spans="1:12">
      <c r="A4884" t="s">
        <v>5719</v>
      </c>
      <c r="B4884" s="1">
        <v>46048</v>
      </c>
      <c r="C4884" t="s">
        <v>86</v>
      </c>
      <c r="D4884" t="s">
        <v>43</v>
      </c>
      <c r="E4884" t="s">
        <v>21</v>
      </c>
      <c r="F4884">
        <v>1</v>
      </c>
      <c r="G4884">
        <v>7999</v>
      </c>
      <c r="H4884">
        <v>0.1</v>
      </c>
      <c r="I4884" t="s">
        <v>32</v>
      </c>
      <c r="J4884" t="s">
        <v>36</v>
      </c>
      <c r="K4884" t="s">
        <v>17</v>
      </c>
      <c r="L4884">
        <f>F4883*G4883*(1-H4883)</f>
        <v>1299</v>
      </c>
    </row>
    <row r="4885" spans="1:12">
      <c r="A4885" t="s">
        <v>5720</v>
      </c>
      <c r="B4885" s="1">
        <v>46098</v>
      </c>
      <c r="C4885" t="s">
        <v>2403</v>
      </c>
      <c r="D4885" t="s">
        <v>71</v>
      </c>
      <c r="E4885" t="s">
        <v>35</v>
      </c>
      <c r="F4885">
        <v>2</v>
      </c>
      <c r="G4885">
        <v>1299</v>
      </c>
      <c r="H4885">
        <v>0.05</v>
      </c>
      <c r="I4885" t="s">
        <v>50</v>
      </c>
      <c r="J4885" t="s">
        <v>28</v>
      </c>
      <c r="K4885" t="s">
        <v>17</v>
      </c>
      <c r="L4885">
        <f>F4884*G4884*(1-H4884)</f>
        <v>7199.1</v>
      </c>
    </row>
    <row r="4886" spans="1:12">
      <c r="A4886" t="s">
        <v>5721</v>
      </c>
      <c r="B4886" s="1">
        <v>46230</v>
      </c>
      <c r="C4886" t="s">
        <v>606</v>
      </c>
      <c r="D4886" t="s">
        <v>20</v>
      </c>
      <c r="E4886" t="s">
        <v>27</v>
      </c>
      <c r="F4886">
        <v>2</v>
      </c>
      <c r="G4886">
        <v>4999</v>
      </c>
      <c r="H4886">
        <v>0</v>
      </c>
      <c r="I4886" t="s">
        <v>44</v>
      </c>
      <c r="J4886" t="s">
        <v>22</v>
      </c>
      <c r="K4886" t="s">
        <v>17</v>
      </c>
      <c r="L4886">
        <f>F4885*G4885*(1-H4885)</f>
        <v>2468.1</v>
      </c>
    </row>
    <row r="4887" spans="1:12">
      <c r="A4887" t="s">
        <v>5722</v>
      </c>
      <c r="B4887" s="1">
        <v>46080</v>
      </c>
      <c r="C4887" t="s">
        <v>1675</v>
      </c>
      <c r="D4887" t="s">
        <v>56</v>
      </c>
      <c r="E4887" t="s">
        <v>21</v>
      </c>
      <c r="F4887">
        <v>5</v>
      </c>
      <c r="G4887">
        <v>1999</v>
      </c>
      <c r="H4887">
        <v>0</v>
      </c>
      <c r="I4887" t="s">
        <v>50</v>
      </c>
      <c r="J4887" t="s">
        <v>16</v>
      </c>
      <c r="K4887" t="s">
        <v>17</v>
      </c>
      <c r="L4887">
        <f>F4886*G4886*(1-H4886)</f>
        <v>9998</v>
      </c>
    </row>
    <row r="4888" spans="1:12">
      <c r="A4888" t="s">
        <v>5723</v>
      </c>
      <c r="B4888" s="1">
        <v>46192</v>
      </c>
      <c r="C4888" t="s">
        <v>1225</v>
      </c>
      <c r="D4888" t="s">
        <v>62</v>
      </c>
      <c r="E4888" t="s">
        <v>14</v>
      </c>
      <c r="F4888">
        <v>2</v>
      </c>
      <c r="G4888">
        <v>999</v>
      </c>
      <c r="H4888">
        <v>0.15</v>
      </c>
      <c r="I4888" t="s">
        <v>50</v>
      </c>
      <c r="J4888" t="s">
        <v>36</v>
      </c>
      <c r="K4888" t="s">
        <v>17</v>
      </c>
      <c r="L4888">
        <f>F4887*G4887*(1-H4887)</f>
        <v>9995</v>
      </c>
    </row>
    <row r="4889" spans="1:12">
      <c r="A4889" t="s">
        <v>5724</v>
      </c>
      <c r="B4889" s="1">
        <v>46252</v>
      </c>
      <c r="C4889" t="s">
        <v>1227</v>
      </c>
      <c r="D4889" t="s">
        <v>71</v>
      </c>
      <c r="E4889" t="s">
        <v>21</v>
      </c>
      <c r="F4889">
        <v>4</v>
      </c>
      <c r="G4889">
        <v>499</v>
      </c>
      <c r="H4889">
        <v>0.15</v>
      </c>
      <c r="I4889" t="s">
        <v>50</v>
      </c>
      <c r="J4889" t="s">
        <v>51</v>
      </c>
      <c r="K4889" t="s">
        <v>17</v>
      </c>
      <c r="L4889">
        <f>F4888*G4888*(1-H4888)</f>
        <v>1698.3</v>
      </c>
    </row>
    <row r="4890" spans="1:12">
      <c r="A4890" t="s">
        <v>5725</v>
      </c>
      <c r="B4890" s="1">
        <v>46160</v>
      </c>
      <c r="C4890" t="s">
        <v>1359</v>
      </c>
      <c r="D4890" t="s">
        <v>31</v>
      </c>
      <c r="E4890" t="s">
        <v>21</v>
      </c>
      <c r="F4890">
        <v>5</v>
      </c>
      <c r="G4890">
        <v>799</v>
      </c>
      <c r="H4890">
        <v>0.1</v>
      </c>
      <c r="I4890" t="s">
        <v>32</v>
      </c>
      <c r="J4890" t="s">
        <v>51</v>
      </c>
      <c r="K4890" t="s">
        <v>17</v>
      </c>
      <c r="L4890">
        <f>F4889*G4889*(1-H4889)</f>
        <v>1696.6</v>
      </c>
    </row>
    <row r="4891" spans="1:12">
      <c r="A4891" t="s">
        <v>5726</v>
      </c>
      <c r="B4891" s="1">
        <v>46182</v>
      </c>
      <c r="C4891" t="s">
        <v>753</v>
      </c>
      <c r="D4891" t="s">
        <v>71</v>
      </c>
      <c r="E4891" t="s">
        <v>27</v>
      </c>
      <c r="F4891">
        <v>2</v>
      </c>
      <c r="G4891">
        <v>799</v>
      </c>
      <c r="H4891">
        <v>0</v>
      </c>
      <c r="I4891" t="s">
        <v>44</v>
      </c>
      <c r="J4891" t="s">
        <v>22</v>
      </c>
      <c r="K4891" t="s">
        <v>17</v>
      </c>
      <c r="L4891">
        <f>F4890*G4890*(1-H4890)</f>
        <v>3595.5</v>
      </c>
    </row>
    <row r="4892" spans="1:12">
      <c r="A4892" t="s">
        <v>5727</v>
      </c>
      <c r="B4892" s="1">
        <v>46057</v>
      </c>
      <c r="C4892" t="s">
        <v>1134</v>
      </c>
      <c r="D4892" t="s">
        <v>62</v>
      </c>
      <c r="E4892" t="s">
        <v>35</v>
      </c>
      <c r="F4892">
        <v>4</v>
      </c>
      <c r="G4892">
        <v>599</v>
      </c>
      <c r="H4892">
        <v>0.15</v>
      </c>
      <c r="I4892" t="s">
        <v>50</v>
      </c>
      <c r="J4892" t="s">
        <v>28</v>
      </c>
      <c r="K4892" t="s">
        <v>17</v>
      </c>
      <c r="L4892">
        <f>F4891*G4891*(1-H4891)</f>
        <v>1598</v>
      </c>
    </row>
    <row r="4893" spans="1:12">
      <c r="A4893" t="s">
        <v>5728</v>
      </c>
      <c r="B4893" s="1">
        <v>46201</v>
      </c>
      <c r="C4893" t="s">
        <v>84</v>
      </c>
      <c r="D4893" t="s">
        <v>62</v>
      </c>
      <c r="E4893" t="s">
        <v>35</v>
      </c>
      <c r="F4893">
        <v>4</v>
      </c>
      <c r="G4893">
        <v>1999</v>
      </c>
      <c r="H4893">
        <v>0.1</v>
      </c>
      <c r="I4893" t="s">
        <v>32</v>
      </c>
      <c r="J4893" t="s">
        <v>22</v>
      </c>
      <c r="K4893" t="s">
        <v>17</v>
      </c>
      <c r="L4893">
        <f>F4892*G4892*(1-H4892)</f>
        <v>2036.6</v>
      </c>
    </row>
    <row r="4894" spans="1:12">
      <c r="A4894" t="s">
        <v>5729</v>
      </c>
      <c r="B4894" s="1">
        <v>46265</v>
      </c>
      <c r="C4894" t="s">
        <v>1993</v>
      </c>
      <c r="D4894" t="s">
        <v>78</v>
      </c>
      <c r="E4894" t="s">
        <v>14</v>
      </c>
      <c r="F4894">
        <v>4</v>
      </c>
      <c r="G4894">
        <v>1499</v>
      </c>
      <c r="H4894">
        <v>0</v>
      </c>
      <c r="I4894" t="s">
        <v>47</v>
      </c>
      <c r="J4894" t="s">
        <v>28</v>
      </c>
      <c r="K4894" t="s">
        <v>37</v>
      </c>
      <c r="L4894">
        <f>F4893*G4893*(1-H4893)</f>
        <v>7196.4000000000005</v>
      </c>
    </row>
    <row r="4895" spans="1:12">
      <c r="A4895" t="s">
        <v>5730</v>
      </c>
      <c r="B4895" s="1">
        <v>46037</v>
      </c>
      <c r="C4895" t="s">
        <v>316</v>
      </c>
      <c r="D4895" t="s">
        <v>31</v>
      </c>
      <c r="E4895" t="s">
        <v>35</v>
      </c>
      <c r="F4895">
        <v>3</v>
      </c>
      <c r="G4895">
        <v>4999</v>
      </c>
      <c r="H4895">
        <v>0.05</v>
      </c>
      <c r="I4895" t="s">
        <v>15</v>
      </c>
      <c r="J4895" t="s">
        <v>22</v>
      </c>
      <c r="K4895" t="s">
        <v>17</v>
      </c>
      <c r="L4895">
        <f>F4894*G4894*(1-H4894)</f>
        <v>5996</v>
      </c>
    </row>
    <row r="4896" spans="1:12">
      <c r="A4896" t="s">
        <v>5731</v>
      </c>
      <c r="B4896" s="1">
        <v>46165</v>
      </c>
      <c r="C4896" t="s">
        <v>25</v>
      </c>
      <c r="D4896" t="s">
        <v>26</v>
      </c>
      <c r="E4896" t="s">
        <v>35</v>
      </c>
      <c r="F4896">
        <v>1</v>
      </c>
      <c r="G4896">
        <v>2499</v>
      </c>
      <c r="H4896">
        <v>0</v>
      </c>
      <c r="I4896" t="s">
        <v>32</v>
      </c>
      <c r="J4896" t="s">
        <v>22</v>
      </c>
      <c r="K4896" t="s">
        <v>17</v>
      </c>
      <c r="L4896">
        <f>F4895*G4895*(1-H4895)</f>
        <v>14247.15</v>
      </c>
    </row>
    <row r="4897" spans="1:12">
      <c r="A4897" t="s">
        <v>5732</v>
      </c>
      <c r="B4897" s="1">
        <v>46084</v>
      </c>
      <c r="C4897" t="s">
        <v>1981</v>
      </c>
      <c r="D4897" t="s">
        <v>71</v>
      </c>
      <c r="E4897" t="s">
        <v>21</v>
      </c>
      <c r="F4897">
        <v>5</v>
      </c>
      <c r="G4897">
        <v>1299</v>
      </c>
      <c r="H4897">
        <v>0</v>
      </c>
      <c r="I4897" t="s">
        <v>47</v>
      </c>
      <c r="J4897" t="s">
        <v>22</v>
      </c>
      <c r="K4897" t="s">
        <v>23</v>
      </c>
      <c r="L4897">
        <f>F4896*G4896*(1-H4896)</f>
        <v>2499</v>
      </c>
    </row>
    <row r="4898" spans="1:12">
      <c r="A4898" t="s">
        <v>5733</v>
      </c>
      <c r="B4898" s="1">
        <v>46257</v>
      </c>
      <c r="C4898" t="s">
        <v>1632</v>
      </c>
      <c r="D4898" t="s">
        <v>56</v>
      </c>
      <c r="E4898" t="s">
        <v>14</v>
      </c>
      <c r="F4898">
        <v>2</v>
      </c>
      <c r="G4898">
        <v>499</v>
      </c>
      <c r="H4898">
        <v>0</v>
      </c>
      <c r="I4898" t="s">
        <v>50</v>
      </c>
      <c r="J4898" t="s">
        <v>51</v>
      </c>
      <c r="K4898" t="s">
        <v>23</v>
      </c>
      <c r="L4898">
        <f>F4897*G4897*(1-H4897)</f>
        <v>6495</v>
      </c>
    </row>
    <row r="4899" spans="1:12">
      <c r="A4899" t="s">
        <v>5734</v>
      </c>
      <c r="B4899" s="1">
        <v>46242</v>
      </c>
      <c r="C4899" t="s">
        <v>555</v>
      </c>
      <c r="D4899" t="s">
        <v>78</v>
      </c>
      <c r="E4899" t="s">
        <v>27</v>
      </c>
      <c r="F4899">
        <v>2</v>
      </c>
      <c r="G4899">
        <v>1499</v>
      </c>
      <c r="H4899">
        <v>0</v>
      </c>
      <c r="I4899" t="s">
        <v>15</v>
      </c>
      <c r="J4899" t="s">
        <v>16</v>
      </c>
      <c r="K4899" t="s">
        <v>17</v>
      </c>
      <c r="L4899">
        <f>F4898*G4898*(1-H4898)</f>
        <v>998</v>
      </c>
    </row>
    <row r="4900" spans="1:12">
      <c r="A4900" t="s">
        <v>5735</v>
      </c>
      <c r="B4900" s="1">
        <v>46236</v>
      </c>
      <c r="C4900" t="s">
        <v>1054</v>
      </c>
      <c r="D4900" t="s">
        <v>62</v>
      </c>
      <c r="E4900" t="s">
        <v>35</v>
      </c>
      <c r="F4900">
        <v>5</v>
      </c>
      <c r="G4900">
        <v>599</v>
      </c>
      <c r="H4900">
        <v>0.15</v>
      </c>
      <c r="I4900" t="s">
        <v>50</v>
      </c>
      <c r="J4900" t="s">
        <v>28</v>
      </c>
      <c r="K4900" t="s">
        <v>17</v>
      </c>
      <c r="L4900">
        <f>F4899*G4899*(1-H4899)</f>
        <v>2998</v>
      </c>
    </row>
    <row r="4901" spans="1:12">
      <c r="A4901" t="s">
        <v>5736</v>
      </c>
      <c r="B4901" s="1">
        <v>46289</v>
      </c>
      <c r="C4901" t="s">
        <v>1203</v>
      </c>
      <c r="D4901" t="s">
        <v>43</v>
      </c>
      <c r="E4901" t="s">
        <v>40</v>
      </c>
      <c r="F4901">
        <v>3</v>
      </c>
      <c r="G4901">
        <v>799</v>
      </c>
      <c r="H4901">
        <v>0</v>
      </c>
      <c r="I4901" t="s">
        <v>47</v>
      </c>
      <c r="J4901" t="s">
        <v>16</v>
      </c>
      <c r="K4901" t="s">
        <v>23</v>
      </c>
      <c r="L4901">
        <f>F4900*G4900*(1-H4900)</f>
        <v>2545.75</v>
      </c>
    </row>
    <row r="4902" spans="1:12">
      <c r="A4902" t="s">
        <v>5737</v>
      </c>
      <c r="B4902" s="1">
        <v>46110</v>
      </c>
      <c r="C4902" t="s">
        <v>683</v>
      </c>
      <c r="D4902" t="s">
        <v>13</v>
      </c>
      <c r="E4902" t="s">
        <v>35</v>
      </c>
      <c r="F4902">
        <v>5</v>
      </c>
      <c r="G4902">
        <v>1999</v>
      </c>
      <c r="H4902">
        <v>0.15</v>
      </c>
      <c r="I4902" t="s">
        <v>44</v>
      </c>
      <c r="J4902" t="s">
        <v>22</v>
      </c>
      <c r="K4902" t="s">
        <v>37</v>
      </c>
      <c r="L4902">
        <f>F4901*G4901*(1-H4901)</f>
        <v>2397</v>
      </c>
    </row>
    <row r="4903" spans="1:12">
      <c r="A4903" t="s">
        <v>5738</v>
      </c>
      <c r="B4903" s="1">
        <v>46225</v>
      </c>
      <c r="C4903" t="s">
        <v>353</v>
      </c>
      <c r="D4903" t="s">
        <v>43</v>
      </c>
      <c r="E4903" t="s">
        <v>21</v>
      </c>
      <c r="F4903">
        <v>4</v>
      </c>
      <c r="G4903">
        <v>1299</v>
      </c>
      <c r="H4903">
        <v>0</v>
      </c>
      <c r="I4903" t="s">
        <v>50</v>
      </c>
      <c r="J4903" t="s">
        <v>36</v>
      </c>
      <c r="K4903" t="s">
        <v>23</v>
      </c>
      <c r="L4903">
        <f>F4902*G4902*(1-H4902)</f>
        <v>8495.75</v>
      </c>
    </row>
    <row r="4904" spans="1:12">
      <c r="A4904" t="s">
        <v>5739</v>
      </c>
      <c r="B4904" s="1">
        <v>46110</v>
      </c>
      <c r="C4904" t="s">
        <v>1056</v>
      </c>
      <c r="D4904" t="s">
        <v>62</v>
      </c>
      <c r="E4904" t="s">
        <v>27</v>
      </c>
      <c r="F4904">
        <v>4</v>
      </c>
      <c r="G4904">
        <v>599</v>
      </c>
      <c r="H4904">
        <v>0.05</v>
      </c>
      <c r="I4904" t="s">
        <v>50</v>
      </c>
      <c r="J4904" t="s">
        <v>22</v>
      </c>
      <c r="K4904" t="s">
        <v>37</v>
      </c>
      <c r="L4904">
        <f>F4903*G4903*(1-H4903)</f>
        <v>5196</v>
      </c>
    </row>
    <row r="4905" spans="1:12">
      <c r="A4905" t="s">
        <v>5740</v>
      </c>
      <c r="B4905" s="1">
        <v>46034</v>
      </c>
      <c r="C4905" t="s">
        <v>521</v>
      </c>
      <c r="D4905" t="s">
        <v>59</v>
      </c>
      <c r="E4905" t="s">
        <v>14</v>
      </c>
      <c r="F4905">
        <v>5</v>
      </c>
      <c r="G4905">
        <v>4999</v>
      </c>
      <c r="H4905">
        <v>0</v>
      </c>
      <c r="I4905" t="s">
        <v>15</v>
      </c>
      <c r="J4905" t="s">
        <v>16</v>
      </c>
      <c r="K4905" t="s">
        <v>37</v>
      </c>
      <c r="L4905">
        <f>F4904*G4904*(1-H4904)</f>
        <v>2276.1999999999998</v>
      </c>
    </row>
    <row r="4906" spans="1:12">
      <c r="A4906" t="s">
        <v>5741</v>
      </c>
      <c r="B4906" s="1">
        <v>46093</v>
      </c>
      <c r="C4906" t="s">
        <v>993</v>
      </c>
      <c r="D4906" t="s">
        <v>26</v>
      </c>
      <c r="E4906" t="s">
        <v>35</v>
      </c>
      <c r="F4906">
        <v>1</v>
      </c>
      <c r="G4906">
        <v>799</v>
      </c>
      <c r="H4906">
        <v>0.15</v>
      </c>
      <c r="I4906" t="s">
        <v>50</v>
      </c>
      <c r="J4906" t="s">
        <v>28</v>
      </c>
      <c r="K4906" t="s">
        <v>37</v>
      </c>
      <c r="L4906">
        <f>F4905*G4905*(1-H4905)</f>
        <v>24995</v>
      </c>
    </row>
    <row r="4907" spans="1:12">
      <c r="A4907" t="s">
        <v>5742</v>
      </c>
      <c r="B4907" s="1">
        <v>46033</v>
      </c>
      <c r="C4907" t="s">
        <v>2023</v>
      </c>
      <c r="D4907" t="s">
        <v>20</v>
      </c>
      <c r="E4907" t="s">
        <v>40</v>
      </c>
      <c r="F4907">
        <v>4</v>
      </c>
      <c r="G4907">
        <v>4999</v>
      </c>
      <c r="H4907">
        <v>0.05</v>
      </c>
      <c r="I4907" t="s">
        <v>44</v>
      </c>
      <c r="J4907" t="s">
        <v>28</v>
      </c>
      <c r="K4907" t="s">
        <v>23</v>
      </c>
      <c r="L4907">
        <f>F4906*G4906*(1-H4906)</f>
        <v>679.15</v>
      </c>
    </row>
    <row r="4908" spans="1:12">
      <c r="A4908" t="s">
        <v>5743</v>
      </c>
      <c r="B4908" s="1">
        <v>46072</v>
      </c>
      <c r="C4908" t="s">
        <v>1499</v>
      </c>
      <c r="D4908" t="s">
        <v>26</v>
      </c>
      <c r="E4908" t="s">
        <v>14</v>
      </c>
      <c r="F4908">
        <v>3</v>
      </c>
      <c r="G4908">
        <v>1499</v>
      </c>
      <c r="H4908">
        <v>0.05</v>
      </c>
      <c r="I4908" t="s">
        <v>15</v>
      </c>
      <c r="J4908" t="s">
        <v>51</v>
      </c>
      <c r="K4908" t="s">
        <v>37</v>
      </c>
      <c r="L4908">
        <f>F4907*G4907*(1-H4907)</f>
        <v>18996.2</v>
      </c>
    </row>
    <row r="4909" spans="1:12">
      <c r="A4909" t="s">
        <v>5744</v>
      </c>
      <c r="B4909" s="1">
        <v>46200</v>
      </c>
      <c r="C4909" t="s">
        <v>2295</v>
      </c>
      <c r="D4909" t="s">
        <v>56</v>
      </c>
      <c r="E4909" t="s">
        <v>21</v>
      </c>
      <c r="F4909">
        <v>4</v>
      </c>
      <c r="G4909">
        <v>1499</v>
      </c>
      <c r="H4909">
        <v>0.05</v>
      </c>
      <c r="I4909" t="s">
        <v>44</v>
      </c>
      <c r="J4909" t="s">
        <v>28</v>
      </c>
      <c r="K4909" t="s">
        <v>17</v>
      </c>
      <c r="L4909">
        <f>F4908*G4908*(1-H4908)</f>
        <v>4272.1499999999996</v>
      </c>
    </row>
    <row r="4910" spans="1:12">
      <c r="A4910" t="s">
        <v>5745</v>
      </c>
      <c r="B4910" s="1">
        <v>46168</v>
      </c>
      <c r="C4910" t="s">
        <v>226</v>
      </c>
      <c r="D4910" t="s">
        <v>59</v>
      </c>
      <c r="E4910" t="s">
        <v>14</v>
      </c>
      <c r="F4910">
        <v>3</v>
      </c>
      <c r="G4910">
        <v>999</v>
      </c>
      <c r="H4910">
        <v>0</v>
      </c>
      <c r="I4910" t="s">
        <v>32</v>
      </c>
      <c r="J4910" t="s">
        <v>36</v>
      </c>
      <c r="K4910" t="s">
        <v>17</v>
      </c>
      <c r="L4910">
        <f>F4909*G4909*(1-H4909)</f>
        <v>5696.2</v>
      </c>
    </row>
    <row r="4911" spans="1:12">
      <c r="A4911" t="s">
        <v>5746</v>
      </c>
      <c r="B4911" s="1">
        <v>46125</v>
      </c>
      <c r="C4911" t="s">
        <v>713</v>
      </c>
      <c r="D4911" t="s">
        <v>20</v>
      </c>
      <c r="E4911" t="s">
        <v>27</v>
      </c>
      <c r="F4911">
        <v>4</v>
      </c>
      <c r="G4911">
        <v>599</v>
      </c>
      <c r="H4911">
        <v>0.05</v>
      </c>
      <c r="I4911" t="s">
        <v>15</v>
      </c>
      <c r="J4911" t="s">
        <v>28</v>
      </c>
      <c r="K4911" t="s">
        <v>17</v>
      </c>
      <c r="L4911">
        <f>F4910*G4910*(1-H4910)</f>
        <v>2997</v>
      </c>
    </row>
    <row r="4912" spans="1:12">
      <c r="A4912" t="s">
        <v>5747</v>
      </c>
      <c r="B4912" s="1">
        <v>46155</v>
      </c>
      <c r="C4912" t="s">
        <v>1523</v>
      </c>
      <c r="D4912" t="s">
        <v>43</v>
      </c>
      <c r="E4912" t="s">
        <v>21</v>
      </c>
      <c r="F4912">
        <v>1</v>
      </c>
      <c r="G4912">
        <v>499</v>
      </c>
      <c r="H4912">
        <v>0.05</v>
      </c>
      <c r="I4912" t="s">
        <v>15</v>
      </c>
      <c r="J4912" t="s">
        <v>16</v>
      </c>
      <c r="K4912" t="s">
        <v>37</v>
      </c>
      <c r="L4912">
        <f>F4911*G4911*(1-H4911)</f>
        <v>2276.1999999999998</v>
      </c>
    </row>
    <row r="4913" spans="1:12">
      <c r="A4913" t="s">
        <v>5748</v>
      </c>
      <c r="B4913" s="1">
        <v>46033</v>
      </c>
      <c r="C4913" t="s">
        <v>58</v>
      </c>
      <c r="D4913" t="s">
        <v>59</v>
      </c>
      <c r="E4913" t="s">
        <v>27</v>
      </c>
      <c r="F4913">
        <v>1</v>
      </c>
      <c r="G4913">
        <v>1999</v>
      </c>
      <c r="H4913">
        <v>0</v>
      </c>
      <c r="I4913" t="s">
        <v>50</v>
      </c>
      <c r="J4913" t="s">
        <v>28</v>
      </c>
      <c r="K4913" t="s">
        <v>23</v>
      </c>
      <c r="L4913">
        <f>F4912*G4912*(1-H4912)</f>
        <v>474.04999999999995</v>
      </c>
    </row>
    <row r="4914" spans="1:12">
      <c r="A4914" t="s">
        <v>5749</v>
      </c>
      <c r="B4914" s="1">
        <v>46222</v>
      </c>
      <c r="C4914" t="s">
        <v>378</v>
      </c>
      <c r="D4914" t="s">
        <v>20</v>
      </c>
      <c r="E4914" t="s">
        <v>14</v>
      </c>
      <c r="F4914">
        <v>4</v>
      </c>
      <c r="G4914">
        <v>799</v>
      </c>
      <c r="H4914">
        <v>0.05</v>
      </c>
      <c r="I4914" t="s">
        <v>44</v>
      </c>
      <c r="J4914" t="s">
        <v>28</v>
      </c>
      <c r="K4914" t="s">
        <v>23</v>
      </c>
      <c r="L4914">
        <f>F4913*G4913*(1-H4913)</f>
        <v>1999</v>
      </c>
    </row>
    <row r="4915" spans="1:12">
      <c r="A4915" t="s">
        <v>5750</v>
      </c>
      <c r="B4915" s="1">
        <v>46261</v>
      </c>
      <c r="C4915" t="s">
        <v>713</v>
      </c>
      <c r="D4915" t="s">
        <v>71</v>
      </c>
      <c r="E4915" t="s">
        <v>21</v>
      </c>
      <c r="F4915">
        <v>5</v>
      </c>
      <c r="G4915">
        <v>999</v>
      </c>
      <c r="H4915">
        <v>0</v>
      </c>
      <c r="I4915" t="s">
        <v>50</v>
      </c>
      <c r="J4915" t="s">
        <v>51</v>
      </c>
      <c r="K4915" t="s">
        <v>17</v>
      </c>
      <c r="L4915">
        <f>F4914*G4914*(1-H4914)</f>
        <v>3036.2</v>
      </c>
    </row>
    <row r="4916" spans="1:12">
      <c r="A4916" t="s">
        <v>5751</v>
      </c>
      <c r="B4916" s="1">
        <v>46095</v>
      </c>
      <c r="C4916" t="s">
        <v>1700</v>
      </c>
      <c r="D4916" t="s">
        <v>43</v>
      </c>
      <c r="E4916" t="s">
        <v>27</v>
      </c>
      <c r="F4916">
        <v>5</v>
      </c>
      <c r="G4916">
        <v>2499</v>
      </c>
      <c r="H4916">
        <v>0</v>
      </c>
      <c r="I4916" t="s">
        <v>44</v>
      </c>
      <c r="J4916" t="s">
        <v>51</v>
      </c>
      <c r="K4916" t="s">
        <v>17</v>
      </c>
      <c r="L4916">
        <f>F4915*G4915*(1-H4915)</f>
        <v>4995</v>
      </c>
    </row>
    <row r="4917" spans="1:12">
      <c r="A4917" t="s">
        <v>5752</v>
      </c>
      <c r="B4917" s="1">
        <v>46256</v>
      </c>
      <c r="C4917" t="s">
        <v>506</v>
      </c>
      <c r="D4917" t="s">
        <v>59</v>
      </c>
      <c r="E4917" t="s">
        <v>40</v>
      </c>
      <c r="F4917">
        <v>1</v>
      </c>
      <c r="G4917">
        <v>599</v>
      </c>
      <c r="H4917">
        <v>0</v>
      </c>
      <c r="I4917" t="s">
        <v>32</v>
      </c>
      <c r="J4917" t="s">
        <v>16</v>
      </c>
      <c r="K4917" t="s">
        <v>37</v>
      </c>
      <c r="L4917">
        <f>F4916*G4916*(1-H4916)</f>
        <v>12495</v>
      </c>
    </row>
    <row r="4918" spans="1:12">
      <c r="A4918" t="s">
        <v>5753</v>
      </c>
      <c r="B4918" s="1">
        <v>46279</v>
      </c>
      <c r="C4918" t="s">
        <v>211</v>
      </c>
      <c r="D4918" t="s">
        <v>71</v>
      </c>
      <c r="E4918" t="s">
        <v>14</v>
      </c>
      <c r="F4918">
        <v>1</v>
      </c>
      <c r="G4918">
        <v>499</v>
      </c>
      <c r="H4918">
        <v>0.05</v>
      </c>
      <c r="I4918" t="s">
        <v>47</v>
      </c>
      <c r="J4918" t="s">
        <v>36</v>
      </c>
      <c r="K4918" t="s">
        <v>37</v>
      </c>
      <c r="L4918">
        <f>F4917*G4917*(1-H4917)</f>
        <v>599</v>
      </c>
    </row>
    <row r="4919" spans="1:12">
      <c r="A4919" t="s">
        <v>5754</v>
      </c>
      <c r="B4919" s="1">
        <v>46123</v>
      </c>
      <c r="C4919" t="s">
        <v>150</v>
      </c>
      <c r="D4919" t="s">
        <v>78</v>
      </c>
      <c r="E4919" t="s">
        <v>21</v>
      </c>
      <c r="F4919">
        <v>2</v>
      </c>
      <c r="G4919">
        <v>999</v>
      </c>
      <c r="H4919">
        <v>0.05</v>
      </c>
      <c r="I4919" t="s">
        <v>50</v>
      </c>
      <c r="J4919" t="s">
        <v>16</v>
      </c>
      <c r="K4919" t="s">
        <v>23</v>
      </c>
      <c r="L4919">
        <f>F4918*G4918*(1-H4918)</f>
        <v>474.04999999999995</v>
      </c>
    </row>
    <row r="4920" spans="1:12">
      <c r="A4920" t="s">
        <v>5755</v>
      </c>
      <c r="B4920" s="1">
        <v>46032</v>
      </c>
      <c r="C4920" t="s">
        <v>5756</v>
      </c>
      <c r="D4920" t="s">
        <v>20</v>
      </c>
      <c r="E4920" t="s">
        <v>27</v>
      </c>
      <c r="F4920">
        <v>2</v>
      </c>
      <c r="G4920">
        <v>1999</v>
      </c>
      <c r="H4920">
        <v>0.1</v>
      </c>
      <c r="I4920" t="s">
        <v>50</v>
      </c>
      <c r="J4920" t="s">
        <v>16</v>
      </c>
      <c r="K4920" t="s">
        <v>17</v>
      </c>
      <c r="L4920">
        <f>F4919*G4919*(1-H4919)</f>
        <v>1898.1</v>
      </c>
    </row>
    <row r="4921" spans="1:12">
      <c r="A4921" t="s">
        <v>5757</v>
      </c>
      <c r="B4921" s="1">
        <v>46186</v>
      </c>
      <c r="C4921" t="s">
        <v>2603</v>
      </c>
      <c r="D4921" t="s">
        <v>31</v>
      </c>
      <c r="E4921" t="s">
        <v>40</v>
      </c>
      <c r="F4921">
        <v>2</v>
      </c>
      <c r="G4921">
        <v>799</v>
      </c>
      <c r="H4921">
        <v>0.15</v>
      </c>
      <c r="I4921" t="s">
        <v>50</v>
      </c>
      <c r="J4921" t="s">
        <v>16</v>
      </c>
      <c r="K4921" t="s">
        <v>37</v>
      </c>
      <c r="L4921">
        <f>F4920*G4920*(1-H4920)</f>
        <v>3598.2000000000003</v>
      </c>
    </row>
    <row r="4922" spans="1:12">
      <c r="A4922" t="s">
        <v>5758</v>
      </c>
      <c r="B4922" s="1">
        <v>46139</v>
      </c>
      <c r="C4922" t="s">
        <v>55</v>
      </c>
      <c r="D4922" t="s">
        <v>78</v>
      </c>
      <c r="E4922" t="s">
        <v>14</v>
      </c>
      <c r="F4922">
        <v>2</v>
      </c>
      <c r="G4922">
        <v>499</v>
      </c>
      <c r="H4922">
        <v>0.15</v>
      </c>
      <c r="I4922" t="s">
        <v>32</v>
      </c>
      <c r="J4922" t="s">
        <v>16</v>
      </c>
      <c r="K4922" t="s">
        <v>17</v>
      </c>
      <c r="L4922">
        <f>F4921*G4921*(1-H4921)</f>
        <v>1358.3</v>
      </c>
    </row>
    <row r="4923" spans="1:12">
      <c r="A4923" t="s">
        <v>5759</v>
      </c>
      <c r="B4923" s="1">
        <v>46190</v>
      </c>
      <c r="C4923" t="s">
        <v>541</v>
      </c>
      <c r="D4923" t="s">
        <v>43</v>
      </c>
      <c r="E4923" t="s">
        <v>14</v>
      </c>
      <c r="F4923">
        <v>5</v>
      </c>
      <c r="G4923">
        <v>999</v>
      </c>
      <c r="H4923">
        <v>0.1</v>
      </c>
      <c r="I4923" t="s">
        <v>15</v>
      </c>
      <c r="J4923" t="s">
        <v>16</v>
      </c>
      <c r="K4923" t="s">
        <v>17</v>
      </c>
      <c r="L4923">
        <f>F4922*G4922*(1-H4922)</f>
        <v>848.3</v>
      </c>
    </row>
    <row r="4924" spans="1:12">
      <c r="A4924" t="s">
        <v>5760</v>
      </c>
      <c r="B4924" s="1">
        <v>46071</v>
      </c>
      <c r="C4924" t="s">
        <v>434</v>
      </c>
      <c r="D4924" t="s">
        <v>62</v>
      </c>
      <c r="E4924" t="s">
        <v>27</v>
      </c>
      <c r="F4924">
        <v>5</v>
      </c>
      <c r="G4924">
        <v>1999</v>
      </c>
      <c r="H4924">
        <v>0</v>
      </c>
      <c r="I4924" t="s">
        <v>15</v>
      </c>
      <c r="J4924" t="s">
        <v>28</v>
      </c>
      <c r="K4924" t="s">
        <v>17</v>
      </c>
      <c r="L4924">
        <f>F4923*G4923*(1-H4923)</f>
        <v>4495.5</v>
      </c>
    </row>
    <row r="4925" spans="1:12">
      <c r="A4925" t="s">
        <v>5761</v>
      </c>
      <c r="B4925" s="1">
        <v>46073</v>
      </c>
      <c r="C4925" t="s">
        <v>1508</v>
      </c>
      <c r="D4925" t="s">
        <v>71</v>
      </c>
      <c r="E4925" t="s">
        <v>14</v>
      </c>
      <c r="F4925">
        <v>2</v>
      </c>
      <c r="G4925">
        <v>1299</v>
      </c>
      <c r="H4925">
        <v>0.05</v>
      </c>
      <c r="I4925" t="s">
        <v>47</v>
      </c>
      <c r="J4925" t="s">
        <v>36</v>
      </c>
      <c r="K4925" t="s">
        <v>23</v>
      </c>
      <c r="L4925">
        <f>F4924*G4924*(1-H4924)</f>
        <v>9995</v>
      </c>
    </row>
    <row r="4926" spans="1:12">
      <c r="A4926" t="s">
        <v>5762</v>
      </c>
      <c r="B4926" s="1">
        <v>46207</v>
      </c>
      <c r="C4926" t="s">
        <v>2763</v>
      </c>
      <c r="D4926" t="s">
        <v>13</v>
      </c>
      <c r="E4926" t="s">
        <v>40</v>
      </c>
      <c r="F4926">
        <v>1</v>
      </c>
      <c r="G4926">
        <v>2499</v>
      </c>
      <c r="H4926">
        <v>0.05</v>
      </c>
      <c r="I4926" t="s">
        <v>44</v>
      </c>
      <c r="J4926" t="s">
        <v>51</v>
      </c>
      <c r="K4926" t="s">
        <v>17</v>
      </c>
      <c r="L4926">
        <f>F4925*G4925*(1-H4925)</f>
        <v>2468.1</v>
      </c>
    </row>
    <row r="4927" spans="1:12">
      <c r="A4927" t="s">
        <v>5763</v>
      </c>
      <c r="B4927" s="1">
        <v>46245</v>
      </c>
      <c r="C4927" t="s">
        <v>763</v>
      </c>
      <c r="D4927" t="s">
        <v>31</v>
      </c>
      <c r="E4927" t="s">
        <v>14</v>
      </c>
      <c r="F4927">
        <v>5</v>
      </c>
      <c r="G4927">
        <v>799</v>
      </c>
      <c r="H4927">
        <v>0.15</v>
      </c>
      <c r="I4927" t="s">
        <v>50</v>
      </c>
      <c r="J4927" t="s">
        <v>28</v>
      </c>
      <c r="K4927" t="s">
        <v>23</v>
      </c>
      <c r="L4927">
        <f>F4926*G4926*(1-H4926)</f>
        <v>2374.0499999999997</v>
      </c>
    </row>
    <row r="4928" spans="1:12">
      <c r="A4928" t="s">
        <v>5764</v>
      </c>
      <c r="B4928" s="1">
        <v>46071</v>
      </c>
      <c r="C4928" t="s">
        <v>1821</v>
      </c>
      <c r="D4928" t="s">
        <v>71</v>
      </c>
      <c r="E4928" t="s">
        <v>40</v>
      </c>
      <c r="F4928">
        <v>4</v>
      </c>
      <c r="G4928">
        <v>999</v>
      </c>
      <c r="H4928">
        <v>0</v>
      </c>
      <c r="I4928" t="s">
        <v>15</v>
      </c>
      <c r="J4928" t="s">
        <v>16</v>
      </c>
      <c r="K4928" t="s">
        <v>17</v>
      </c>
      <c r="L4928">
        <f>F4927*G4927*(1-H4927)</f>
        <v>3395.75</v>
      </c>
    </row>
    <row r="4929" spans="1:12">
      <c r="A4929" t="s">
        <v>5765</v>
      </c>
      <c r="B4929" s="1">
        <v>46275</v>
      </c>
      <c r="C4929" t="s">
        <v>492</v>
      </c>
      <c r="D4929" t="s">
        <v>59</v>
      </c>
      <c r="E4929" t="s">
        <v>21</v>
      </c>
      <c r="F4929">
        <v>1</v>
      </c>
      <c r="G4929">
        <v>4999</v>
      </c>
      <c r="H4929">
        <v>0.15</v>
      </c>
      <c r="I4929" t="s">
        <v>15</v>
      </c>
      <c r="J4929" t="s">
        <v>16</v>
      </c>
      <c r="K4929" t="s">
        <v>37</v>
      </c>
      <c r="L4929">
        <f>F4928*G4928*(1-H4928)</f>
        <v>3996</v>
      </c>
    </row>
    <row r="4930" spans="1:12">
      <c r="A4930" t="s">
        <v>5766</v>
      </c>
      <c r="B4930" s="1">
        <v>46141</v>
      </c>
      <c r="C4930" t="s">
        <v>2400</v>
      </c>
      <c r="D4930" t="s">
        <v>13</v>
      </c>
      <c r="E4930" t="s">
        <v>40</v>
      </c>
      <c r="F4930">
        <v>5</v>
      </c>
      <c r="G4930">
        <v>999</v>
      </c>
      <c r="H4930">
        <v>0.15</v>
      </c>
      <c r="I4930" t="s">
        <v>15</v>
      </c>
      <c r="J4930" t="s">
        <v>28</v>
      </c>
      <c r="K4930" t="s">
        <v>17</v>
      </c>
      <c r="L4930">
        <f>F4929*G4929*(1-H4929)</f>
        <v>4249.1499999999996</v>
      </c>
    </row>
    <row r="4931" spans="1:12">
      <c r="A4931" t="s">
        <v>5767</v>
      </c>
      <c r="B4931" s="1">
        <v>46186</v>
      </c>
      <c r="C4931" t="s">
        <v>1585</v>
      </c>
      <c r="D4931" t="s">
        <v>20</v>
      </c>
      <c r="E4931" t="s">
        <v>35</v>
      </c>
      <c r="F4931">
        <v>3</v>
      </c>
      <c r="G4931">
        <v>4999</v>
      </c>
      <c r="H4931">
        <v>0.1</v>
      </c>
      <c r="I4931" t="s">
        <v>44</v>
      </c>
      <c r="J4931" t="s">
        <v>28</v>
      </c>
      <c r="K4931" t="s">
        <v>23</v>
      </c>
      <c r="L4931">
        <f>F4930*G4930*(1-H4930)</f>
        <v>4245.75</v>
      </c>
    </row>
    <row r="4932" spans="1:12">
      <c r="A4932" t="s">
        <v>5768</v>
      </c>
      <c r="B4932" s="1">
        <v>46132</v>
      </c>
      <c r="C4932" t="s">
        <v>550</v>
      </c>
      <c r="D4932" t="s">
        <v>56</v>
      </c>
      <c r="E4932" t="s">
        <v>14</v>
      </c>
      <c r="F4932">
        <v>2</v>
      </c>
      <c r="G4932">
        <v>1499</v>
      </c>
      <c r="H4932">
        <v>0.15</v>
      </c>
      <c r="I4932" t="s">
        <v>50</v>
      </c>
      <c r="J4932" t="s">
        <v>36</v>
      </c>
      <c r="K4932" t="s">
        <v>37</v>
      </c>
      <c r="L4932">
        <f>F4931*G4931*(1-H4931)</f>
        <v>13497.300000000001</v>
      </c>
    </row>
    <row r="4933" spans="1:12">
      <c r="A4933" t="s">
        <v>5769</v>
      </c>
      <c r="B4933" s="1">
        <v>46252</v>
      </c>
      <c r="C4933" t="s">
        <v>919</v>
      </c>
      <c r="D4933" t="s">
        <v>62</v>
      </c>
      <c r="E4933" t="s">
        <v>40</v>
      </c>
      <c r="F4933">
        <v>3</v>
      </c>
      <c r="G4933">
        <v>7999</v>
      </c>
      <c r="H4933">
        <v>0.05</v>
      </c>
      <c r="I4933" t="s">
        <v>44</v>
      </c>
      <c r="J4933" t="s">
        <v>51</v>
      </c>
      <c r="K4933" t="s">
        <v>17</v>
      </c>
      <c r="L4933">
        <f>F4932*G4932*(1-H4932)</f>
        <v>2548.2999999999997</v>
      </c>
    </row>
    <row r="4934" spans="1:12">
      <c r="A4934" t="s">
        <v>5770</v>
      </c>
      <c r="B4934" s="1">
        <v>46280</v>
      </c>
      <c r="C4934" t="s">
        <v>944</v>
      </c>
      <c r="D4934" t="s">
        <v>31</v>
      </c>
      <c r="E4934" t="s">
        <v>27</v>
      </c>
      <c r="F4934">
        <v>3</v>
      </c>
      <c r="G4934">
        <v>999</v>
      </c>
      <c r="H4934">
        <v>0.1</v>
      </c>
      <c r="I4934" t="s">
        <v>47</v>
      </c>
      <c r="J4934" t="s">
        <v>16</v>
      </c>
      <c r="K4934" t="s">
        <v>37</v>
      </c>
      <c r="L4934">
        <f>F4933*G4933*(1-H4933)</f>
        <v>22797.149999999998</v>
      </c>
    </row>
    <row r="4935" spans="1:12">
      <c r="A4935" t="s">
        <v>5771</v>
      </c>
      <c r="B4935" s="1">
        <v>46205</v>
      </c>
      <c r="C4935" t="s">
        <v>1171</v>
      </c>
      <c r="D4935" t="s">
        <v>31</v>
      </c>
      <c r="E4935" t="s">
        <v>14</v>
      </c>
      <c r="F4935">
        <v>1</v>
      </c>
      <c r="G4935">
        <v>7999</v>
      </c>
      <c r="H4935">
        <v>0.1</v>
      </c>
      <c r="I4935" t="s">
        <v>15</v>
      </c>
      <c r="J4935" t="s">
        <v>51</v>
      </c>
      <c r="K4935" t="s">
        <v>37</v>
      </c>
      <c r="L4935">
        <f>F4934*G4934*(1-H4934)</f>
        <v>2697.3</v>
      </c>
    </row>
    <row r="4936" spans="1:12">
      <c r="A4936" t="s">
        <v>5772</v>
      </c>
      <c r="B4936" s="1">
        <v>46201</v>
      </c>
      <c r="C4936" t="s">
        <v>626</v>
      </c>
      <c r="D4936" t="s">
        <v>20</v>
      </c>
      <c r="E4936" t="s">
        <v>35</v>
      </c>
      <c r="F4936">
        <v>2</v>
      </c>
      <c r="G4936">
        <v>7999</v>
      </c>
      <c r="H4936">
        <v>0</v>
      </c>
      <c r="I4936" t="s">
        <v>50</v>
      </c>
      <c r="J4936" t="s">
        <v>51</v>
      </c>
      <c r="K4936" t="s">
        <v>17</v>
      </c>
      <c r="L4936">
        <f>F4935*G4935*(1-H4935)</f>
        <v>7199.1</v>
      </c>
    </row>
    <row r="4937" spans="1:12">
      <c r="A4937" t="s">
        <v>5773</v>
      </c>
      <c r="B4937" s="1">
        <v>46239</v>
      </c>
      <c r="C4937" t="s">
        <v>908</v>
      </c>
      <c r="D4937" t="s">
        <v>43</v>
      </c>
      <c r="E4937" t="s">
        <v>14</v>
      </c>
      <c r="F4937">
        <v>4</v>
      </c>
      <c r="G4937">
        <v>2499</v>
      </c>
      <c r="H4937">
        <v>0.05</v>
      </c>
      <c r="I4937" t="s">
        <v>15</v>
      </c>
      <c r="J4937" t="s">
        <v>22</v>
      </c>
      <c r="K4937" t="s">
        <v>23</v>
      </c>
      <c r="L4937">
        <f>F4936*G4936*(1-H4936)</f>
        <v>15998</v>
      </c>
    </row>
    <row r="4938" spans="1:12">
      <c r="A4938" t="s">
        <v>5774</v>
      </c>
      <c r="B4938" s="1">
        <v>46086</v>
      </c>
      <c r="C4938" t="s">
        <v>3490</v>
      </c>
      <c r="D4938" t="s">
        <v>62</v>
      </c>
      <c r="E4938" t="s">
        <v>27</v>
      </c>
      <c r="F4938">
        <v>2</v>
      </c>
      <c r="G4938">
        <v>799</v>
      </c>
      <c r="H4938">
        <v>0.15</v>
      </c>
      <c r="I4938" t="s">
        <v>50</v>
      </c>
      <c r="J4938" t="s">
        <v>36</v>
      </c>
      <c r="K4938" t="s">
        <v>17</v>
      </c>
      <c r="L4938">
        <f>F4937*G4937*(1-H4937)</f>
        <v>9496.1999999999989</v>
      </c>
    </row>
    <row r="4939" spans="1:12">
      <c r="A4939" t="s">
        <v>5775</v>
      </c>
      <c r="B4939" s="1">
        <v>46238</v>
      </c>
      <c r="C4939" t="s">
        <v>421</v>
      </c>
      <c r="D4939" t="s">
        <v>43</v>
      </c>
      <c r="E4939" t="s">
        <v>21</v>
      </c>
      <c r="F4939">
        <v>3</v>
      </c>
      <c r="G4939">
        <v>2499</v>
      </c>
      <c r="H4939">
        <v>0.15</v>
      </c>
      <c r="I4939" t="s">
        <v>32</v>
      </c>
      <c r="J4939" t="s">
        <v>22</v>
      </c>
      <c r="K4939" t="s">
        <v>17</v>
      </c>
      <c r="L4939">
        <f>F4938*G4938*(1-H4938)</f>
        <v>1358.3</v>
      </c>
    </row>
    <row r="4940" spans="1:12">
      <c r="A4940" t="s">
        <v>5776</v>
      </c>
      <c r="B4940" s="1">
        <v>46128</v>
      </c>
      <c r="C4940" t="s">
        <v>2036</v>
      </c>
      <c r="D4940" t="s">
        <v>43</v>
      </c>
      <c r="E4940" t="s">
        <v>40</v>
      </c>
      <c r="F4940">
        <v>3</v>
      </c>
      <c r="G4940">
        <v>1499</v>
      </c>
      <c r="H4940">
        <v>0</v>
      </c>
      <c r="I4940" t="s">
        <v>44</v>
      </c>
      <c r="J4940" t="s">
        <v>16</v>
      </c>
      <c r="K4940" t="s">
        <v>17</v>
      </c>
      <c r="L4940">
        <f>F4939*G4939*(1-H4939)</f>
        <v>6372.45</v>
      </c>
    </row>
    <row r="4941" spans="1:12">
      <c r="A4941" t="s">
        <v>5777</v>
      </c>
      <c r="B4941" s="1">
        <v>46284</v>
      </c>
      <c r="C4941" t="s">
        <v>316</v>
      </c>
      <c r="D4941" t="s">
        <v>78</v>
      </c>
      <c r="E4941" t="s">
        <v>35</v>
      </c>
      <c r="F4941">
        <v>2</v>
      </c>
      <c r="G4941">
        <v>499</v>
      </c>
      <c r="H4941">
        <v>0.15</v>
      </c>
      <c r="I4941" t="s">
        <v>47</v>
      </c>
      <c r="J4941" t="s">
        <v>36</v>
      </c>
      <c r="K4941" t="s">
        <v>23</v>
      </c>
      <c r="L4941">
        <f>F4940*G4940*(1-H4940)</f>
        <v>4497</v>
      </c>
    </row>
    <row r="4942" spans="1:12">
      <c r="A4942" t="s">
        <v>5778</v>
      </c>
      <c r="B4942" s="1">
        <v>46234</v>
      </c>
      <c r="C4942" t="s">
        <v>862</v>
      </c>
      <c r="D4942" t="s">
        <v>43</v>
      </c>
      <c r="E4942" t="s">
        <v>35</v>
      </c>
      <c r="F4942">
        <v>3</v>
      </c>
      <c r="G4942">
        <v>1299</v>
      </c>
      <c r="H4942">
        <v>0</v>
      </c>
      <c r="I4942" t="s">
        <v>15</v>
      </c>
      <c r="J4942" t="s">
        <v>28</v>
      </c>
      <c r="K4942" t="s">
        <v>17</v>
      </c>
      <c r="L4942">
        <f>F4941*G4941*(1-H4941)</f>
        <v>848.3</v>
      </c>
    </row>
    <row r="4943" spans="1:12">
      <c r="A4943" t="s">
        <v>5779</v>
      </c>
      <c r="B4943" s="1">
        <v>46062</v>
      </c>
      <c r="C4943" t="s">
        <v>3431</v>
      </c>
      <c r="D4943" t="s">
        <v>13</v>
      </c>
      <c r="E4943" t="s">
        <v>21</v>
      </c>
      <c r="F4943">
        <v>4</v>
      </c>
      <c r="G4943">
        <v>799</v>
      </c>
      <c r="H4943">
        <v>0.1</v>
      </c>
      <c r="I4943" t="s">
        <v>15</v>
      </c>
      <c r="J4943" t="s">
        <v>36</v>
      </c>
      <c r="K4943" t="s">
        <v>17</v>
      </c>
      <c r="L4943">
        <f>F4942*G4942*(1-H4942)</f>
        <v>3897</v>
      </c>
    </row>
    <row r="4944" spans="1:12">
      <c r="A4944" t="s">
        <v>5780</v>
      </c>
      <c r="B4944" s="1">
        <v>46139</v>
      </c>
      <c r="C4944" t="s">
        <v>1066</v>
      </c>
      <c r="D4944" t="s">
        <v>13</v>
      </c>
      <c r="E4944" t="s">
        <v>40</v>
      </c>
      <c r="F4944">
        <v>4</v>
      </c>
      <c r="G4944">
        <v>999</v>
      </c>
      <c r="H4944">
        <v>0.15</v>
      </c>
      <c r="I4944" t="s">
        <v>47</v>
      </c>
      <c r="J4944" t="s">
        <v>36</v>
      </c>
      <c r="K4944" t="s">
        <v>17</v>
      </c>
      <c r="L4944">
        <f>F4943*G4943*(1-H4943)</f>
        <v>2876.4</v>
      </c>
    </row>
    <row r="4945" spans="1:12">
      <c r="A4945" t="s">
        <v>5781</v>
      </c>
      <c r="B4945" s="1">
        <v>46194</v>
      </c>
      <c r="C4945" t="s">
        <v>1203</v>
      </c>
      <c r="D4945" t="s">
        <v>59</v>
      </c>
      <c r="E4945" t="s">
        <v>35</v>
      </c>
      <c r="F4945">
        <v>1</v>
      </c>
      <c r="G4945">
        <v>999</v>
      </c>
      <c r="H4945">
        <v>0.1</v>
      </c>
      <c r="I4945" t="s">
        <v>32</v>
      </c>
      <c r="J4945" t="s">
        <v>16</v>
      </c>
      <c r="K4945" t="s">
        <v>17</v>
      </c>
      <c r="L4945">
        <f>F4944*G4944*(1-H4944)</f>
        <v>3396.6</v>
      </c>
    </row>
    <row r="4946" spans="1:12">
      <c r="A4946" t="s">
        <v>5782</v>
      </c>
      <c r="B4946" s="1">
        <v>46032</v>
      </c>
      <c r="C4946" t="s">
        <v>180</v>
      </c>
      <c r="D4946" t="s">
        <v>13</v>
      </c>
      <c r="E4946" t="s">
        <v>35</v>
      </c>
      <c r="F4946">
        <v>3</v>
      </c>
      <c r="G4946">
        <v>7999</v>
      </c>
      <c r="H4946">
        <v>0</v>
      </c>
      <c r="I4946" t="s">
        <v>50</v>
      </c>
      <c r="J4946" t="s">
        <v>51</v>
      </c>
      <c r="K4946" t="s">
        <v>17</v>
      </c>
      <c r="L4946">
        <f>F4945*G4945*(1-H4945)</f>
        <v>899.1</v>
      </c>
    </row>
    <row r="4947" spans="1:12">
      <c r="A4947" t="s">
        <v>5783</v>
      </c>
      <c r="B4947" s="1">
        <v>46117</v>
      </c>
      <c r="C4947" t="s">
        <v>1572</v>
      </c>
      <c r="D4947" t="s">
        <v>26</v>
      </c>
      <c r="E4947" t="s">
        <v>14</v>
      </c>
      <c r="F4947">
        <v>3</v>
      </c>
      <c r="G4947">
        <v>4999</v>
      </c>
      <c r="H4947">
        <v>0.05</v>
      </c>
      <c r="I4947" t="s">
        <v>50</v>
      </c>
      <c r="J4947" t="s">
        <v>28</v>
      </c>
      <c r="K4947" t="s">
        <v>23</v>
      </c>
      <c r="L4947">
        <f>F4946*G4946*(1-H4946)</f>
        <v>23997</v>
      </c>
    </row>
    <row r="4948" spans="1:12">
      <c r="A4948" t="s">
        <v>5784</v>
      </c>
      <c r="B4948" s="1">
        <v>46041</v>
      </c>
      <c r="C4948" t="s">
        <v>2553</v>
      </c>
      <c r="D4948" t="s">
        <v>78</v>
      </c>
      <c r="E4948" t="s">
        <v>35</v>
      </c>
      <c r="F4948">
        <v>5</v>
      </c>
      <c r="G4948">
        <v>499</v>
      </c>
      <c r="H4948">
        <v>0</v>
      </c>
      <c r="I4948" t="s">
        <v>44</v>
      </c>
      <c r="J4948" t="s">
        <v>36</v>
      </c>
      <c r="K4948" t="s">
        <v>23</v>
      </c>
      <c r="L4948">
        <f>F4947*G4947*(1-H4947)</f>
        <v>14247.15</v>
      </c>
    </row>
    <row r="4949" spans="1:12">
      <c r="A4949" t="s">
        <v>5785</v>
      </c>
      <c r="B4949" s="1">
        <v>46070</v>
      </c>
      <c r="C4949" t="s">
        <v>1136</v>
      </c>
      <c r="D4949" t="s">
        <v>20</v>
      </c>
      <c r="E4949" t="s">
        <v>35</v>
      </c>
      <c r="F4949">
        <v>4</v>
      </c>
      <c r="G4949">
        <v>7999</v>
      </c>
      <c r="H4949">
        <v>0.15</v>
      </c>
      <c r="I4949" t="s">
        <v>44</v>
      </c>
      <c r="J4949" t="s">
        <v>16</v>
      </c>
      <c r="K4949" t="s">
        <v>17</v>
      </c>
      <c r="L4949">
        <f>F4948*G4948*(1-H4948)</f>
        <v>2495</v>
      </c>
    </row>
    <row r="4950" spans="1:12">
      <c r="A4950" t="s">
        <v>5786</v>
      </c>
      <c r="B4950" s="1">
        <v>46112</v>
      </c>
      <c r="C4950" t="s">
        <v>3490</v>
      </c>
      <c r="D4950" t="s">
        <v>13</v>
      </c>
      <c r="E4950" t="s">
        <v>21</v>
      </c>
      <c r="F4950">
        <v>3</v>
      </c>
      <c r="G4950">
        <v>999</v>
      </c>
      <c r="H4950">
        <v>0.1</v>
      </c>
      <c r="I4950" t="s">
        <v>32</v>
      </c>
      <c r="J4950" t="s">
        <v>16</v>
      </c>
      <c r="K4950" t="s">
        <v>37</v>
      </c>
      <c r="L4950">
        <f>F4949*G4949*(1-H4949)</f>
        <v>27196.6</v>
      </c>
    </row>
    <row r="4951" spans="1:12">
      <c r="A4951" t="s">
        <v>5787</v>
      </c>
      <c r="B4951" s="1">
        <v>46263</v>
      </c>
      <c r="C4951" t="s">
        <v>213</v>
      </c>
      <c r="D4951" t="s">
        <v>56</v>
      </c>
      <c r="E4951" t="s">
        <v>14</v>
      </c>
      <c r="F4951">
        <v>4</v>
      </c>
      <c r="G4951">
        <v>4999</v>
      </c>
      <c r="H4951">
        <v>0.1</v>
      </c>
      <c r="I4951" t="s">
        <v>44</v>
      </c>
      <c r="J4951" t="s">
        <v>36</v>
      </c>
      <c r="K4951" t="s">
        <v>17</v>
      </c>
      <c r="L4951">
        <f>F4950*G4950*(1-H4950)</f>
        <v>2697.3</v>
      </c>
    </row>
    <row r="4952" spans="1:12">
      <c r="A4952" t="s">
        <v>5788</v>
      </c>
      <c r="B4952" s="1">
        <v>46273</v>
      </c>
      <c r="C4952" t="s">
        <v>1454</v>
      </c>
      <c r="D4952" t="s">
        <v>13</v>
      </c>
      <c r="E4952" t="s">
        <v>27</v>
      </c>
      <c r="F4952">
        <v>5</v>
      </c>
      <c r="G4952">
        <v>799</v>
      </c>
      <c r="H4952">
        <v>0.15</v>
      </c>
      <c r="I4952" t="s">
        <v>32</v>
      </c>
      <c r="J4952" t="s">
        <v>36</v>
      </c>
      <c r="K4952" t="s">
        <v>17</v>
      </c>
      <c r="L4952">
        <f>F4951*G4951*(1-H4951)</f>
        <v>17996.400000000001</v>
      </c>
    </row>
    <row r="4953" spans="1:12">
      <c r="A4953" t="s">
        <v>5789</v>
      </c>
      <c r="B4953" s="1">
        <v>46100</v>
      </c>
      <c r="C4953" t="s">
        <v>515</v>
      </c>
      <c r="D4953" t="s">
        <v>56</v>
      </c>
      <c r="E4953" t="s">
        <v>14</v>
      </c>
      <c r="F4953">
        <v>3</v>
      </c>
      <c r="G4953">
        <v>799</v>
      </c>
      <c r="H4953">
        <v>0.05</v>
      </c>
      <c r="I4953" t="s">
        <v>47</v>
      </c>
      <c r="J4953" t="s">
        <v>51</v>
      </c>
      <c r="K4953" t="s">
        <v>23</v>
      </c>
      <c r="L4953">
        <f>F4952*G4952*(1-H4952)</f>
        <v>3395.75</v>
      </c>
    </row>
    <row r="4954" spans="1:12">
      <c r="A4954" t="s">
        <v>5790</v>
      </c>
      <c r="B4954" s="1">
        <v>46260</v>
      </c>
      <c r="C4954" t="s">
        <v>3672</v>
      </c>
      <c r="D4954" t="s">
        <v>31</v>
      </c>
      <c r="E4954" t="s">
        <v>21</v>
      </c>
      <c r="F4954">
        <v>2</v>
      </c>
      <c r="G4954">
        <v>1299</v>
      </c>
      <c r="H4954">
        <v>0</v>
      </c>
      <c r="I4954" t="s">
        <v>32</v>
      </c>
      <c r="J4954" t="s">
        <v>36</v>
      </c>
      <c r="K4954" t="s">
        <v>17</v>
      </c>
      <c r="L4954">
        <f>F4953*G4953*(1-H4953)</f>
        <v>2277.15</v>
      </c>
    </row>
    <row r="4955" spans="1:12">
      <c r="A4955" t="s">
        <v>5791</v>
      </c>
      <c r="B4955" s="1">
        <v>46161</v>
      </c>
      <c r="C4955" t="s">
        <v>610</v>
      </c>
      <c r="D4955" t="s">
        <v>43</v>
      </c>
      <c r="E4955" t="s">
        <v>21</v>
      </c>
      <c r="F4955">
        <v>1</v>
      </c>
      <c r="G4955">
        <v>499</v>
      </c>
      <c r="H4955">
        <v>0.1</v>
      </c>
      <c r="I4955" t="s">
        <v>15</v>
      </c>
      <c r="J4955" t="s">
        <v>36</v>
      </c>
      <c r="K4955" t="s">
        <v>23</v>
      </c>
      <c r="L4955">
        <f>F4954*G4954*(1-H4954)</f>
        <v>2598</v>
      </c>
    </row>
    <row r="4956" spans="1:12">
      <c r="A4956" t="s">
        <v>5792</v>
      </c>
      <c r="B4956" s="1">
        <v>46181</v>
      </c>
      <c r="C4956" t="s">
        <v>364</v>
      </c>
      <c r="D4956" t="s">
        <v>13</v>
      </c>
      <c r="E4956" t="s">
        <v>27</v>
      </c>
      <c r="F4956">
        <v>1</v>
      </c>
      <c r="G4956">
        <v>2499</v>
      </c>
      <c r="H4956">
        <v>0</v>
      </c>
      <c r="I4956" t="s">
        <v>44</v>
      </c>
      <c r="J4956" t="s">
        <v>16</v>
      </c>
      <c r="K4956" t="s">
        <v>17</v>
      </c>
      <c r="L4956">
        <f>F4955*G4955*(1-H4955)</f>
        <v>449.1</v>
      </c>
    </row>
    <row r="4957" spans="1:12">
      <c r="A4957" t="s">
        <v>5793</v>
      </c>
      <c r="B4957" s="1">
        <v>46243</v>
      </c>
      <c r="C4957" t="s">
        <v>683</v>
      </c>
      <c r="D4957" t="s">
        <v>62</v>
      </c>
      <c r="E4957" t="s">
        <v>40</v>
      </c>
      <c r="F4957">
        <v>3</v>
      </c>
      <c r="G4957">
        <v>7999</v>
      </c>
      <c r="H4957">
        <v>0.15</v>
      </c>
      <c r="I4957" t="s">
        <v>15</v>
      </c>
      <c r="J4957" t="s">
        <v>28</v>
      </c>
      <c r="K4957" t="s">
        <v>23</v>
      </c>
      <c r="L4957">
        <f>F4956*G4956*(1-H4956)</f>
        <v>2499</v>
      </c>
    </row>
    <row r="4958" spans="1:12">
      <c r="A4958" t="s">
        <v>5794</v>
      </c>
      <c r="B4958" s="1">
        <v>46243</v>
      </c>
      <c r="C4958" t="s">
        <v>746</v>
      </c>
      <c r="D4958" t="s">
        <v>56</v>
      </c>
      <c r="E4958" t="s">
        <v>40</v>
      </c>
      <c r="F4958">
        <v>4</v>
      </c>
      <c r="G4958">
        <v>599</v>
      </c>
      <c r="H4958">
        <v>0.1</v>
      </c>
      <c r="I4958" t="s">
        <v>32</v>
      </c>
      <c r="J4958" t="s">
        <v>28</v>
      </c>
      <c r="K4958" t="s">
        <v>17</v>
      </c>
      <c r="L4958">
        <f>F4957*G4957*(1-H4957)</f>
        <v>20397.45</v>
      </c>
    </row>
    <row r="4959" spans="1:12">
      <c r="A4959" t="s">
        <v>5795</v>
      </c>
      <c r="B4959" s="1">
        <v>46217</v>
      </c>
      <c r="C4959" t="s">
        <v>2080</v>
      </c>
      <c r="D4959" t="s">
        <v>56</v>
      </c>
      <c r="E4959" t="s">
        <v>27</v>
      </c>
      <c r="F4959">
        <v>1</v>
      </c>
      <c r="G4959">
        <v>499</v>
      </c>
      <c r="H4959">
        <v>0.05</v>
      </c>
      <c r="I4959" t="s">
        <v>15</v>
      </c>
      <c r="J4959" t="s">
        <v>22</v>
      </c>
      <c r="K4959" t="s">
        <v>17</v>
      </c>
      <c r="L4959">
        <f>F4958*G4958*(1-H4958)</f>
        <v>2156.4</v>
      </c>
    </row>
    <row r="4960" spans="1:12">
      <c r="A4960" t="s">
        <v>5796</v>
      </c>
      <c r="B4960" s="1">
        <v>46152</v>
      </c>
      <c r="C4960" t="s">
        <v>1115</v>
      </c>
      <c r="D4960" t="s">
        <v>78</v>
      </c>
      <c r="E4960" t="s">
        <v>27</v>
      </c>
      <c r="F4960">
        <v>2</v>
      </c>
      <c r="G4960">
        <v>7999</v>
      </c>
      <c r="H4960">
        <v>0</v>
      </c>
      <c r="I4960" t="s">
        <v>50</v>
      </c>
      <c r="J4960" t="s">
        <v>28</v>
      </c>
      <c r="K4960" t="s">
        <v>17</v>
      </c>
      <c r="L4960">
        <f>F4959*G4959*(1-H4959)</f>
        <v>474.04999999999995</v>
      </c>
    </row>
    <row r="4961" spans="1:12">
      <c r="A4961" t="s">
        <v>5797</v>
      </c>
      <c r="B4961" s="1">
        <v>46195</v>
      </c>
      <c r="C4961" t="s">
        <v>642</v>
      </c>
      <c r="D4961" t="s">
        <v>26</v>
      </c>
      <c r="E4961" t="s">
        <v>40</v>
      </c>
      <c r="F4961">
        <v>1</v>
      </c>
      <c r="G4961">
        <v>799</v>
      </c>
      <c r="H4961">
        <v>0</v>
      </c>
      <c r="I4961" t="s">
        <v>32</v>
      </c>
      <c r="J4961" t="s">
        <v>16</v>
      </c>
      <c r="K4961" t="s">
        <v>17</v>
      </c>
      <c r="L4961">
        <f>F4960*G4960*(1-H4960)</f>
        <v>15998</v>
      </c>
    </row>
    <row r="4962" spans="1:12">
      <c r="A4962" t="s">
        <v>5798</v>
      </c>
      <c r="B4962" s="1">
        <v>46108</v>
      </c>
      <c r="C4962" t="s">
        <v>73</v>
      </c>
      <c r="D4962" t="s">
        <v>20</v>
      </c>
      <c r="E4962" t="s">
        <v>21</v>
      </c>
      <c r="F4962">
        <v>2</v>
      </c>
      <c r="G4962">
        <v>999</v>
      </c>
      <c r="H4962">
        <v>0</v>
      </c>
      <c r="I4962" t="s">
        <v>32</v>
      </c>
      <c r="J4962" t="s">
        <v>16</v>
      </c>
      <c r="K4962" t="s">
        <v>17</v>
      </c>
      <c r="L4962">
        <f>F4961*G4961*(1-H4961)</f>
        <v>799</v>
      </c>
    </row>
    <row r="4963" spans="1:12">
      <c r="A4963" t="s">
        <v>5799</v>
      </c>
      <c r="B4963" s="1">
        <v>46025</v>
      </c>
      <c r="C4963" t="s">
        <v>336</v>
      </c>
      <c r="D4963" t="s">
        <v>20</v>
      </c>
      <c r="E4963" t="s">
        <v>40</v>
      </c>
      <c r="F4963">
        <v>4</v>
      </c>
      <c r="G4963">
        <v>499</v>
      </c>
      <c r="H4963">
        <v>0.1</v>
      </c>
      <c r="I4963" t="s">
        <v>50</v>
      </c>
      <c r="J4963" t="s">
        <v>51</v>
      </c>
      <c r="K4963" t="s">
        <v>17</v>
      </c>
      <c r="L4963">
        <f>F4962*G4962*(1-H4962)</f>
        <v>1998</v>
      </c>
    </row>
    <row r="4964" spans="1:12">
      <c r="A4964" t="s">
        <v>5800</v>
      </c>
      <c r="B4964" s="1">
        <v>46080</v>
      </c>
      <c r="C4964" t="s">
        <v>432</v>
      </c>
      <c r="D4964" t="s">
        <v>78</v>
      </c>
      <c r="E4964" t="s">
        <v>40</v>
      </c>
      <c r="F4964">
        <v>3</v>
      </c>
      <c r="G4964">
        <v>1499</v>
      </c>
      <c r="H4964">
        <v>0.1</v>
      </c>
      <c r="I4964" t="s">
        <v>32</v>
      </c>
      <c r="J4964" t="s">
        <v>22</v>
      </c>
      <c r="K4964" t="s">
        <v>17</v>
      </c>
      <c r="L4964">
        <f>F4963*G4963*(1-H4963)</f>
        <v>1796.4</v>
      </c>
    </row>
    <row r="4965" spans="1:12">
      <c r="A4965" t="s">
        <v>5801</v>
      </c>
      <c r="B4965" s="1">
        <v>46094</v>
      </c>
      <c r="C4965" t="s">
        <v>2277</v>
      </c>
      <c r="D4965" t="s">
        <v>13</v>
      </c>
      <c r="E4965" t="s">
        <v>40</v>
      </c>
      <c r="F4965">
        <v>5</v>
      </c>
      <c r="G4965">
        <v>999</v>
      </c>
      <c r="H4965">
        <v>0.05</v>
      </c>
      <c r="I4965" t="s">
        <v>15</v>
      </c>
      <c r="J4965" t="s">
        <v>16</v>
      </c>
      <c r="K4965" t="s">
        <v>37</v>
      </c>
      <c r="L4965">
        <f>F4964*G4964*(1-H4964)</f>
        <v>4047.3</v>
      </c>
    </row>
    <row r="4966" spans="1:12">
      <c r="A4966" t="s">
        <v>5802</v>
      </c>
      <c r="B4966" s="1">
        <v>46222</v>
      </c>
      <c r="C4966" t="s">
        <v>470</v>
      </c>
      <c r="D4966" t="s">
        <v>71</v>
      </c>
      <c r="E4966" t="s">
        <v>14</v>
      </c>
      <c r="F4966">
        <v>4</v>
      </c>
      <c r="G4966">
        <v>799</v>
      </c>
      <c r="H4966">
        <v>0.1</v>
      </c>
      <c r="I4966" t="s">
        <v>15</v>
      </c>
      <c r="J4966" t="s">
        <v>36</v>
      </c>
      <c r="K4966" t="s">
        <v>37</v>
      </c>
      <c r="L4966">
        <f>F4965*G4965*(1-H4965)</f>
        <v>4745.25</v>
      </c>
    </row>
    <row r="4967" spans="1:12">
      <c r="A4967" t="s">
        <v>5803</v>
      </c>
      <c r="B4967" s="1">
        <v>46064</v>
      </c>
      <c r="C4967" t="s">
        <v>5804</v>
      </c>
      <c r="D4967" t="s">
        <v>26</v>
      </c>
      <c r="E4967" t="s">
        <v>14</v>
      </c>
      <c r="F4967">
        <v>1</v>
      </c>
      <c r="G4967">
        <v>799</v>
      </c>
      <c r="H4967">
        <v>0.15</v>
      </c>
      <c r="I4967" t="s">
        <v>15</v>
      </c>
      <c r="J4967" t="s">
        <v>28</v>
      </c>
      <c r="K4967" t="s">
        <v>17</v>
      </c>
      <c r="L4967">
        <f>F4966*G4966*(1-H4966)</f>
        <v>2876.4</v>
      </c>
    </row>
    <row r="4968" spans="1:12">
      <c r="A4968" t="s">
        <v>5805</v>
      </c>
      <c r="B4968" s="1">
        <v>46295</v>
      </c>
      <c r="C4968" t="s">
        <v>741</v>
      </c>
      <c r="D4968" t="s">
        <v>43</v>
      </c>
      <c r="E4968" t="s">
        <v>40</v>
      </c>
      <c r="F4968">
        <v>4</v>
      </c>
      <c r="G4968">
        <v>499</v>
      </c>
      <c r="H4968">
        <v>0</v>
      </c>
      <c r="I4968" t="s">
        <v>47</v>
      </c>
      <c r="J4968" t="s">
        <v>28</v>
      </c>
      <c r="K4968" t="s">
        <v>17</v>
      </c>
      <c r="L4968">
        <f>F4967*G4967*(1-H4967)</f>
        <v>679.15</v>
      </c>
    </row>
    <row r="4969" spans="1:12">
      <c r="A4969" t="s">
        <v>5806</v>
      </c>
      <c r="B4969" s="1">
        <v>46240</v>
      </c>
      <c r="C4969" t="s">
        <v>4371</v>
      </c>
      <c r="D4969" t="s">
        <v>62</v>
      </c>
      <c r="E4969" t="s">
        <v>14</v>
      </c>
      <c r="F4969">
        <v>1</v>
      </c>
      <c r="G4969">
        <v>1299</v>
      </c>
      <c r="H4969">
        <v>0.05</v>
      </c>
      <c r="I4969" t="s">
        <v>47</v>
      </c>
      <c r="J4969" t="s">
        <v>22</v>
      </c>
      <c r="K4969" t="s">
        <v>17</v>
      </c>
      <c r="L4969">
        <f>F4968*G4968*(1-H4968)</f>
        <v>1996</v>
      </c>
    </row>
    <row r="4970" spans="1:12">
      <c r="A4970" t="s">
        <v>5807</v>
      </c>
      <c r="B4970" s="1">
        <v>46140</v>
      </c>
      <c r="C4970" t="s">
        <v>1916</v>
      </c>
      <c r="D4970" t="s">
        <v>71</v>
      </c>
      <c r="E4970" t="s">
        <v>14</v>
      </c>
      <c r="F4970">
        <v>3</v>
      </c>
      <c r="G4970">
        <v>2499</v>
      </c>
      <c r="H4970">
        <v>0</v>
      </c>
      <c r="I4970" t="s">
        <v>15</v>
      </c>
      <c r="J4970" t="s">
        <v>51</v>
      </c>
      <c r="K4970" t="s">
        <v>37</v>
      </c>
      <c r="L4970">
        <f>F4969*G4969*(1-H4969)</f>
        <v>1234.05</v>
      </c>
    </row>
    <row r="4971" spans="1:12">
      <c r="A4971" t="s">
        <v>5808</v>
      </c>
      <c r="B4971" s="1">
        <v>46063</v>
      </c>
      <c r="C4971" t="s">
        <v>916</v>
      </c>
      <c r="D4971" t="s">
        <v>26</v>
      </c>
      <c r="E4971" t="s">
        <v>21</v>
      </c>
      <c r="F4971">
        <v>4</v>
      </c>
      <c r="G4971">
        <v>1299</v>
      </c>
      <c r="H4971">
        <v>0</v>
      </c>
      <c r="I4971" t="s">
        <v>50</v>
      </c>
      <c r="J4971" t="s">
        <v>16</v>
      </c>
      <c r="K4971" t="s">
        <v>37</v>
      </c>
      <c r="L4971">
        <f>F4970*G4970*(1-H4970)</f>
        <v>7497</v>
      </c>
    </row>
    <row r="4972" spans="1:12">
      <c r="A4972" t="s">
        <v>5809</v>
      </c>
      <c r="B4972" s="1">
        <v>46177</v>
      </c>
      <c r="C4972" t="s">
        <v>1983</v>
      </c>
      <c r="D4972" t="s">
        <v>71</v>
      </c>
      <c r="E4972" t="s">
        <v>35</v>
      </c>
      <c r="F4972">
        <v>5</v>
      </c>
      <c r="G4972">
        <v>1299</v>
      </c>
      <c r="H4972">
        <v>0.1</v>
      </c>
      <c r="I4972" t="s">
        <v>50</v>
      </c>
      <c r="J4972" t="s">
        <v>22</v>
      </c>
      <c r="K4972" t="s">
        <v>17</v>
      </c>
      <c r="L4972">
        <f>F4971*G4971*(1-H4971)</f>
        <v>5196</v>
      </c>
    </row>
    <row r="4973" spans="1:12">
      <c r="A4973" t="s">
        <v>5810</v>
      </c>
      <c r="B4973" s="1">
        <v>46096</v>
      </c>
      <c r="C4973" t="s">
        <v>77</v>
      </c>
      <c r="D4973" t="s">
        <v>43</v>
      </c>
      <c r="E4973" t="s">
        <v>21</v>
      </c>
      <c r="F4973">
        <v>1</v>
      </c>
      <c r="G4973">
        <v>499</v>
      </c>
      <c r="H4973">
        <v>0</v>
      </c>
      <c r="I4973" t="s">
        <v>44</v>
      </c>
      <c r="J4973" t="s">
        <v>36</v>
      </c>
      <c r="K4973" t="s">
        <v>17</v>
      </c>
      <c r="L4973">
        <f>F4972*G4972*(1-H4972)</f>
        <v>5845.5</v>
      </c>
    </row>
    <row r="4974" spans="1:12">
      <c r="A4974" t="s">
        <v>5811</v>
      </c>
      <c r="B4974" s="1">
        <v>46042</v>
      </c>
      <c r="C4974" t="s">
        <v>3641</v>
      </c>
      <c r="D4974" t="s">
        <v>56</v>
      </c>
      <c r="E4974" t="s">
        <v>35</v>
      </c>
      <c r="F4974">
        <v>4</v>
      </c>
      <c r="G4974">
        <v>599</v>
      </c>
      <c r="H4974">
        <v>0.05</v>
      </c>
      <c r="I4974" t="s">
        <v>47</v>
      </c>
      <c r="J4974" t="s">
        <v>51</v>
      </c>
      <c r="K4974" t="s">
        <v>23</v>
      </c>
      <c r="L4974">
        <f>F4973*G4973*(1-H4973)</f>
        <v>499</v>
      </c>
    </row>
    <row r="4975" spans="1:12">
      <c r="A4975" t="s">
        <v>5812</v>
      </c>
      <c r="B4975" s="1">
        <v>46132</v>
      </c>
      <c r="C4975" t="s">
        <v>541</v>
      </c>
      <c r="D4975" t="s">
        <v>71</v>
      </c>
      <c r="E4975" t="s">
        <v>27</v>
      </c>
      <c r="F4975">
        <v>4</v>
      </c>
      <c r="G4975">
        <v>499</v>
      </c>
      <c r="H4975">
        <v>0</v>
      </c>
      <c r="I4975" t="s">
        <v>32</v>
      </c>
      <c r="J4975" t="s">
        <v>16</v>
      </c>
      <c r="K4975" t="s">
        <v>37</v>
      </c>
      <c r="L4975">
        <f>F4974*G4974*(1-H4974)</f>
        <v>2276.1999999999998</v>
      </c>
    </row>
    <row r="4976" spans="1:12">
      <c r="A4976" t="s">
        <v>5813</v>
      </c>
      <c r="B4976" s="1">
        <v>46213</v>
      </c>
      <c r="C4976" t="s">
        <v>304</v>
      </c>
      <c r="D4976" t="s">
        <v>20</v>
      </c>
      <c r="E4976" t="s">
        <v>27</v>
      </c>
      <c r="F4976">
        <v>1</v>
      </c>
      <c r="G4976">
        <v>1299</v>
      </c>
      <c r="H4976">
        <v>0.15</v>
      </c>
      <c r="I4976" t="s">
        <v>47</v>
      </c>
      <c r="J4976" t="s">
        <v>36</v>
      </c>
      <c r="K4976" t="s">
        <v>23</v>
      </c>
      <c r="L4976">
        <f>F4975*G4975*(1-H4975)</f>
        <v>1996</v>
      </c>
    </row>
    <row r="4977" spans="1:12">
      <c r="A4977" t="s">
        <v>5814</v>
      </c>
      <c r="B4977" s="1">
        <v>46256</v>
      </c>
      <c r="C4977" t="s">
        <v>1898</v>
      </c>
      <c r="D4977" t="s">
        <v>43</v>
      </c>
      <c r="E4977" t="s">
        <v>21</v>
      </c>
      <c r="F4977">
        <v>5</v>
      </c>
      <c r="G4977">
        <v>4999</v>
      </c>
      <c r="H4977">
        <v>0.1</v>
      </c>
      <c r="I4977" t="s">
        <v>32</v>
      </c>
      <c r="J4977" t="s">
        <v>36</v>
      </c>
      <c r="K4977" t="s">
        <v>17</v>
      </c>
      <c r="L4977">
        <f>F4976*G4976*(1-H4976)</f>
        <v>1104.1499999999999</v>
      </c>
    </row>
    <row r="4978" spans="1:12">
      <c r="A4978" t="s">
        <v>5815</v>
      </c>
      <c r="B4978" s="1">
        <v>46265</v>
      </c>
      <c r="C4978" t="s">
        <v>4405</v>
      </c>
      <c r="D4978" t="s">
        <v>62</v>
      </c>
      <c r="E4978" t="s">
        <v>27</v>
      </c>
      <c r="F4978">
        <v>3</v>
      </c>
      <c r="G4978">
        <v>2499</v>
      </c>
      <c r="H4978">
        <v>0.05</v>
      </c>
      <c r="I4978" t="s">
        <v>44</v>
      </c>
      <c r="J4978" t="s">
        <v>36</v>
      </c>
      <c r="K4978" t="s">
        <v>17</v>
      </c>
      <c r="L4978">
        <f>F4977*G4977*(1-H4977)</f>
        <v>22495.5</v>
      </c>
    </row>
    <row r="4979" spans="1:12">
      <c r="A4979" t="s">
        <v>5816</v>
      </c>
      <c r="B4979" s="1">
        <v>46039</v>
      </c>
      <c r="C4979" t="s">
        <v>864</v>
      </c>
      <c r="D4979" t="s">
        <v>78</v>
      </c>
      <c r="E4979" t="s">
        <v>40</v>
      </c>
      <c r="F4979">
        <v>4</v>
      </c>
      <c r="G4979">
        <v>799</v>
      </c>
      <c r="H4979">
        <v>0</v>
      </c>
      <c r="I4979" t="s">
        <v>44</v>
      </c>
      <c r="J4979" t="s">
        <v>36</v>
      </c>
      <c r="K4979" t="s">
        <v>17</v>
      </c>
      <c r="L4979">
        <f>F4978*G4978*(1-H4978)</f>
        <v>7122.15</v>
      </c>
    </row>
    <row r="4980" spans="1:12">
      <c r="A4980" t="s">
        <v>5817</v>
      </c>
      <c r="B4980" s="1">
        <v>46208</v>
      </c>
      <c r="C4980" t="s">
        <v>637</v>
      </c>
      <c r="D4980" t="s">
        <v>13</v>
      </c>
      <c r="E4980" t="s">
        <v>35</v>
      </c>
      <c r="F4980">
        <v>2</v>
      </c>
      <c r="G4980">
        <v>999</v>
      </c>
      <c r="H4980">
        <v>0.15</v>
      </c>
      <c r="I4980" t="s">
        <v>32</v>
      </c>
      <c r="J4980" t="s">
        <v>28</v>
      </c>
      <c r="K4980" t="s">
        <v>17</v>
      </c>
      <c r="L4980">
        <f>F4979*G4979*(1-H4979)</f>
        <v>3196</v>
      </c>
    </row>
    <row r="4981" spans="1:12">
      <c r="A4981" t="s">
        <v>5818</v>
      </c>
      <c r="B4981" s="1">
        <v>46275</v>
      </c>
      <c r="C4981" t="s">
        <v>899</v>
      </c>
      <c r="D4981" t="s">
        <v>62</v>
      </c>
      <c r="E4981" t="s">
        <v>14</v>
      </c>
      <c r="F4981">
        <v>2</v>
      </c>
      <c r="G4981">
        <v>499</v>
      </c>
      <c r="H4981">
        <v>0.05</v>
      </c>
      <c r="I4981" t="s">
        <v>47</v>
      </c>
      <c r="J4981" t="s">
        <v>51</v>
      </c>
      <c r="K4981" t="s">
        <v>17</v>
      </c>
      <c r="L4981">
        <f>F4980*G4980*(1-H4980)</f>
        <v>1698.3</v>
      </c>
    </row>
    <row r="4982" spans="1:12">
      <c r="A4982" t="s">
        <v>5819</v>
      </c>
      <c r="B4982" s="1">
        <v>46264</v>
      </c>
      <c r="C4982" t="s">
        <v>364</v>
      </c>
      <c r="D4982" t="s">
        <v>71</v>
      </c>
      <c r="E4982" t="s">
        <v>27</v>
      </c>
      <c r="F4982">
        <v>5</v>
      </c>
      <c r="G4982">
        <v>1299</v>
      </c>
      <c r="H4982">
        <v>0</v>
      </c>
      <c r="I4982" t="s">
        <v>15</v>
      </c>
      <c r="J4982" t="s">
        <v>16</v>
      </c>
      <c r="K4982" t="s">
        <v>17</v>
      </c>
      <c r="L4982">
        <f>F4981*G4981*(1-H4981)</f>
        <v>948.09999999999991</v>
      </c>
    </row>
    <row r="4983" spans="1:12">
      <c r="A4983" t="s">
        <v>5820</v>
      </c>
      <c r="B4983" s="1">
        <v>46257</v>
      </c>
      <c r="C4983" t="s">
        <v>697</v>
      </c>
      <c r="D4983" t="s">
        <v>13</v>
      </c>
      <c r="E4983" t="s">
        <v>40</v>
      </c>
      <c r="F4983">
        <v>2</v>
      </c>
      <c r="G4983">
        <v>7999</v>
      </c>
      <c r="H4983">
        <v>0.1</v>
      </c>
      <c r="I4983" t="s">
        <v>50</v>
      </c>
      <c r="J4983" t="s">
        <v>22</v>
      </c>
      <c r="K4983" t="s">
        <v>17</v>
      </c>
      <c r="L4983">
        <f>F4982*G4982*(1-H4982)</f>
        <v>6495</v>
      </c>
    </row>
    <row r="4984" spans="1:12">
      <c r="A4984" t="s">
        <v>5821</v>
      </c>
      <c r="B4984" s="1">
        <v>46110</v>
      </c>
      <c r="C4984" t="s">
        <v>1062</v>
      </c>
      <c r="D4984" t="s">
        <v>31</v>
      </c>
      <c r="E4984" t="s">
        <v>14</v>
      </c>
      <c r="F4984">
        <v>1</v>
      </c>
      <c r="G4984">
        <v>499</v>
      </c>
      <c r="H4984">
        <v>0</v>
      </c>
      <c r="I4984" t="s">
        <v>32</v>
      </c>
      <c r="J4984" t="s">
        <v>22</v>
      </c>
      <c r="K4984" t="s">
        <v>17</v>
      </c>
      <c r="L4984">
        <f>F4983*G4983*(1-H4983)</f>
        <v>14398.2</v>
      </c>
    </row>
    <row r="4985" spans="1:12">
      <c r="A4985" t="s">
        <v>5822</v>
      </c>
      <c r="B4985" s="1">
        <v>46037</v>
      </c>
      <c r="C4985" t="s">
        <v>325</v>
      </c>
      <c r="D4985" t="s">
        <v>26</v>
      </c>
      <c r="E4985" t="s">
        <v>27</v>
      </c>
      <c r="F4985">
        <v>4</v>
      </c>
      <c r="G4985">
        <v>999</v>
      </c>
      <c r="H4985">
        <v>0</v>
      </c>
      <c r="I4985" t="s">
        <v>50</v>
      </c>
      <c r="J4985" t="s">
        <v>36</v>
      </c>
      <c r="K4985" t="s">
        <v>23</v>
      </c>
      <c r="L4985">
        <f>F4984*G4984*(1-H4984)</f>
        <v>499</v>
      </c>
    </row>
    <row r="4986" spans="1:12">
      <c r="A4986" t="s">
        <v>5823</v>
      </c>
      <c r="B4986" s="1">
        <v>46099</v>
      </c>
      <c r="C4986" t="s">
        <v>338</v>
      </c>
      <c r="D4986" t="s">
        <v>20</v>
      </c>
      <c r="E4986" t="s">
        <v>35</v>
      </c>
      <c r="F4986">
        <v>1</v>
      </c>
      <c r="G4986">
        <v>999</v>
      </c>
      <c r="H4986">
        <v>0</v>
      </c>
      <c r="I4986" t="s">
        <v>50</v>
      </c>
      <c r="J4986" t="s">
        <v>36</v>
      </c>
      <c r="K4986" t="s">
        <v>37</v>
      </c>
      <c r="L4986">
        <f>F4985*G4985*(1-H4985)</f>
        <v>3996</v>
      </c>
    </row>
    <row r="4987" spans="1:12">
      <c r="A4987" t="s">
        <v>5824</v>
      </c>
      <c r="B4987" s="1">
        <v>46219</v>
      </c>
      <c r="C4987" t="s">
        <v>2083</v>
      </c>
      <c r="D4987" t="s">
        <v>31</v>
      </c>
      <c r="E4987" t="s">
        <v>35</v>
      </c>
      <c r="F4987">
        <v>4</v>
      </c>
      <c r="G4987">
        <v>799</v>
      </c>
      <c r="H4987">
        <v>0</v>
      </c>
      <c r="I4987" t="s">
        <v>47</v>
      </c>
      <c r="J4987" t="s">
        <v>51</v>
      </c>
      <c r="K4987" t="s">
        <v>17</v>
      </c>
      <c r="L4987">
        <f>F4986*G4986*(1-H4986)</f>
        <v>999</v>
      </c>
    </row>
    <row r="4988" spans="1:12">
      <c r="A4988" t="s">
        <v>5825</v>
      </c>
      <c r="B4988" s="1">
        <v>46221</v>
      </c>
      <c r="C4988" t="s">
        <v>1390</v>
      </c>
      <c r="D4988" t="s">
        <v>62</v>
      </c>
      <c r="E4988" t="s">
        <v>40</v>
      </c>
      <c r="F4988">
        <v>5</v>
      </c>
      <c r="G4988">
        <v>799</v>
      </c>
      <c r="H4988">
        <v>0.1</v>
      </c>
      <c r="I4988" t="s">
        <v>44</v>
      </c>
      <c r="J4988" t="s">
        <v>51</v>
      </c>
      <c r="K4988" t="s">
        <v>17</v>
      </c>
      <c r="L4988">
        <f>F4987*G4987*(1-H4987)</f>
        <v>3196</v>
      </c>
    </row>
    <row r="4989" spans="1:12">
      <c r="A4989" t="s">
        <v>5826</v>
      </c>
      <c r="B4989" s="1">
        <v>46073</v>
      </c>
      <c r="C4989" t="s">
        <v>524</v>
      </c>
      <c r="D4989" t="s">
        <v>62</v>
      </c>
      <c r="E4989" t="s">
        <v>27</v>
      </c>
      <c r="F4989">
        <v>1</v>
      </c>
      <c r="G4989">
        <v>1999</v>
      </c>
      <c r="H4989">
        <v>0.05</v>
      </c>
      <c r="I4989" t="s">
        <v>50</v>
      </c>
      <c r="J4989" t="s">
        <v>16</v>
      </c>
      <c r="K4989" t="s">
        <v>23</v>
      </c>
      <c r="L4989">
        <f>F4988*G4988*(1-H4988)</f>
        <v>3595.5</v>
      </c>
    </row>
    <row r="4990" spans="1:12">
      <c r="A4990" t="s">
        <v>5827</v>
      </c>
      <c r="B4990" s="1">
        <v>46090</v>
      </c>
      <c r="C4990" t="s">
        <v>156</v>
      </c>
      <c r="D4990" t="s">
        <v>43</v>
      </c>
      <c r="E4990" t="s">
        <v>40</v>
      </c>
      <c r="F4990">
        <v>4</v>
      </c>
      <c r="G4990">
        <v>2499</v>
      </c>
      <c r="H4990">
        <v>0</v>
      </c>
      <c r="I4990" t="s">
        <v>15</v>
      </c>
      <c r="J4990" t="s">
        <v>16</v>
      </c>
      <c r="K4990" t="s">
        <v>17</v>
      </c>
      <c r="L4990">
        <f>F4989*G4989*(1-H4989)</f>
        <v>1899.05</v>
      </c>
    </row>
    <row r="4991" spans="1:12">
      <c r="A4991" t="s">
        <v>5828</v>
      </c>
      <c r="B4991" s="1">
        <v>46109</v>
      </c>
      <c r="C4991" t="s">
        <v>1387</v>
      </c>
      <c r="D4991" t="s">
        <v>56</v>
      </c>
      <c r="E4991" t="s">
        <v>21</v>
      </c>
      <c r="F4991">
        <v>3</v>
      </c>
      <c r="G4991">
        <v>7999</v>
      </c>
      <c r="H4991">
        <v>0.1</v>
      </c>
      <c r="I4991" t="s">
        <v>15</v>
      </c>
      <c r="J4991" t="s">
        <v>28</v>
      </c>
      <c r="K4991" t="s">
        <v>23</v>
      </c>
      <c r="L4991">
        <f>F4990*G4990*(1-H4990)</f>
        <v>9996</v>
      </c>
    </row>
    <row r="4992" spans="1:12">
      <c r="A4992" t="s">
        <v>5829</v>
      </c>
      <c r="B4992" s="1">
        <v>46278</v>
      </c>
      <c r="C4992" t="s">
        <v>4509</v>
      </c>
      <c r="D4992" t="s">
        <v>59</v>
      </c>
      <c r="E4992" t="s">
        <v>40</v>
      </c>
      <c r="F4992">
        <v>2</v>
      </c>
      <c r="G4992">
        <v>999</v>
      </c>
      <c r="H4992">
        <v>0</v>
      </c>
      <c r="I4992" t="s">
        <v>44</v>
      </c>
      <c r="J4992" t="s">
        <v>51</v>
      </c>
      <c r="K4992" t="s">
        <v>17</v>
      </c>
      <c r="L4992">
        <f>F4991*G4991*(1-H4991)</f>
        <v>21597.3</v>
      </c>
    </row>
    <row r="4993" spans="1:12">
      <c r="A4993" t="s">
        <v>5830</v>
      </c>
      <c r="B4993" s="1">
        <v>46155</v>
      </c>
      <c r="C4993" t="s">
        <v>442</v>
      </c>
      <c r="D4993" t="s">
        <v>26</v>
      </c>
      <c r="E4993" t="s">
        <v>35</v>
      </c>
      <c r="F4993">
        <v>3</v>
      </c>
      <c r="G4993">
        <v>799</v>
      </c>
      <c r="H4993">
        <v>0.1</v>
      </c>
      <c r="I4993" t="s">
        <v>32</v>
      </c>
      <c r="J4993" t="s">
        <v>22</v>
      </c>
      <c r="K4993" t="s">
        <v>23</v>
      </c>
      <c r="L4993">
        <f>F4992*G4992*(1-H4992)</f>
        <v>1998</v>
      </c>
    </row>
    <row r="4994" spans="1:12">
      <c r="A4994" t="s">
        <v>5831</v>
      </c>
      <c r="B4994" s="1">
        <v>46083</v>
      </c>
      <c r="C4994" t="s">
        <v>2634</v>
      </c>
      <c r="D4994" t="s">
        <v>78</v>
      </c>
      <c r="E4994" t="s">
        <v>14</v>
      </c>
      <c r="F4994">
        <v>1</v>
      </c>
      <c r="G4994">
        <v>1499</v>
      </c>
      <c r="H4994">
        <v>0.1</v>
      </c>
      <c r="I4994" t="s">
        <v>32</v>
      </c>
      <c r="J4994" t="s">
        <v>28</v>
      </c>
      <c r="K4994" t="s">
        <v>17</v>
      </c>
      <c r="L4994">
        <f>F4993*G4993*(1-H4993)</f>
        <v>2157.3000000000002</v>
      </c>
    </row>
    <row r="4995" spans="1:12">
      <c r="A4995" t="s">
        <v>5832</v>
      </c>
      <c r="B4995" s="1">
        <v>46226</v>
      </c>
      <c r="C4995" t="s">
        <v>1499</v>
      </c>
      <c r="D4995" t="s">
        <v>26</v>
      </c>
      <c r="E4995" t="s">
        <v>21</v>
      </c>
      <c r="F4995">
        <v>3</v>
      </c>
      <c r="G4995">
        <v>999</v>
      </c>
      <c r="H4995">
        <v>0</v>
      </c>
      <c r="I4995" t="s">
        <v>15</v>
      </c>
      <c r="J4995" t="s">
        <v>22</v>
      </c>
      <c r="K4995" t="s">
        <v>17</v>
      </c>
      <c r="L4995">
        <f>F4994*G4994*(1-H4994)</f>
        <v>1349.1000000000001</v>
      </c>
    </row>
    <row r="4996" spans="1:12">
      <c r="A4996" t="s">
        <v>5833</v>
      </c>
      <c r="B4996" s="1">
        <v>46270</v>
      </c>
      <c r="C4996" t="s">
        <v>649</v>
      </c>
      <c r="D4996" t="s">
        <v>59</v>
      </c>
      <c r="E4996" t="s">
        <v>14</v>
      </c>
      <c r="F4996">
        <v>2</v>
      </c>
      <c r="G4996">
        <v>499</v>
      </c>
      <c r="H4996">
        <v>0.05</v>
      </c>
      <c r="I4996" t="s">
        <v>44</v>
      </c>
      <c r="J4996" t="s">
        <v>36</v>
      </c>
      <c r="K4996" t="s">
        <v>17</v>
      </c>
      <c r="L4996">
        <f>F4995*G4995*(1-H4995)</f>
        <v>2997</v>
      </c>
    </row>
    <row r="4997" spans="1:12">
      <c r="A4997" t="s">
        <v>5834</v>
      </c>
      <c r="B4997" s="1">
        <v>46141</v>
      </c>
      <c r="C4997" t="s">
        <v>1176</v>
      </c>
      <c r="D4997" t="s">
        <v>62</v>
      </c>
      <c r="E4997" t="s">
        <v>35</v>
      </c>
      <c r="F4997">
        <v>1</v>
      </c>
      <c r="G4997">
        <v>499</v>
      </c>
      <c r="H4997">
        <v>0.15</v>
      </c>
      <c r="I4997" t="s">
        <v>44</v>
      </c>
      <c r="J4997" t="s">
        <v>22</v>
      </c>
      <c r="K4997" t="s">
        <v>37</v>
      </c>
      <c r="L4997">
        <f>F4996*G4996*(1-H4996)</f>
        <v>948.09999999999991</v>
      </c>
    </row>
    <row r="4998" spans="1:12">
      <c r="A4998" t="s">
        <v>5835</v>
      </c>
      <c r="B4998" s="1">
        <v>46121</v>
      </c>
      <c r="C4998" t="s">
        <v>75</v>
      </c>
      <c r="D4998" t="s">
        <v>78</v>
      </c>
      <c r="E4998" t="s">
        <v>40</v>
      </c>
      <c r="F4998">
        <v>4</v>
      </c>
      <c r="G4998">
        <v>799</v>
      </c>
      <c r="H4998">
        <v>0</v>
      </c>
      <c r="I4998" t="s">
        <v>47</v>
      </c>
      <c r="J4998" t="s">
        <v>28</v>
      </c>
      <c r="K4998" t="s">
        <v>17</v>
      </c>
      <c r="L4998">
        <f>F4997*G4997*(1-H4997)</f>
        <v>424.15</v>
      </c>
    </row>
    <row r="4999" spans="1:12">
      <c r="A4999" t="s">
        <v>5836</v>
      </c>
      <c r="B4999" s="1">
        <v>46178</v>
      </c>
      <c r="C4999" t="s">
        <v>2277</v>
      </c>
      <c r="D4999" t="s">
        <v>43</v>
      </c>
      <c r="E4999" t="s">
        <v>35</v>
      </c>
      <c r="F4999">
        <v>2</v>
      </c>
      <c r="G4999">
        <v>1999</v>
      </c>
      <c r="H4999">
        <v>0.05</v>
      </c>
      <c r="I4999" t="s">
        <v>44</v>
      </c>
      <c r="J4999" t="s">
        <v>51</v>
      </c>
      <c r="K4999" t="s">
        <v>37</v>
      </c>
      <c r="L4999">
        <f>F4998*G4998*(1-H4998)</f>
        <v>3196</v>
      </c>
    </row>
    <row r="5000" spans="1:12">
      <c r="A5000" t="s">
        <v>5837</v>
      </c>
      <c r="B5000" s="1">
        <v>46067</v>
      </c>
      <c r="C5000" t="s">
        <v>265</v>
      </c>
      <c r="D5000" t="s">
        <v>26</v>
      </c>
      <c r="E5000" t="s">
        <v>35</v>
      </c>
      <c r="F5000">
        <v>5</v>
      </c>
      <c r="G5000">
        <v>499</v>
      </c>
      <c r="H5000">
        <v>0</v>
      </c>
      <c r="I5000" t="s">
        <v>32</v>
      </c>
      <c r="J5000" t="s">
        <v>22</v>
      </c>
      <c r="K5000" t="s">
        <v>37</v>
      </c>
      <c r="L5000">
        <f>F4999*G4999*(1-H4999)</f>
        <v>3798.1</v>
      </c>
    </row>
    <row r="5001" spans="1:12">
      <c r="A5001" t="s">
        <v>5838</v>
      </c>
      <c r="B5001" s="1">
        <v>46295</v>
      </c>
      <c r="C5001" t="s">
        <v>3696</v>
      </c>
      <c r="D5001" t="s">
        <v>56</v>
      </c>
      <c r="E5001" t="s">
        <v>21</v>
      </c>
      <c r="F5001">
        <v>3</v>
      </c>
      <c r="G5001">
        <v>1499</v>
      </c>
      <c r="H5001">
        <v>0.05</v>
      </c>
      <c r="I5001" t="s">
        <v>50</v>
      </c>
      <c r="J5001" t="s">
        <v>51</v>
      </c>
      <c r="K5001" t="s">
        <v>17</v>
      </c>
      <c r="L5001">
        <f>F5000*G5000*(1-H5000)</f>
        <v>2495</v>
      </c>
    </row>
    <row r="5002" spans="1:12">
      <c r="A5002" t="s">
        <v>5839</v>
      </c>
      <c r="B5002" s="1">
        <v>46134</v>
      </c>
      <c r="C5002" t="s">
        <v>1593</v>
      </c>
      <c r="D5002" t="s">
        <v>71</v>
      </c>
      <c r="E5002" t="s">
        <v>27</v>
      </c>
      <c r="F5002">
        <v>5</v>
      </c>
      <c r="G5002">
        <v>1499</v>
      </c>
      <c r="H5002">
        <v>0</v>
      </c>
      <c r="I5002" t="s">
        <v>47</v>
      </c>
      <c r="J5002" t="s">
        <v>36</v>
      </c>
      <c r="K5002" t="s">
        <v>23</v>
      </c>
      <c r="L5002">
        <f>F5001*G5001*(1-H5001)</f>
        <v>4272.1499999999996</v>
      </c>
    </row>
    <row r="5003" spans="1:12">
      <c r="A5003" t="s">
        <v>5840</v>
      </c>
      <c r="B5003" s="1">
        <v>46286</v>
      </c>
      <c r="C5003" t="s">
        <v>2080</v>
      </c>
      <c r="D5003" t="s">
        <v>78</v>
      </c>
      <c r="E5003" t="s">
        <v>35</v>
      </c>
      <c r="F5003">
        <v>4</v>
      </c>
      <c r="G5003">
        <v>1499</v>
      </c>
      <c r="H5003">
        <v>0.15</v>
      </c>
      <c r="I5003" t="s">
        <v>32</v>
      </c>
      <c r="J5003" t="s">
        <v>16</v>
      </c>
      <c r="K5003" t="s">
        <v>17</v>
      </c>
      <c r="L5003">
        <f>F5002*G5002*(1-H5002)</f>
        <v>7495</v>
      </c>
    </row>
    <row r="5004" spans="1:12">
      <c r="A5004" t="s">
        <v>5841</v>
      </c>
      <c r="B5004" s="1">
        <v>46101</v>
      </c>
      <c r="C5004" t="s">
        <v>1508</v>
      </c>
      <c r="D5004" t="s">
        <v>13</v>
      </c>
      <c r="E5004" t="s">
        <v>21</v>
      </c>
      <c r="F5004">
        <v>3</v>
      </c>
      <c r="G5004">
        <v>499</v>
      </c>
      <c r="H5004">
        <v>0.1</v>
      </c>
      <c r="I5004" t="s">
        <v>32</v>
      </c>
      <c r="J5004" t="s">
        <v>51</v>
      </c>
      <c r="K5004" t="s">
        <v>17</v>
      </c>
      <c r="L5004">
        <f>F5003*G5003*(1-H5003)</f>
        <v>5096.5999999999995</v>
      </c>
    </row>
    <row r="5005" spans="1:12">
      <c r="A5005" t="s">
        <v>5842</v>
      </c>
      <c r="B5005" s="1">
        <v>46242</v>
      </c>
      <c r="C5005" t="s">
        <v>720</v>
      </c>
      <c r="D5005" t="s">
        <v>26</v>
      </c>
      <c r="E5005" t="s">
        <v>27</v>
      </c>
      <c r="F5005">
        <v>2</v>
      </c>
      <c r="G5005">
        <v>1999</v>
      </c>
      <c r="H5005">
        <v>0.1</v>
      </c>
      <c r="I5005" t="s">
        <v>15</v>
      </c>
      <c r="J5005" t="s">
        <v>16</v>
      </c>
      <c r="K5005" t="s">
        <v>17</v>
      </c>
      <c r="L5005">
        <f>F5004*G5004*(1-H5004)</f>
        <v>1347.3</v>
      </c>
    </row>
    <row r="5006" spans="1:12">
      <c r="A5006" t="s">
        <v>5843</v>
      </c>
      <c r="B5006" s="1">
        <v>46158</v>
      </c>
      <c r="C5006" t="s">
        <v>1103</v>
      </c>
      <c r="D5006" t="s">
        <v>59</v>
      </c>
      <c r="E5006" t="s">
        <v>35</v>
      </c>
      <c r="F5006">
        <v>4</v>
      </c>
      <c r="G5006">
        <v>1499</v>
      </c>
      <c r="H5006">
        <v>0</v>
      </c>
      <c r="I5006" t="s">
        <v>15</v>
      </c>
      <c r="J5006" t="s">
        <v>51</v>
      </c>
      <c r="K5006" t="s">
        <v>17</v>
      </c>
      <c r="L5006">
        <f>F5005*G5005*(1-H5005)</f>
        <v>3598.2000000000003</v>
      </c>
    </row>
    <row r="5007" spans="1:12">
      <c r="A5007" t="s">
        <v>5844</v>
      </c>
      <c r="B5007" s="1">
        <v>46281</v>
      </c>
      <c r="C5007" t="s">
        <v>1709</v>
      </c>
      <c r="D5007" t="s">
        <v>31</v>
      </c>
      <c r="E5007" t="s">
        <v>14</v>
      </c>
      <c r="F5007">
        <v>1</v>
      </c>
      <c r="G5007">
        <v>4999</v>
      </c>
      <c r="H5007">
        <v>0.15</v>
      </c>
      <c r="I5007" t="s">
        <v>15</v>
      </c>
      <c r="J5007" t="s">
        <v>51</v>
      </c>
      <c r="K5007" t="s">
        <v>23</v>
      </c>
      <c r="L5007">
        <f>F5006*G5006*(1-H5006)</f>
        <v>5996</v>
      </c>
    </row>
    <row r="5008" spans="1:12">
      <c r="A5008" t="s">
        <v>5845</v>
      </c>
      <c r="B5008" s="1">
        <v>46047</v>
      </c>
      <c r="C5008" t="s">
        <v>933</v>
      </c>
      <c r="D5008" t="s">
        <v>56</v>
      </c>
      <c r="E5008" t="s">
        <v>35</v>
      </c>
      <c r="F5008">
        <v>5</v>
      </c>
      <c r="G5008">
        <v>799</v>
      </c>
      <c r="H5008">
        <v>0.1</v>
      </c>
      <c r="I5008" t="s">
        <v>15</v>
      </c>
      <c r="J5008" t="s">
        <v>51</v>
      </c>
      <c r="K5008" t="s">
        <v>37</v>
      </c>
      <c r="L5008">
        <f>F5007*G5007*(1-H5007)</f>
        <v>4249.1499999999996</v>
      </c>
    </row>
    <row r="5009" spans="1:12">
      <c r="A5009" t="s">
        <v>5846</v>
      </c>
      <c r="B5009" s="1">
        <v>46244</v>
      </c>
      <c r="C5009" t="s">
        <v>64</v>
      </c>
      <c r="D5009" t="s">
        <v>26</v>
      </c>
      <c r="E5009" t="s">
        <v>35</v>
      </c>
      <c r="F5009">
        <v>2</v>
      </c>
      <c r="G5009">
        <v>1299</v>
      </c>
      <c r="H5009">
        <v>0</v>
      </c>
      <c r="I5009" t="s">
        <v>44</v>
      </c>
      <c r="J5009" t="s">
        <v>51</v>
      </c>
      <c r="K5009" t="s">
        <v>17</v>
      </c>
      <c r="L5009">
        <f>F5008*G5008*(1-H5008)</f>
        <v>3595.5</v>
      </c>
    </row>
    <row r="5010" spans="1:12">
      <c r="A5010" t="s">
        <v>5847</v>
      </c>
      <c r="B5010" s="1">
        <v>46164</v>
      </c>
      <c r="C5010" t="s">
        <v>921</v>
      </c>
      <c r="D5010" t="s">
        <v>43</v>
      </c>
      <c r="E5010" t="s">
        <v>40</v>
      </c>
      <c r="F5010">
        <v>2</v>
      </c>
      <c r="G5010">
        <v>1299</v>
      </c>
      <c r="H5010">
        <v>0.1</v>
      </c>
      <c r="I5010" t="s">
        <v>15</v>
      </c>
      <c r="J5010" t="s">
        <v>28</v>
      </c>
      <c r="K5010" t="s">
        <v>23</v>
      </c>
      <c r="L5010">
        <f>F5009*G5009*(1-H5009)</f>
        <v>2598</v>
      </c>
    </row>
    <row r="5011" spans="1:12">
      <c r="A5011" t="s">
        <v>5848</v>
      </c>
      <c r="B5011" s="1">
        <v>46044</v>
      </c>
      <c r="C5011" t="s">
        <v>1207</v>
      </c>
      <c r="D5011" t="s">
        <v>71</v>
      </c>
      <c r="E5011" t="s">
        <v>35</v>
      </c>
      <c r="F5011">
        <v>4</v>
      </c>
      <c r="G5011">
        <v>4999</v>
      </c>
      <c r="H5011">
        <v>0</v>
      </c>
      <c r="I5011" t="s">
        <v>47</v>
      </c>
      <c r="J5011" t="s">
        <v>51</v>
      </c>
      <c r="K5011" t="s">
        <v>17</v>
      </c>
      <c r="L5011">
        <f>F5010*G5010*(1-H5010)</f>
        <v>2338.2000000000003</v>
      </c>
    </row>
    <row r="5012" spans="1:12">
      <c r="A5012" t="s">
        <v>5849</v>
      </c>
      <c r="B5012" s="1">
        <v>46156</v>
      </c>
      <c r="C5012" t="s">
        <v>818</v>
      </c>
      <c r="D5012" t="s">
        <v>13</v>
      </c>
      <c r="E5012" t="s">
        <v>21</v>
      </c>
      <c r="F5012">
        <v>4</v>
      </c>
      <c r="G5012">
        <v>499</v>
      </c>
      <c r="H5012">
        <v>0.15</v>
      </c>
      <c r="I5012" t="s">
        <v>44</v>
      </c>
      <c r="J5012" t="s">
        <v>22</v>
      </c>
      <c r="K5012" t="s">
        <v>17</v>
      </c>
      <c r="L5012">
        <f>F5011*G5011*(1-H5011)</f>
        <v>19996</v>
      </c>
    </row>
    <row r="5013" spans="1:12">
      <c r="A5013" t="s">
        <v>5850</v>
      </c>
      <c r="B5013" s="1">
        <v>46153</v>
      </c>
      <c r="C5013" t="s">
        <v>961</v>
      </c>
      <c r="D5013" t="s">
        <v>78</v>
      </c>
      <c r="E5013" t="s">
        <v>27</v>
      </c>
      <c r="F5013">
        <v>3</v>
      </c>
      <c r="G5013">
        <v>2499</v>
      </c>
      <c r="H5013">
        <v>0.1</v>
      </c>
      <c r="I5013" t="s">
        <v>47</v>
      </c>
      <c r="J5013" t="s">
        <v>28</v>
      </c>
      <c r="K5013" t="s">
        <v>17</v>
      </c>
      <c r="L5013">
        <f>F5012*G5012*(1-H5012)</f>
        <v>1696.6</v>
      </c>
    </row>
    <row r="5014" spans="1:12">
      <c r="A5014" t="s">
        <v>5851</v>
      </c>
      <c r="B5014" s="1">
        <v>46143</v>
      </c>
      <c r="C5014" t="s">
        <v>597</v>
      </c>
      <c r="D5014" t="s">
        <v>20</v>
      </c>
      <c r="E5014" t="s">
        <v>27</v>
      </c>
      <c r="F5014">
        <v>3</v>
      </c>
      <c r="G5014">
        <v>599</v>
      </c>
      <c r="H5014">
        <v>0.05</v>
      </c>
      <c r="I5014" t="s">
        <v>44</v>
      </c>
      <c r="J5014" t="s">
        <v>51</v>
      </c>
      <c r="K5014" t="s">
        <v>17</v>
      </c>
      <c r="L5014">
        <f>F5013*G5013*(1-H5013)</f>
        <v>6747.3</v>
      </c>
    </row>
    <row r="5015" spans="1:12">
      <c r="A5015" t="s">
        <v>5852</v>
      </c>
      <c r="B5015" s="1">
        <v>46201</v>
      </c>
      <c r="C5015" t="s">
        <v>644</v>
      </c>
      <c r="D5015" t="s">
        <v>20</v>
      </c>
      <c r="E5015" t="s">
        <v>35</v>
      </c>
      <c r="F5015">
        <v>5</v>
      </c>
      <c r="G5015">
        <v>4999</v>
      </c>
      <c r="H5015">
        <v>0.05</v>
      </c>
      <c r="I5015" t="s">
        <v>47</v>
      </c>
      <c r="J5015" t="s">
        <v>28</v>
      </c>
      <c r="K5015" t="s">
        <v>23</v>
      </c>
      <c r="L5015">
        <f>F5014*G5014*(1-H5014)</f>
        <v>1707.1499999999999</v>
      </c>
    </row>
    <row r="5016" spans="1:12">
      <c r="A5016" t="s">
        <v>5853</v>
      </c>
      <c r="B5016" s="1">
        <v>46292</v>
      </c>
      <c r="C5016" t="s">
        <v>2726</v>
      </c>
      <c r="D5016" t="s">
        <v>31</v>
      </c>
      <c r="E5016" t="s">
        <v>27</v>
      </c>
      <c r="F5016">
        <v>2</v>
      </c>
      <c r="G5016">
        <v>2499</v>
      </c>
      <c r="H5016">
        <v>0</v>
      </c>
      <c r="I5016" t="s">
        <v>47</v>
      </c>
      <c r="J5016" t="s">
        <v>51</v>
      </c>
      <c r="K5016" t="s">
        <v>23</v>
      </c>
      <c r="L5016">
        <f>F5015*G5015*(1-H5015)</f>
        <v>23745.25</v>
      </c>
    </row>
    <row r="5017" spans="1:12">
      <c r="A5017" t="s">
        <v>5854</v>
      </c>
      <c r="B5017" s="1">
        <v>46266</v>
      </c>
      <c r="C5017" t="s">
        <v>320</v>
      </c>
      <c r="D5017" t="s">
        <v>71</v>
      </c>
      <c r="E5017" t="s">
        <v>27</v>
      </c>
      <c r="F5017">
        <v>5</v>
      </c>
      <c r="G5017">
        <v>1499</v>
      </c>
      <c r="H5017">
        <v>0.15</v>
      </c>
      <c r="I5017" t="s">
        <v>44</v>
      </c>
      <c r="J5017" t="s">
        <v>51</v>
      </c>
      <c r="K5017" t="s">
        <v>17</v>
      </c>
      <c r="L5017">
        <f>F5016*G5016*(1-H5016)</f>
        <v>4998</v>
      </c>
    </row>
    <row r="5018" spans="1:12">
      <c r="A5018" t="s">
        <v>5855</v>
      </c>
      <c r="B5018" s="1">
        <v>46142</v>
      </c>
      <c r="C5018" t="s">
        <v>138</v>
      </c>
      <c r="D5018" t="s">
        <v>71</v>
      </c>
      <c r="E5018" t="s">
        <v>40</v>
      </c>
      <c r="F5018">
        <v>3</v>
      </c>
      <c r="G5018">
        <v>4999</v>
      </c>
      <c r="H5018">
        <v>0.1</v>
      </c>
      <c r="I5018" t="s">
        <v>32</v>
      </c>
      <c r="J5018" t="s">
        <v>51</v>
      </c>
      <c r="K5018" t="s">
        <v>23</v>
      </c>
      <c r="L5018">
        <f>F5017*G5017*(1-H5017)</f>
        <v>6370.75</v>
      </c>
    </row>
    <row r="5019" spans="1:12">
      <c r="A5019" t="s">
        <v>5856</v>
      </c>
      <c r="B5019" s="1">
        <v>46026</v>
      </c>
      <c r="C5019" t="s">
        <v>773</v>
      </c>
      <c r="D5019" t="s">
        <v>71</v>
      </c>
      <c r="E5019" t="s">
        <v>21</v>
      </c>
      <c r="F5019">
        <v>4</v>
      </c>
      <c r="G5019">
        <v>999</v>
      </c>
      <c r="H5019">
        <v>0.05</v>
      </c>
      <c r="I5019" t="s">
        <v>50</v>
      </c>
      <c r="J5019" t="s">
        <v>22</v>
      </c>
      <c r="K5019" t="s">
        <v>37</v>
      </c>
      <c r="L5019">
        <f>F5018*G5018*(1-H5018)</f>
        <v>13497.300000000001</v>
      </c>
    </row>
    <row r="5020" spans="1:12">
      <c r="A5020" t="s">
        <v>5857</v>
      </c>
      <c r="B5020" s="1">
        <v>46239</v>
      </c>
      <c r="C5020" t="s">
        <v>519</v>
      </c>
      <c r="D5020" t="s">
        <v>43</v>
      </c>
      <c r="E5020" t="s">
        <v>21</v>
      </c>
      <c r="F5020">
        <v>2</v>
      </c>
      <c r="G5020">
        <v>1299</v>
      </c>
      <c r="H5020">
        <v>0.15</v>
      </c>
      <c r="I5020" t="s">
        <v>50</v>
      </c>
      <c r="J5020" t="s">
        <v>51</v>
      </c>
      <c r="K5020" t="s">
        <v>17</v>
      </c>
      <c r="L5020">
        <f>F5019*G5019*(1-H5019)</f>
        <v>3796.2</v>
      </c>
    </row>
    <row r="5021" spans="1:12">
      <c r="A5021" t="s">
        <v>5858</v>
      </c>
      <c r="B5021" s="1">
        <v>46138</v>
      </c>
      <c r="C5021" t="s">
        <v>958</v>
      </c>
      <c r="D5021" t="s">
        <v>56</v>
      </c>
      <c r="E5021" t="s">
        <v>35</v>
      </c>
      <c r="F5021">
        <v>5</v>
      </c>
      <c r="G5021">
        <v>499</v>
      </c>
      <c r="H5021">
        <v>0.05</v>
      </c>
      <c r="I5021" t="s">
        <v>44</v>
      </c>
      <c r="J5021" t="s">
        <v>51</v>
      </c>
      <c r="K5021" t="s">
        <v>17</v>
      </c>
      <c r="L5021">
        <f>F5020*G5020*(1-H5020)</f>
        <v>2208.2999999999997</v>
      </c>
    </row>
    <row r="5022" spans="1:12">
      <c r="A5022" t="s">
        <v>5859</v>
      </c>
      <c r="B5022" s="1">
        <v>46203</v>
      </c>
      <c r="C5022" t="s">
        <v>88</v>
      </c>
      <c r="D5022" t="s">
        <v>56</v>
      </c>
      <c r="E5022" t="s">
        <v>40</v>
      </c>
      <c r="F5022">
        <v>2</v>
      </c>
      <c r="G5022">
        <v>1299</v>
      </c>
      <c r="H5022">
        <v>0</v>
      </c>
      <c r="I5022" t="s">
        <v>44</v>
      </c>
      <c r="J5022" t="s">
        <v>22</v>
      </c>
      <c r="K5022" t="s">
        <v>23</v>
      </c>
      <c r="L5022">
        <f>F5021*G5021*(1-H5021)</f>
        <v>2370.25</v>
      </c>
    </row>
    <row r="5023" spans="1:12">
      <c r="A5023" t="s">
        <v>5860</v>
      </c>
      <c r="B5023" s="1">
        <v>46030</v>
      </c>
      <c r="C5023" t="s">
        <v>1595</v>
      </c>
      <c r="D5023" t="s">
        <v>31</v>
      </c>
      <c r="E5023" t="s">
        <v>40</v>
      </c>
      <c r="F5023">
        <v>2</v>
      </c>
      <c r="G5023">
        <v>2499</v>
      </c>
      <c r="H5023">
        <v>0.05</v>
      </c>
      <c r="I5023" t="s">
        <v>32</v>
      </c>
      <c r="J5023" t="s">
        <v>36</v>
      </c>
      <c r="K5023" t="s">
        <v>17</v>
      </c>
      <c r="L5023">
        <f>F5022*G5022*(1-H5022)</f>
        <v>2598</v>
      </c>
    </row>
    <row r="5024" spans="1:12">
      <c r="A5024" t="s">
        <v>5861</v>
      </c>
      <c r="B5024" s="1">
        <v>46083</v>
      </c>
      <c r="C5024" t="s">
        <v>2353</v>
      </c>
      <c r="D5024" t="s">
        <v>43</v>
      </c>
      <c r="E5024" t="s">
        <v>14</v>
      </c>
      <c r="F5024">
        <v>1</v>
      </c>
      <c r="G5024">
        <v>7999</v>
      </c>
      <c r="H5024">
        <v>0</v>
      </c>
      <c r="I5024" t="s">
        <v>32</v>
      </c>
      <c r="J5024" t="s">
        <v>51</v>
      </c>
      <c r="K5024" t="s">
        <v>23</v>
      </c>
      <c r="L5024">
        <f>F5023*G5023*(1-H5023)</f>
        <v>4748.0999999999995</v>
      </c>
    </row>
    <row r="5025" spans="1:12">
      <c r="A5025" t="s">
        <v>5862</v>
      </c>
      <c r="B5025" s="1">
        <v>46155</v>
      </c>
      <c r="C5025" t="s">
        <v>956</v>
      </c>
      <c r="D5025" t="s">
        <v>20</v>
      </c>
      <c r="E5025" t="s">
        <v>40</v>
      </c>
      <c r="F5025">
        <v>3</v>
      </c>
      <c r="G5025">
        <v>2499</v>
      </c>
      <c r="H5025">
        <v>0.15</v>
      </c>
      <c r="I5025" t="s">
        <v>44</v>
      </c>
      <c r="J5025" t="s">
        <v>51</v>
      </c>
      <c r="K5025" t="s">
        <v>17</v>
      </c>
      <c r="L5025">
        <f>F5024*G5024*(1-H5024)</f>
        <v>7999</v>
      </c>
    </row>
    <row r="5026" spans="1:12">
      <c r="A5026" t="s">
        <v>5863</v>
      </c>
      <c r="B5026" s="1">
        <v>46244</v>
      </c>
      <c r="C5026" t="s">
        <v>2040</v>
      </c>
      <c r="D5026" t="s">
        <v>13</v>
      </c>
      <c r="E5026" t="s">
        <v>35</v>
      </c>
      <c r="F5026">
        <v>1</v>
      </c>
      <c r="G5026">
        <v>2499</v>
      </c>
      <c r="H5026">
        <v>0.1</v>
      </c>
      <c r="I5026" t="s">
        <v>50</v>
      </c>
      <c r="J5026" t="s">
        <v>22</v>
      </c>
      <c r="K5026" t="s">
        <v>23</v>
      </c>
      <c r="L5026">
        <f>F5025*G5025*(1-H5025)</f>
        <v>6372.45</v>
      </c>
    </row>
    <row r="5027" spans="1:12">
      <c r="A5027" t="s">
        <v>5864</v>
      </c>
      <c r="B5027" s="1">
        <v>46247</v>
      </c>
      <c r="C5027" t="s">
        <v>688</v>
      </c>
      <c r="D5027" t="s">
        <v>43</v>
      </c>
      <c r="E5027" t="s">
        <v>40</v>
      </c>
      <c r="F5027">
        <v>1</v>
      </c>
      <c r="G5027">
        <v>599</v>
      </c>
      <c r="H5027">
        <v>0.05</v>
      </c>
      <c r="I5027" t="s">
        <v>47</v>
      </c>
      <c r="J5027" t="s">
        <v>22</v>
      </c>
      <c r="K5027" t="s">
        <v>17</v>
      </c>
      <c r="L5027">
        <f>F5026*G5026*(1-H5026)</f>
        <v>2249.1</v>
      </c>
    </row>
    <row r="5028" spans="1:12">
      <c r="A5028" t="s">
        <v>5865</v>
      </c>
      <c r="B5028" s="1">
        <v>46083</v>
      </c>
      <c r="C5028" t="s">
        <v>3950</v>
      </c>
      <c r="D5028" t="s">
        <v>59</v>
      </c>
      <c r="E5028" t="s">
        <v>35</v>
      </c>
      <c r="F5028">
        <v>5</v>
      </c>
      <c r="G5028">
        <v>599</v>
      </c>
      <c r="H5028">
        <v>0</v>
      </c>
      <c r="I5028" t="s">
        <v>32</v>
      </c>
      <c r="J5028" t="s">
        <v>51</v>
      </c>
      <c r="K5028" t="s">
        <v>17</v>
      </c>
      <c r="L5028">
        <f>F5027*G5027*(1-H5027)</f>
        <v>569.04999999999995</v>
      </c>
    </row>
    <row r="5029" spans="1:12">
      <c r="A5029" t="s">
        <v>5866</v>
      </c>
      <c r="B5029" s="1">
        <v>46197</v>
      </c>
      <c r="C5029" t="s">
        <v>3414</v>
      </c>
      <c r="D5029" t="s">
        <v>62</v>
      </c>
      <c r="E5029" t="s">
        <v>27</v>
      </c>
      <c r="F5029">
        <v>1</v>
      </c>
      <c r="G5029">
        <v>2499</v>
      </c>
      <c r="H5029">
        <v>0</v>
      </c>
      <c r="I5029" t="s">
        <v>15</v>
      </c>
      <c r="J5029" t="s">
        <v>22</v>
      </c>
      <c r="K5029" t="s">
        <v>17</v>
      </c>
      <c r="L5029">
        <f>F5028*G5028*(1-H5028)</f>
        <v>2995</v>
      </c>
    </row>
    <row r="5030" spans="1:12">
      <c r="A5030" t="s">
        <v>5867</v>
      </c>
      <c r="B5030" s="1">
        <v>46182</v>
      </c>
      <c r="C5030" t="s">
        <v>1184</v>
      </c>
      <c r="D5030" t="s">
        <v>20</v>
      </c>
      <c r="E5030" t="s">
        <v>40</v>
      </c>
      <c r="F5030">
        <v>2</v>
      </c>
      <c r="G5030">
        <v>2499</v>
      </c>
      <c r="H5030">
        <v>0.1</v>
      </c>
      <c r="I5030" t="s">
        <v>47</v>
      </c>
      <c r="J5030" t="s">
        <v>28</v>
      </c>
      <c r="K5030" t="s">
        <v>37</v>
      </c>
      <c r="L5030">
        <f>F5029*G5029*(1-H5029)</f>
        <v>2499</v>
      </c>
    </row>
    <row r="5031" spans="1:12">
      <c r="A5031" t="s">
        <v>5868</v>
      </c>
      <c r="B5031" s="1">
        <v>46236</v>
      </c>
      <c r="C5031" t="s">
        <v>1768</v>
      </c>
      <c r="D5031" t="s">
        <v>31</v>
      </c>
      <c r="E5031" t="s">
        <v>21</v>
      </c>
      <c r="F5031">
        <v>1</v>
      </c>
      <c r="G5031">
        <v>799</v>
      </c>
      <c r="H5031">
        <v>0.15</v>
      </c>
      <c r="I5031" t="s">
        <v>50</v>
      </c>
      <c r="J5031" t="s">
        <v>16</v>
      </c>
      <c r="K5031" t="s">
        <v>23</v>
      </c>
      <c r="L5031">
        <f>F5030*G5030*(1-H5030)</f>
        <v>4498.2</v>
      </c>
    </row>
    <row r="5032" spans="1:12">
      <c r="A5032" t="s">
        <v>5869</v>
      </c>
      <c r="B5032" s="1">
        <v>46265</v>
      </c>
      <c r="C5032" t="s">
        <v>741</v>
      </c>
      <c r="D5032" t="s">
        <v>59</v>
      </c>
      <c r="E5032" t="s">
        <v>27</v>
      </c>
      <c r="F5032">
        <v>5</v>
      </c>
      <c r="G5032">
        <v>2499</v>
      </c>
      <c r="H5032">
        <v>0.15</v>
      </c>
      <c r="I5032" t="s">
        <v>50</v>
      </c>
      <c r="J5032" t="s">
        <v>16</v>
      </c>
      <c r="K5032" t="s">
        <v>17</v>
      </c>
      <c r="L5032">
        <f>F5031*G5031*(1-H5031)</f>
        <v>679.15</v>
      </c>
    </row>
    <row r="5033" spans="1:12">
      <c r="A5033" t="s">
        <v>5870</v>
      </c>
      <c r="B5033" s="1">
        <v>46277</v>
      </c>
      <c r="C5033" t="s">
        <v>2403</v>
      </c>
      <c r="D5033" t="s">
        <v>71</v>
      </c>
      <c r="E5033" t="s">
        <v>21</v>
      </c>
      <c r="F5033">
        <v>2</v>
      </c>
      <c r="G5033">
        <v>1499</v>
      </c>
      <c r="H5033">
        <v>0.15</v>
      </c>
      <c r="I5033" t="s">
        <v>15</v>
      </c>
      <c r="J5033" t="s">
        <v>16</v>
      </c>
      <c r="K5033" t="s">
        <v>37</v>
      </c>
      <c r="L5033">
        <f>F5032*G5032*(1-H5032)</f>
        <v>10620.75</v>
      </c>
    </row>
    <row r="5034" spans="1:12">
      <c r="A5034" t="s">
        <v>5871</v>
      </c>
      <c r="B5034" s="1">
        <v>46173</v>
      </c>
      <c r="C5034" t="s">
        <v>1675</v>
      </c>
      <c r="D5034" t="s">
        <v>62</v>
      </c>
      <c r="E5034" t="s">
        <v>35</v>
      </c>
      <c r="F5034">
        <v>2</v>
      </c>
      <c r="G5034">
        <v>1499</v>
      </c>
      <c r="H5034">
        <v>0.05</v>
      </c>
      <c r="I5034" t="s">
        <v>15</v>
      </c>
      <c r="J5034" t="s">
        <v>16</v>
      </c>
      <c r="K5034" t="s">
        <v>17</v>
      </c>
      <c r="L5034">
        <f>F5033*G5033*(1-H5033)</f>
        <v>2548.2999999999997</v>
      </c>
    </row>
    <row r="5035" spans="1:12">
      <c r="A5035" t="s">
        <v>5872</v>
      </c>
      <c r="B5035" s="1">
        <v>46192</v>
      </c>
      <c r="C5035" t="s">
        <v>1154</v>
      </c>
      <c r="D5035" t="s">
        <v>26</v>
      </c>
      <c r="E5035" t="s">
        <v>21</v>
      </c>
      <c r="F5035">
        <v>1</v>
      </c>
      <c r="G5035">
        <v>2499</v>
      </c>
      <c r="H5035">
        <v>0.15</v>
      </c>
      <c r="I5035" t="s">
        <v>47</v>
      </c>
      <c r="J5035" t="s">
        <v>16</v>
      </c>
      <c r="K5035" t="s">
        <v>17</v>
      </c>
      <c r="L5035">
        <f>F5034*G5034*(1-H5034)</f>
        <v>2848.1</v>
      </c>
    </row>
    <row r="5036" spans="1:12">
      <c r="A5036" t="s">
        <v>5873</v>
      </c>
      <c r="B5036" s="1">
        <v>46191</v>
      </c>
      <c r="C5036" t="s">
        <v>1173</v>
      </c>
      <c r="D5036" t="s">
        <v>62</v>
      </c>
      <c r="E5036" t="s">
        <v>14</v>
      </c>
      <c r="F5036">
        <v>3</v>
      </c>
      <c r="G5036">
        <v>1299</v>
      </c>
      <c r="H5036">
        <v>0</v>
      </c>
      <c r="I5036" t="s">
        <v>15</v>
      </c>
      <c r="J5036" t="s">
        <v>51</v>
      </c>
      <c r="K5036" t="s">
        <v>17</v>
      </c>
      <c r="L5036">
        <f>F5035*G5035*(1-H5035)</f>
        <v>2124.15</v>
      </c>
    </row>
    <row r="5037" spans="1:12">
      <c r="A5037" t="s">
        <v>5874</v>
      </c>
      <c r="B5037" s="1">
        <v>46206</v>
      </c>
      <c r="C5037" t="s">
        <v>102</v>
      </c>
      <c r="D5037" t="s">
        <v>59</v>
      </c>
      <c r="E5037" t="s">
        <v>35</v>
      </c>
      <c r="F5037">
        <v>5</v>
      </c>
      <c r="G5037">
        <v>599</v>
      </c>
      <c r="H5037">
        <v>0.15</v>
      </c>
      <c r="I5037" t="s">
        <v>44</v>
      </c>
      <c r="J5037" t="s">
        <v>28</v>
      </c>
      <c r="K5037" t="s">
        <v>23</v>
      </c>
      <c r="L5037">
        <f>F5036*G5036*(1-H5036)</f>
        <v>3897</v>
      </c>
    </row>
    <row r="5038" spans="1:12">
      <c r="A5038" t="s">
        <v>5875</v>
      </c>
      <c r="B5038" s="1">
        <v>46187</v>
      </c>
      <c r="C5038" t="s">
        <v>534</v>
      </c>
      <c r="D5038" t="s">
        <v>26</v>
      </c>
      <c r="E5038" t="s">
        <v>35</v>
      </c>
      <c r="F5038">
        <v>2</v>
      </c>
      <c r="G5038">
        <v>1999</v>
      </c>
      <c r="H5038">
        <v>0.05</v>
      </c>
      <c r="I5038" t="s">
        <v>44</v>
      </c>
      <c r="J5038" t="s">
        <v>22</v>
      </c>
      <c r="K5038" t="s">
        <v>17</v>
      </c>
      <c r="L5038">
        <f>F5037*G5037*(1-H5037)</f>
        <v>2545.75</v>
      </c>
    </row>
    <row r="5039" spans="1:12">
      <c r="A5039" t="s">
        <v>5876</v>
      </c>
      <c r="B5039" s="1">
        <v>46114</v>
      </c>
      <c r="C5039" t="s">
        <v>539</v>
      </c>
      <c r="D5039" t="s">
        <v>71</v>
      </c>
      <c r="E5039" t="s">
        <v>21</v>
      </c>
      <c r="F5039">
        <v>4</v>
      </c>
      <c r="G5039">
        <v>7999</v>
      </c>
      <c r="H5039">
        <v>0</v>
      </c>
      <c r="I5039" t="s">
        <v>50</v>
      </c>
      <c r="J5039" t="s">
        <v>22</v>
      </c>
      <c r="K5039" t="s">
        <v>17</v>
      </c>
      <c r="L5039">
        <f>F5038*G5038*(1-H5038)</f>
        <v>3798.1</v>
      </c>
    </row>
    <row r="5040" spans="1:12">
      <c r="A5040" t="s">
        <v>5877</v>
      </c>
      <c r="B5040" s="1">
        <v>46067</v>
      </c>
      <c r="C5040" t="s">
        <v>720</v>
      </c>
      <c r="D5040" t="s">
        <v>20</v>
      </c>
      <c r="E5040" t="s">
        <v>35</v>
      </c>
      <c r="F5040">
        <v>2</v>
      </c>
      <c r="G5040">
        <v>7999</v>
      </c>
      <c r="H5040">
        <v>0.05</v>
      </c>
      <c r="I5040" t="s">
        <v>15</v>
      </c>
      <c r="J5040" t="s">
        <v>16</v>
      </c>
      <c r="K5040" t="s">
        <v>23</v>
      </c>
      <c r="L5040">
        <f>F5039*G5039*(1-H5039)</f>
        <v>31996</v>
      </c>
    </row>
    <row r="5041" spans="1:12">
      <c r="A5041" t="s">
        <v>5878</v>
      </c>
      <c r="B5041" s="1">
        <v>46037</v>
      </c>
      <c r="C5041" t="s">
        <v>100</v>
      </c>
      <c r="D5041" t="s">
        <v>31</v>
      </c>
      <c r="E5041" t="s">
        <v>21</v>
      </c>
      <c r="F5041">
        <v>5</v>
      </c>
      <c r="G5041">
        <v>1299</v>
      </c>
      <c r="H5041">
        <v>0</v>
      </c>
      <c r="I5041" t="s">
        <v>44</v>
      </c>
      <c r="J5041" t="s">
        <v>22</v>
      </c>
      <c r="K5041" t="s">
        <v>17</v>
      </c>
      <c r="L5041">
        <f>F5040*G5040*(1-H5040)</f>
        <v>15198.099999999999</v>
      </c>
    </row>
    <row r="5042" spans="1:12">
      <c r="A5042" t="s">
        <v>5879</v>
      </c>
      <c r="B5042" s="1">
        <v>46246</v>
      </c>
      <c r="C5042" t="s">
        <v>974</v>
      </c>
      <c r="D5042" t="s">
        <v>26</v>
      </c>
      <c r="E5042" t="s">
        <v>40</v>
      </c>
      <c r="F5042">
        <v>4</v>
      </c>
      <c r="G5042">
        <v>1999</v>
      </c>
      <c r="H5042">
        <v>0</v>
      </c>
      <c r="I5042" t="s">
        <v>47</v>
      </c>
      <c r="J5042" t="s">
        <v>28</v>
      </c>
      <c r="K5042" t="s">
        <v>23</v>
      </c>
      <c r="L5042">
        <f>F5041*G5041*(1-H5041)</f>
        <v>6495</v>
      </c>
    </row>
    <row r="5043" spans="1:12">
      <c r="A5043" t="s">
        <v>5880</v>
      </c>
      <c r="B5043" s="1">
        <v>46092</v>
      </c>
      <c r="C5043" t="s">
        <v>541</v>
      </c>
      <c r="D5043" t="s">
        <v>43</v>
      </c>
      <c r="E5043" t="s">
        <v>35</v>
      </c>
      <c r="F5043">
        <v>1</v>
      </c>
      <c r="G5043">
        <v>599</v>
      </c>
      <c r="H5043">
        <v>0.1</v>
      </c>
      <c r="I5043" t="s">
        <v>47</v>
      </c>
      <c r="J5043" t="s">
        <v>16</v>
      </c>
      <c r="K5043" t="s">
        <v>17</v>
      </c>
      <c r="L5043">
        <f>F5042*G5042*(1-H5042)</f>
        <v>7996</v>
      </c>
    </row>
    <row r="5044" spans="1:12">
      <c r="A5044" t="s">
        <v>5881</v>
      </c>
      <c r="B5044" s="1">
        <v>46186</v>
      </c>
      <c r="C5044" t="s">
        <v>1393</v>
      </c>
      <c r="D5044" t="s">
        <v>56</v>
      </c>
      <c r="E5044" t="s">
        <v>35</v>
      </c>
      <c r="F5044">
        <v>2</v>
      </c>
      <c r="G5044">
        <v>1999</v>
      </c>
      <c r="H5044">
        <v>0.05</v>
      </c>
      <c r="I5044" t="s">
        <v>32</v>
      </c>
      <c r="J5044" t="s">
        <v>36</v>
      </c>
      <c r="K5044" t="s">
        <v>17</v>
      </c>
      <c r="L5044">
        <f>F5043*G5043*(1-H5043)</f>
        <v>539.1</v>
      </c>
    </row>
    <row r="5045" spans="1:12">
      <c r="A5045" t="s">
        <v>5882</v>
      </c>
      <c r="B5045" s="1">
        <v>46160</v>
      </c>
      <c r="C5045" t="s">
        <v>2303</v>
      </c>
      <c r="D5045" t="s">
        <v>13</v>
      </c>
      <c r="E5045" t="s">
        <v>14</v>
      </c>
      <c r="F5045">
        <v>5</v>
      </c>
      <c r="G5045">
        <v>7999</v>
      </c>
      <c r="H5045">
        <v>0</v>
      </c>
      <c r="I5045" t="s">
        <v>47</v>
      </c>
      <c r="J5045" t="s">
        <v>22</v>
      </c>
      <c r="K5045" t="s">
        <v>23</v>
      </c>
      <c r="L5045">
        <f>F5044*G5044*(1-H5044)</f>
        <v>3798.1</v>
      </c>
    </row>
    <row r="5046" spans="1:12">
      <c r="A5046" t="s">
        <v>5883</v>
      </c>
      <c r="B5046" s="1">
        <v>46194</v>
      </c>
      <c r="C5046" t="s">
        <v>2251</v>
      </c>
      <c r="D5046" t="s">
        <v>20</v>
      </c>
      <c r="E5046" t="s">
        <v>14</v>
      </c>
      <c r="F5046">
        <v>1</v>
      </c>
      <c r="G5046">
        <v>7999</v>
      </c>
      <c r="H5046">
        <v>0.05</v>
      </c>
      <c r="I5046" t="s">
        <v>15</v>
      </c>
      <c r="J5046" t="s">
        <v>28</v>
      </c>
      <c r="K5046" t="s">
        <v>17</v>
      </c>
      <c r="L5046">
        <f>F5045*G5045*(1-H5045)</f>
        <v>39995</v>
      </c>
    </row>
    <row r="5047" spans="1:12">
      <c r="A5047" t="s">
        <v>5884</v>
      </c>
      <c r="B5047" s="1">
        <v>46042</v>
      </c>
      <c r="C5047" t="s">
        <v>1040</v>
      </c>
      <c r="D5047" t="s">
        <v>62</v>
      </c>
      <c r="E5047" t="s">
        <v>14</v>
      </c>
      <c r="F5047">
        <v>2</v>
      </c>
      <c r="G5047">
        <v>499</v>
      </c>
      <c r="H5047">
        <v>0.15</v>
      </c>
      <c r="I5047" t="s">
        <v>32</v>
      </c>
      <c r="J5047" t="s">
        <v>36</v>
      </c>
      <c r="K5047" t="s">
        <v>17</v>
      </c>
      <c r="L5047">
        <f>F5046*G5046*(1-H5046)</f>
        <v>7599.0499999999993</v>
      </c>
    </row>
    <row r="5048" spans="1:12">
      <c r="A5048" t="s">
        <v>5885</v>
      </c>
      <c r="B5048" s="1">
        <v>46280</v>
      </c>
      <c r="C5048" t="s">
        <v>2562</v>
      </c>
      <c r="D5048" t="s">
        <v>62</v>
      </c>
      <c r="E5048" t="s">
        <v>40</v>
      </c>
      <c r="F5048">
        <v>4</v>
      </c>
      <c r="G5048">
        <v>2499</v>
      </c>
      <c r="H5048">
        <v>0.15</v>
      </c>
      <c r="I5048" t="s">
        <v>50</v>
      </c>
      <c r="J5048" t="s">
        <v>16</v>
      </c>
      <c r="K5048" t="s">
        <v>17</v>
      </c>
      <c r="L5048">
        <f>F5047*G5047*(1-H5047)</f>
        <v>848.3</v>
      </c>
    </row>
    <row r="5049" spans="1:12">
      <c r="A5049" t="s">
        <v>5886</v>
      </c>
      <c r="B5049" s="1">
        <v>46164</v>
      </c>
      <c r="C5049" t="s">
        <v>345</v>
      </c>
      <c r="D5049" t="s">
        <v>13</v>
      </c>
      <c r="E5049" t="s">
        <v>21</v>
      </c>
      <c r="F5049">
        <v>5</v>
      </c>
      <c r="G5049">
        <v>1999</v>
      </c>
      <c r="H5049">
        <v>0.05</v>
      </c>
      <c r="I5049" t="s">
        <v>15</v>
      </c>
      <c r="J5049" t="s">
        <v>22</v>
      </c>
      <c r="K5049" t="s">
        <v>37</v>
      </c>
      <c r="L5049">
        <f>F5048*G5048*(1-H5048)</f>
        <v>8496.6</v>
      </c>
    </row>
    <row r="5050" spans="1:12">
      <c r="A5050" t="s">
        <v>5887</v>
      </c>
      <c r="B5050" s="1">
        <v>46194</v>
      </c>
      <c r="C5050" t="s">
        <v>2205</v>
      </c>
      <c r="D5050" t="s">
        <v>26</v>
      </c>
      <c r="E5050" t="s">
        <v>21</v>
      </c>
      <c r="F5050">
        <v>4</v>
      </c>
      <c r="G5050">
        <v>1999</v>
      </c>
      <c r="H5050">
        <v>0</v>
      </c>
      <c r="I5050" t="s">
        <v>50</v>
      </c>
      <c r="J5050" t="s">
        <v>36</v>
      </c>
      <c r="K5050" t="s">
        <v>23</v>
      </c>
      <c r="L5050">
        <f>F5049*G5049*(1-H5049)</f>
        <v>9495.25</v>
      </c>
    </row>
    <row r="5051" spans="1:12">
      <c r="A5051" t="s">
        <v>5888</v>
      </c>
      <c r="B5051" s="1">
        <v>46217</v>
      </c>
      <c r="C5051" t="s">
        <v>1203</v>
      </c>
      <c r="D5051" t="s">
        <v>26</v>
      </c>
      <c r="E5051" t="s">
        <v>35</v>
      </c>
      <c r="F5051">
        <v>1</v>
      </c>
      <c r="G5051">
        <v>7999</v>
      </c>
      <c r="H5051">
        <v>0.05</v>
      </c>
      <c r="I5051" t="s">
        <v>32</v>
      </c>
      <c r="J5051" t="s">
        <v>22</v>
      </c>
      <c r="K5051" t="s">
        <v>17</v>
      </c>
      <c r="L5051">
        <f>F5050*G5050*(1-H5050)</f>
        <v>7996</v>
      </c>
    </row>
    <row r="5052" spans="1:12">
      <c r="A5052" t="s">
        <v>5889</v>
      </c>
      <c r="B5052" s="1">
        <v>46034</v>
      </c>
      <c r="C5052" t="s">
        <v>421</v>
      </c>
      <c r="D5052" t="s">
        <v>62</v>
      </c>
      <c r="E5052" t="s">
        <v>14</v>
      </c>
      <c r="F5052">
        <v>1</v>
      </c>
      <c r="G5052">
        <v>2499</v>
      </c>
      <c r="H5052">
        <v>0.05</v>
      </c>
      <c r="I5052" t="s">
        <v>44</v>
      </c>
      <c r="J5052" t="s">
        <v>16</v>
      </c>
      <c r="K5052" t="s">
        <v>17</v>
      </c>
      <c r="L5052">
        <f>F5051*G5051*(1-H5051)</f>
        <v>7599.0499999999993</v>
      </c>
    </row>
    <row r="5053" spans="1:12">
      <c r="A5053" t="s">
        <v>5890</v>
      </c>
      <c r="B5053" s="1">
        <v>46113</v>
      </c>
      <c r="C5053" t="s">
        <v>1363</v>
      </c>
      <c r="D5053" t="s">
        <v>56</v>
      </c>
      <c r="E5053" t="s">
        <v>27</v>
      </c>
      <c r="F5053">
        <v>2</v>
      </c>
      <c r="G5053">
        <v>1999</v>
      </c>
      <c r="H5053">
        <v>0.05</v>
      </c>
      <c r="I5053" t="s">
        <v>15</v>
      </c>
      <c r="J5053" t="s">
        <v>28</v>
      </c>
      <c r="K5053" t="s">
        <v>17</v>
      </c>
      <c r="L5053">
        <f>F5052*G5052*(1-H5052)</f>
        <v>2374.0499999999997</v>
      </c>
    </row>
    <row r="5054" spans="1:12">
      <c r="A5054" t="s">
        <v>5891</v>
      </c>
      <c r="B5054" s="1">
        <v>46215</v>
      </c>
      <c r="C5054" t="s">
        <v>536</v>
      </c>
      <c r="D5054" t="s">
        <v>59</v>
      </c>
      <c r="E5054" t="s">
        <v>40</v>
      </c>
      <c r="F5054">
        <v>1</v>
      </c>
      <c r="G5054">
        <v>4999</v>
      </c>
      <c r="H5054">
        <v>0.15</v>
      </c>
      <c r="I5054" t="s">
        <v>50</v>
      </c>
      <c r="J5054" t="s">
        <v>51</v>
      </c>
      <c r="K5054" t="s">
        <v>23</v>
      </c>
      <c r="L5054">
        <f>F5053*G5053*(1-H5053)</f>
        <v>3798.1</v>
      </c>
    </row>
    <row r="5055" spans="1:12">
      <c r="A5055" t="s">
        <v>5892</v>
      </c>
      <c r="B5055" s="1">
        <v>46228</v>
      </c>
      <c r="C5055" t="s">
        <v>2251</v>
      </c>
      <c r="D5055" t="s">
        <v>56</v>
      </c>
      <c r="E5055" t="s">
        <v>40</v>
      </c>
      <c r="F5055">
        <v>4</v>
      </c>
      <c r="G5055">
        <v>7999</v>
      </c>
      <c r="H5055">
        <v>0.05</v>
      </c>
      <c r="I5055" t="s">
        <v>44</v>
      </c>
      <c r="J5055" t="s">
        <v>36</v>
      </c>
      <c r="K5055" t="s">
        <v>23</v>
      </c>
      <c r="L5055">
        <f>F5054*G5054*(1-H5054)</f>
        <v>4249.1499999999996</v>
      </c>
    </row>
    <row r="5056" spans="1:12">
      <c r="A5056" t="s">
        <v>5893</v>
      </c>
      <c r="B5056" s="1">
        <v>46151</v>
      </c>
      <c r="C5056" t="s">
        <v>729</v>
      </c>
      <c r="D5056" t="s">
        <v>62</v>
      </c>
      <c r="E5056" t="s">
        <v>35</v>
      </c>
      <c r="F5056">
        <v>1</v>
      </c>
      <c r="G5056">
        <v>1299</v>
      </c>
      <c r="H5056">
        <v>0</v>
      </c>
      <c r="I5056" t="s">
        <v>47</v>
      </c>
      <c r="J5056" t="s">
        <v>22</v>
      </c>
      <c r="K5056" t="s">
        <v>23</v>
      </c>
      <c r="L5056">
        <f>F5055*G5055*(1-H5055)</f>
        <v>30396.199999999997</v>
      </c>
    </row>
    <row r="5057" spans="1:12">
      <c r="A5057" t="s">
        <v>5894</v>
      </c>
      <c r="B5057" s="1">
        <v>46147</v>
      </c>
      <c r="C5057" t="s">
        <v>4179</v>
      </c>
      <c r="D5057" t="s">
        <v>56</v>
      </c>
      <c r="E5057" t="s">
        <v>35</v>
      </c>
      <c r="F5057">
        <v>3</v>
      </c>
      <c r="G5057">
        <v>2499</v>
      </c>
      <c r="H5057">
        <v>0.15</v>
      </c>
      <c r="I5057" t="s">
        <v>50</v>
      </c>
      <c r="J5057" t="s">
        <v>36</v>
      </c>
      <c r="K5057" t="s">
        <v>23</v>
      </c>
      <c r="L5057">
        <f>F5056*G5056*(1-H5056)</f>
        <v>1299</v>
      </c>
    </row>
    <row r="5058" spans="1:12">
      <c r="A5058" t="s">
        <v>5895</v>
      </c>
      <c r="B5058" s="1">
        <v>46037</v>
      </c>
      <c r="C5058" t="s">
        <v>437</v>
      </c>
      <c r="D5058" t="s">
        <v>56</v>
      </c>
      <c r="E5058" t="s">
        <v>27</v>
      </c>
      <c r="F5058">
        <v>2</v>
      </c>
      <c r="G5058">
        <v>499</v>
      </c>
      <c r="H5058">
        <v>0.05</v>
      </c>
      <c r="I5058" t="s">
        <v>50</v>
      </c>
      <c r="J5058" t="s">
        <v>28</v>
      </c>
      <c r="K5058" t="s">
        <v>17</v>
      </c>
      <c r="L5058">
        <f>F5057*G5057*(1-H5057)</f>
        <v>6372.45</v>
      </c>
    </row>
    <row r="5059" spans="1:12">
      <c r="A5059" t="s">
        <v>5896</v>
      </c>
      <c r="B5059" s="1">
        <v>46185</v>
      </c>
      <c r="C5059" t="s">
        <v>378</v>
      </c>
      <c r="D5059" t="s">
        <v>56</v>
      </c>
      <c r="E5059" t="s">
        <v>40</v>
      </c>
      <c r="F5059">
        <v>1</v>
      </c>
      <c r="G5059">
        <v>999</v>
      </c>
      <c r="H5059">
        <v>0.05</v>
      </c>
      <c r="I5059" t="s">
        <v>32</v>
      </c>
      <c r="J5059" t="s">
        <v>16</v>
      </c>
      <c r="K5059" t="s">
        <v>17</v>
      </c>
      <c r="L5059">
        <f>F5058*G5058*(1-H5058)</f>
        <v>948.09999999999991</v>
      </c>
    </row>
    <row r="5060" spans="1:12">
      <c r="A5060" t="s">
        <v>5897</v>
      </c>
      <c r="B5060" s="1">
        <v>46218</v>
      </c>
      <c r="C5060" t="s">
        <v>189</v>
      </c>
      <c r="D5060" t="s">
        <v>13</v>
      </c>
      <c r="E5060" t="s">
        <v>40</v>
      </c>
      <c r="F5060">
        <v>2</v>
      </c>
      <c r="G5060">
        <v>1299</v>
      </c>
      <c r="H5060">
        <v>0.1</v>
      </c>
      <c r="I5060" t="s">
        <v>47</v>
      </c>
      <c r="J5060" t="s">
        <v>28</v>
      </c>
      <c r="K5060" t="s">
        <v>17</v>
      </c>
      <c r="L5060">
        <f>F5059*G5059*(1-H5059)</f>
        <v>949.05</v>
      </c>
    </row>
    <row r="5061" spans="1:12">
      <c r="A5061" t="s">
        <v>5898</v>
      </c>
      <c r="B5061" s="1">
        <v>46277</v>
      </c>
      <c r="C5061" t="s">
        <v>560</v>
      </c>
      <c r="D5061" t="s">
        <v>78</v>
      </c>
      <c r="E5061" t="s">
        <v>35</v>
      </c>
      <c r="F5061">
        <v>4</v>
      </c>
      <c r="G5061">
        <v>599</v>
      </c>
      <c r="H5061">
        <v>0</v>
      </c>
      <c r="I5061" t="s">
        <v>44</v>
      </c>
      <c r="J5061" t="s">
        <v>22</v>
      </c>
      <c r="K5061" t="s">
        <v>17</v>
      </c>
      <c r="L5061">
        <f>F5060*G5060*(1-H5060)</f>
        <v>2338.2000000000003</v>
      </c>
    </row>
    <row r="5062" spans="1:12">
      <c r="A5062" t="s">
        <v>5899</v>
      </c>
      <c r="B5062" s="1">
        <v>46077</v>
      </c>
      <c r="C5062" t="s">
        <v>213</v>
      </c>
      <c r="D5062" t="s">
        <v>20</v>
      </c>
      <c r="E5062" t="s">
        <v>40</v>
      </c>
      <c r="F5062">
        <v>2</v>
      </c>
      <c r="G5062">
        <v>799</v>
      </c>
      <c r="H5062">
        <v>0</v>
      </c>
      <c r="I5062" t="s">
        <v>32</v>
      </c>
      <c r="J5062" t="s">
        <v>22</v>
      </c>
      <c r="K5062" t="s">
        <v>17</v>
      </c>
      <c r="L5062">
        <f>F5061*G5061*(1-H5061)</f>
        <v>2396</v>
      </c>
    </row>
    <row r="5063" spans="1:12">
      <c r="A5063" t="s">
        <v>5900</v>
      </c>
      <c r="B5063" s="1">
        <v>46187</v>
      </c>
      <c r="C5063" t="s">
        <v>1171</v>
      </c>
      <c r="D5063" t="s">
        <v>56</v>
      </c>
      <c r="E5063" t="s">
        <v>40</v>
      </c>
      <c r="F5063">
        <v>5</v>
      </c>
      <c r="G5063">
        <v>999</v>
      </c>
      <c r="H5063">
        <v>0.15</v>
      </c>
      <c r="I5063" t="s">
        <v>47</v>
      </c>
      <c r="J5063" t="s">
        <v>22</v>
      </c>
      <c r="K5063" t="s">
        <v>17</v>
      </c>
      <c r="L5063">
        <f>F5062*G5062*(1-H5062)</f>
        <v>1598</v>
      </c>
    </row>
    <row r="5064" spans="1:12">
      <c r="A5064" t="s">
        <v>5901</v>
      </c>
      <c r="B5064" s="1">
        <v>46281</v>
      </c>
      <c r="C5064" t="s">
        <v>2571</v>
      </c>
      <c r="D5064" t="s">
        <v>31</v>
      </c>
      <c r="E5064" t="s">
        <v>14</v>
      </c>
      <c r="F5064">
        <v>4</v>
      </c>
      <c r="G5064">
        <v>499</v>
      </c>
      <c r="H5064">
        <v>0.05</v>
      </c>
      <c r="I5064" t="s">
        <v>44</v>
      </c>
      <c r="J5064" t="s">
        <v>22</v>
      </c>
      <c r="K5064" t="s">
        <v>17</v>
      </c>
      <c r="L5064">
        <f>F5063*G5063*(1-H5063)</f>
        <v>4245.75</v>
      </c>
    </row>
    <row r="5065" spans="1:12">
      <c r="A5065" t="s">
        <v>5902</v>
      </c>
      <c r="B5065" s="1">
        <v>46105</v>
      </c>
      <c r="C5065" t="s">
        <v>1497</v>
      </c>
      <c r="D5065" t="s">
        <v>62</v>
      </c>
      <c r="E5065" t="s">
        <v>35</v>
      </c>
      <c r="F5065">
        <v>1</v>
      </c>
      <c r="G5065">
        <v>4999</v>
      </c>
      <c r="H5065">
        <v>0</v>
      </c>
      <c r="I5065" t="s">
        <v>50</v>
      </c>
      <c r="J5065" t="s">
        <v>51</v>
      </c>
      <c r="K5065" t="s">
        <v>23</v>
      </c>
      <c r="L5065">
        <f>F5064*G5064*(1-H5064)</f>
        <v>1896.1999999999998</v>
      </c>
    </row>
    <row r="5066" spans="1:12">
      <c r="A5066" t="s">
        <v>5903</v>
      </c>
      <c r="B5066" s="1">
        <v>46054</v>
      </c>
      <c r="C5066" t="s">
        <v>1768</v>
      </c>
      <c r="D5066" t="s">
        <v>13</v>
      </c>
      <c r="E5066" t="s">
        <v>35</v>
      </c>
      <c r="F5066">
        <v>3</v>
      </c>
      <c r="G5066">
        <v>4999</v>
      </c>
      <c r="H5066">
        <v>0.15</v>
      </c>
      <c r="I5066" t="s">
        <v>44</v>
      </c>
      <c r="J5066" t="s">
        <v>16</v>
      </c>
      <c r="K5066" t="s">
        <v>23</v>
      </c>
      <c r="L5066">
        <f>F5065*G5065*(1-H5065)</f>
        <v>4999</v>
      </c>
    </row>
    <row r="5067" spans="1:12">
      <c r="A5067" t="s">
        <v>5904</v>
      </c>
      <c r="B5067" s="1">
        <v>46127</v>
      </c>
      <c r="C5067" t="s">
        <v>1194</v>
      </c>
      <c r="D5067" t="s">
        <v>31</v>
      </c>
      <c r="E5067" t="s">
        <v>27</v>
      </c>
      <c r="F5067">
        <v>1</v>
      </c>
      <c r="G5067">
        <v>4999</v>
      </c>
      <c r="H5067">
        <v>0.05</v>
      </c>
      <c r="I5067" t="s">
        <v>15</v>
      </c>
      <c r="J5067" t="s">
        <v>36</v>
      </c>
      <c r="K5067" t="s">
        <v>37</v>
      </c>
      <c r="L5067">
        <f>F5066*G5066*(1-H5066)</f>
        <v>12747.449999999999</v>
      </c>
    </row>
    <row r="5068" spans="1:12">
      <c r="A5068" t="s">
        <v>5905</v>
      </c>
      <c r="B5068" s="1">
        <v>46027</v>
      </c>
      <c r="C5068" t="s">
        <v>979</v>
      </c>
      <c r="D5068" t="s">
        <v>13</v>
      </c>
      <c r="E5068" t="s">
        <v>27</v>
      </c>
      <c r="F5068">
        <v>1</v>
      </c>
      <c r="G5068">
        <v>799</v>
      </c>
      <c r="H5068">
        <v>0.1</v>
      </c>
      <c r="I5068" t="s">
        <v>47</v>
      </c>
      <c r="J5068" t="s">
        <v>28</v>
      </c>
      <c r="K5068" t="s">
        <v>23</v>
      </c>
      <c r="L5068">
        <f>F5067*G5067*(1-H5067)</f>
        <v>4749.05</v>
      </c>
    </row>
    <row r="5069" spans="1:12">
      <c r="A5069" t="s">
        <v>5906</v>
      </c>
      <c r="B5069" s="1">
        <v>46288</v>
      </c>
      <c r="C5069" t="s">
        <v>1196</v>
      </c>
      <c r="D5069" t="s">
        <v>26</v>
      </c>
      <c r="E5069" t="s">
        <v>21</v>
      </c>
      <c r="F5069">
        <v>4</v>
      </c>
      <c r="G5069">
        <v>7999</v>
      </c>
      <c r="H5069">
        <v>0</v>
      </c>
      <c r="I5069" t="s">
        <v>44</v>
      </c>
      <c r="J5069" t="s">
        <v>16</v>
      </c>
      <c r="K5069" t="s">
        <v>17</v>
      </c>
      <c r="L5069">
        <f>F5068*G5068*(1-H5068)</f>
        <v>719.1</v>
      </c>
    </row>
    <row r="5070" spans="1:12">
      <c r="A5070" t="s">
        <v>5907</v>
      </c>
      <c r="B5070" s="1">
        <v>46090</v>
      </c>
      <c r="C5070" t="s">
        <v>376</v>
      </c>
      <c r="D5070" t="s">
        <v>78</v>
      </c>
      <c r="E5070" t="s">
        <v>40</v>
      </c>
      <c r="F5070">
        <v>5</v>
      </c>
      <c r="G5070">
        <v>499</v>
      </c>
      <c r="H5070">
        <v>0.15</v>
      </c>
      <c r="I5070" t="s">
        <v>50</v>
      </c>
      <c r="J5070" t="s">
        <v>51</v>
      </c>
      <c r="K5070" t="s">
        <v>37</v>
      </c>
      <c r="L5070">
        <f>F5069*G5069*(1-H5069)</f>
        <v>31996</v>
      </c>
    </row>
    <row r="5071" spans="1:12">
      <c r="A5071" t="s">
        <v>5908</v>
      </c>
      <c r="B5071" s="1">
        <v>46119</v>
      </c>
      <c r="C5071" t="s">
        <v>496</v>
      </c>
      <c r="D5071" t="s">
        <v>26</v>
      </c>
      <c r="E5071" t="s">
        <v>35</v>
      </c>
      <c r="F5071">
        <v>1</v>
      </c>
      <c r="G5071">
        <v>799</v>
      </c>
      <c r="H5071">
        <v>0</v>
      </c>
      <c r="I5071" t="s">
        <v>32</v>
      </c>
      <c r="J5071" t="s">
        <v>22</v>
      </c>
      <c r="K5071" t="s">
        <v>17</v>
      </c>
      <c r="L5071">
        <f>F5070*G5070*(1-H5070)</f>
        <v>2120.75</v>
      </c>
    </row>
    <row r="5072" spans="1:12">
      <c r="A5072" t="s">
        <v>5909</v>
      </c>
      <c r="B5072" s="1">
        <v>46255</v>
      </c>
      <c r="C5072" t="s">
        <v>567</v>
      </c>
      <c r="D5072" t="s">
        <v>31</v>
      </c>
      <c r="E5072" t="s">
        <v>27</v>
      </c>
      <c r="F5072">
        <v>3</v>
      </c>
      <c r="G5072">
        <v>2499</v>
      </c>
      <c r="H5072">
        <v>0.05</v>
      </c>
      <c r="I5072" t="s">
        <v>47</v>
      </c>
      <c r="J5072" t="s">
        <v>22</v>
      </c>
      <c r="K5072" t="s">
        <v>17</v>
      </c>
      <c r="L5072">
        <f>F5071*G5071*(1-H5071)</f>
        <v>799</v>
      </c>
    </row>
    <row r="5073" spans="1:12">
      <c r="A5073" t="s">
        <v>5910</v>
      </c>
      <c r="B5073" s="1">
        <v>46155</v>
      </c>
      <c r="C5073" t="s">
        <v>921</v>
      </c>
      <c r="D5073" t="s">
        <v>13</v>
      </c>
      <c r="E5073" t="s">
        <v>40</v>
      </c>
      <c r="F5073">
        <v>3</v>
      </c>
      <c r="G5073">
        <v>1299</v>
      </c>
      <c r="H5073">
        <v>0.1</v>
      </c>
      <c r="I5073" t="s">
        <v>47</v>
      </c>
      <c r="J5073" t="s">
        <v>28</v>
      </c>
      <c r="K5073" t="s">
        <v>17</v>
      </c>
      <c r="L5073">
        <f>F5072*G5072*(1-H5072)</f>
        <v>7122.15</v>
      </c>
    </row>
    <row r="5074" spans="1:12">
      <c r="A5074" t="s">
        <v>5911</v>
      </c>
      <c r="B5074" s="1">
        <v>46200</v>
      </c>
      <c r="C5074" t="s">
        <v>1786</v>
      </c>
      <c r="D5074" t="s">
        <v>78</v>
      </c>
      <c r="E5074" t="s">
        <v>27</v>
      </c>
      <c r="F5074">
        <v>5</v>
      </c>
      <c r="G5074">
        <v>799</v>
      </c>
      <c r="H5074">
        <v>0</v>
      </c>
      <c r="I5074" t="s">
        <v>15</v>
      </c>
      <c r="J5074" t="s">
        <v>36</v>
      </c>
      <c r="K5074" t="s">
        <v>17</v>
      </c>
      <c r="L5074">
        <f>F5073*G5073*(1-H5073)</f>
        <v>3507.3</v>
      </c>
    </row>
    <row r="5075" spans="1:12">
      <c r="A5075" t="s">
        <v>5912</v>
      </c>
      <c r="B5075" s="1">
        <v>46098</v>
      </c>
      <c r="C5075" t="s">
        <v>2598</v>
      </c>
      <c r="D5075" t="s">
        <v>43</v>
      </c>
      <c r="E5075" t="s">
        <v>21</v>
      </c>
      <c r="F5075">
        <v>2</v>
      </c>
      <c r="G5075">
        <v>799</v>
      </c>
      <c r="H5075">
        <v>0.05</v>
      </c>
      <c r="I5075" t="s">
        <v>47</v>
      </c>
      <c r="J5075" t="s">
        <v>22</v>
      </c>
      <c r="K5075" t="s">
        <v>17</v>
      </c>
      <c r="L5075">
        <f>F5074*G5074*(1-H5074)</f>
        <v>3995</v>
      </c>
    </row>
    <row r="5076" spans="1:12">
      <c r="A5076" t="s">
        <v>5913</v>
      </c>
      <c r="B5076" s="1">
        <v>46142</v>
      </c>
      <c r="C5076" t="s">
        <v>504</v>
      </c>
      <c r="D5076" t="s">
        <v>31</v>
      </c>
      <c r="E5076" t="s">
        <v>21</v>
      </c>
      <c r="F5076">
        <v>3</v>
      </c>
      <c r="G5076">
        <v>2499</v>
      </c>
      <c r="H5076">
        <v>0</v>
      </c>
      <c r="I5076" t="s">
        <v>32</v>
      </c>
      <c r="J5076" t="s">
        <v>16</v>
      </c>
      <c r="K5076" t="s">
        <v>17</v>
      </c>
      <c r="L5076">
        <f>F5075*G5075*(1-H5075)</f>
        <v>1518.1</v>
      </c>
    </row>
    <row r="5077" spans="1:12">
      <c r="A5077" t="s">
        <v>5914</v>
      </c>
      <c r="B5077" s="1">
        <v>46216</v>
      </c>
      <c r="C5077" t="s">
        <v>1382</v>
      </c>
      <c r="D5077" t="s">
        <v>26</v>
      </c>
      <c r="E5077" t="s">
        <v>27</v>
      </c>
      <c r="F5077">
        <v>2</v>
      </c>
      <c r="G5077">
        <v>1499</v>
      </c>
      <c r="H5077">
        <v>0</v>
      </c>
      <c r="I5077" t="s">
        <v>15</v>
      </c>
      <c r="J5077" t="s">
        <v>36</v>
      </c>
      <c r="K5077" t="s">
        <v>17</v>
      </c>
      <c r="L5077">
        <f>F5076*G5076*(1-H5076)</f>
        <v>7497</v>
      </c>
    </row>
    <row r="5078" spans="1:12">
      <c r="A5078" t="s">
        <v>5915</v>
      </c>
      <c r="B5078" s="1">
        <v>46033</v>
      </c>
      <c r="C5078" t="s">
        <v>993</v>
      </c>
      <c r="D5078" t="s">
        <v>43</v>
      </c>
      <c r="E5078" t="s">
        <v>21</v>
      </c>
      <c r="F5078">
        <v>5</v>
      </c>
      <c r="G5078">
        <v>999</v>
      </c>
      <c r="H5078">
        <v>0</v>
      </c>
      <c r="I5078" t="s">
        <v>15</v>
      </c>
      <c r="J5078" t="s">
        <v>51</v>
      </c>
      <c r="K5078" t="s">
        <v>37</v>
      </c>
      <c r="L5078">
        <f>F5077*G5077*(1-H5077)</f>
        <v>2998</v>
      </c>
    </row>
    <row r="5079" spans="1:12">
      <c r="A5079" t="s">
        <v>5916</v>
      </c>
      <c r="B5079" s="1">
        <v>46224</v>
      </c>
      <c r="C5079" t="s">
        <v>277</v>
      </c>
      <c r="D5079" t="s">
        <v>26</v>
      </c>
      <c r="E5079" t="s">
        <v>14</v>
      </c>
      <c r="F5079">
        <v>5</v>
      </c>
      <c r="G5079">
        <v>599</v>
      </c>
      <c r="H5079">
        <v>0</v>
      </c>
      <c r="I5079" t="s">
        <v>32</v>
      </c>
      <c r="J5079" t="s">
        <v>28</v>
      </c>
      <c r="K5079" t="s">
        <v>23</v>
      </c>
      <c r="L5079">
        <f>F5078*G5078*(1-H5078)</f>
        <v>4995</v>
      </c>
    </row>
    <row r="5080" spans="1:12">
      <c r="A5080" t="s">
        <v>5917</v>
      </c>
      <c r="B5080" s="1">
        <v>46245</v>
      </c>
      <c r="C5080" t="s">
        <v>49</v>
      </c>
      <c r="D5080" t="s">
        <v>26</v>
      </c>
      <c r="E5080" t="s">
        <v>35</v>
      </c>
      <c r="F5080">
        <v>2</v>
      </c>
      <c r="G5080">
        <v>999</v>
      </c>
      <c r="H5080">
        <v>0.1</v>
      </c>
      <c r="I5080" t="s">
        <v>32</v>
      </c>
      <c r="J5080" t="s">
        <v>16</v>
      </c>
      <c r="K5080" t="s">
        <v>23</v>
      </c>
      <c r="L5080">
        <f>F5079*G5079*(1-H5079)</f>
        <v>2995</v>
      </c>
    </row>
    <row r="5081" spans="1:12">
      <c r="A5081" t="s">
        <v>5918</v>
      </c>
      <c r="B5081" s="1">
        <v>46061</v>
      </c>
      <c r="C5081" t="s">
        <v>164</v>
      </c>
      <c r="D5081" t="s">
        <v>31</v>
      </c>
      <c r="E5081" t="s">
        <v>40</v>
      </c>
      <c r="F5081">
        <v>2</v>
      </c>
      <c r="G5081">
        <v>4999</v>
      </c>
      <c r="H5081">
        <v>0</v>
      </c>
      <c r="I5081" t="s">
        <v>44</v>
      </c>
      <c r="J5081" t="s">
        <v>51</v>
      </c>
      <c r="K5081" t="s">
        <v>37</v>
      </c>
      <c r="L5081">
        <f>F5080*G5080*(1-H5080)</f>
        <v>1798.2</v>
      </c>
    </row>
    <row r="5082" spans="1:12">
      <c r="A5082" t="s">
        <v>5919</v>
      </c>
      <c r="B5082" s="1">
        <v>46136</v>
      </c>
      <c r="C5082" t="s">
        <v>521</v>
      </c>
      <c r="D5082" t="s">
        <v>71</v>
      </c>
      <c r="E5082" t="s">
        <v>27</v>
      </c>
      <c r="F5082">
        <v>3</v>
      </c>
      <c r="G5082">
        <v>1499</v>
      </c>
      <c r="H5082">
        <v>0</v>
      </c>
      <c r="I5082" t="s">
        <v>32</v>
      </c>
      <c r="J5082" t="s">
        <v>16</v>
      </c>
      <c r="K5082" t="s">
        <v>17</v>
      </c>
      <c r="L5082">
        <f>F5081*G5081*(1-H5081)</f>
        <v>9998</v>
      </c>
    </row>
    <row r="5083" spans="1:12">
      <c r="A5083" t="s">
        <v>5920</v>
      </c>
      <c r="B5083" s="1">
        <v>46240</v>
      </c>
      <c r="C5083" t="s">
        <v>384</v>
      </c>
      <c r="D5083" t="s">
        <v>71</v>
      </c>
      <c r="E5083" t="s">
        <v>14</v>
      </c>
      <c r="F5083">
        <v>4</v>
      </c>
      <c r="G5083">
        <v>1499</v>
      </c>
      <c r="H5083">
        <v>0</v>
      </c>
      <c r="I5083" t="s">
        <v>15</v>
      </c>
      <c r="J5083" t="s">
        <v>36</v>
      </c>
      <c r="K5083" t="s">
        <v>17</v>
      </c>
      <c r="L5083">
        <f>F5082*G5082*(1-H5082)</f>
        <v>4497</v>
      </c>
    </row>
    <row r="5084" spans="1:12">
      <c r="A5084" t="s">
        <v>5921</v>
      </c>
      <c r="B5084" s="1">
        <v>46198</v>
      </c>
      <c r="C5084" t="s">
        <v>903</v>
      </c>
      <c r="D5084" t="s">
        <v>59</v>
      </c>
      <c r="E5084" t="s">
        <v>40</v>
      </c>
      <c r="F5084">
        <v>3</v>
      </c>
      <c r="G5084">
        <v>1499</v>
      </c>
      <c r="H5084">
        <v>0.15</v>
      </c>
      <c r="I5084" t="s">
        <v>32</v>
      </c>
      <c r="J5084" t="s">
        <v>51</v>
      </c>
      <c r="K5084" t="s">
        <v>17</v>
      </c>
      <c r="L5084">
        <f>F5083*G5083*(1-H5083)</f>
        <v>5996</v>
      </c>
    </row>
    <row r="5085" spans="1:12">
      <c r="A5085" t="s">
        <v>5922</v>
      </c>
      <c r="B5085" s="1">
        <v>46045</v>
      </c>
      <c r="C5085" t="s">
        <v>725</v>
      </c>
      <c r="D5085" t="s">
        <v>13</v>
      </c>
      <c r="E5085" t="s">
        <v>14</v>
      </c>
      <c r="F5085">
        <v>2</v>
      </c>
      <c r="G5085">
        <v>4999</v>
      </c>
      <c r="H5085">
        <v>0</v>
      </c>
      <c r="I5085" t="s">
        <v>32</v>
      </c>
      <c r="J5085" t="s">
        <v>22</v>
      </c>
      <c r="K5085" t="s">
        <v>17</v>
      </c>
      <c r="L5085">
        <f>F5084*G5084*(1-H5084)</f>
        <v>3822.45</v>
      </c>
    </row>
    <row r="5086" spans="1:12">
      <c r="A5086" t="s">
        <v>5923</v>
      </c>
      <c r="B5086" s="1">
        <v>46231</v>
      </c>
      <c r="C5086" t="s">
        <v>481</v>
      </c>
      <c r="D5086" t="s">
        <v>20</v>
      </c>
      <c r="E5086" t="s">
        <v>40</v>
      </c>
      <c r="F5086">
        <v>5</v>
      </c>
      <c r="G5086">
        <v>999</v>
      </c>
      <c r="H5086">
        <v>0.15</v>
      </c>
      <c r="I5086" t="s">
        <v>44</v>
      </c>
      <c r="J5086" t="s">
        <v>28</v>
      </c>
      <c r="K5086" t="s">
        <v>17</v>
      </c>
      <c r="L5086">
        <f>F5085*G5085*(1-H5085)</f>
        <v>9998</v>
      </c>
    </row>
    <row r="5087" spans="1:12">
      <c r="A5087" t="s">
        <v>5924</v>
      </c>
      <c r="B5087" s="1">
        <v>46211</v>
      </c>
      <c r="C5087" t="s">
        <v>881</v>
      </c>
      <c r="D5087" t="s">
        <v>59</v>
      </c>
      <c r="E5087" t="s">
        <v>21</v>
      </c>
      <c r="F5087">
        <v>5</v>
      </c>
      <c r="G5087">
        <v>1499</v>
      </c>
      <c r="H5087">
        <v>0</v>
      </c>
      <c r="I5087" t="s">
        <v>15</v>
      </c>
      <c r="J5087" t="s">
        <v>28</v>
      </c>
      <c r="K5087" t="s">
        <v>17</v>
      </c>
      <c r="L5087">
        <f>F5086*G5086*(1-H5086)</f>
        <v>4245.75</v>
      </c>
    </row>
    <row r="5088" spans="1:12">
      <c r="A5088" t="s">
        <v>5925</v>
      </c>
      <c r="B5088" s="1">
        <v>46040</v>
      </c>
      <c r="C5088" t="s">
        <v>677</v>
      </c>
      <c r="D5088" t="s">
        <v>31</v>
      </c>
      <c r="E5088" t="s">
        <v>14</v>
      </c>
      <c r="F5088">
        <v>5</v>
      </c>
      <c r="G5088">
        <v>499</v>
      </c>
      <c r="H5088">
        <v>0</v>
      </c>
      <c r="I5088" t="s">
        <v>50</v>
      </c>
      <c r="J5088" t="s">
        <v>28</v>
      </c>
      <c r="K5088" t="s">
        <v>17</v>
      </c>
      <c r="L5088">
        <f>F5087*G5087*(1-H5087)</f>
        <v>7495</v>
      </c>
    </row>
    <row r="5089" spans="1:12">
      <c r="A5089" t="s">
        <v>5926</v>
      </c>
      <c r="B5089" s="1">
        <v>46241</v>
      </c>
      <c r="C5089" t="s">
        <v>509</v>
      </c>
      <c r="D5089" t="s">
        <v>62</v>
      </c>
      <c r="E5089" t="s">
        <v>27</v>
      </c>
      <c r="F5089">
        <v>3</v>
      </c>
      <c r="G5089">
        <v>1999</v>
      </c>
      <c r="H5089">
        <v>0.1</v>
      </c>
      <c r="I5089" t="s">
        <v>32</v>
      </c>
      <c r="J5089" t="s">
        <v>51</v>
      </c>
      <c r="K5089" t="s">
        <v>23</v>
      </c>
      <c r="L5089">
        <f>F5088*G5088*(1-H5088)</f>
        <v>2495</v>
      </c>
    </row>
    <row r="5090" spans="1:12">
      <c r="A5090" t="s">
        <v>5927</v>
      </c>
      <c r="B5090" s="1">
        <v>46224</v>
      </c>
      <c r="C5090" t="s">
        <v>1737</v>
      </c>
      <c r="D5090" t="s">
        <v>71</v>
      </c>
      <c r="E5090" t="s">
        <v>35</v>
      </c>
      <c r="F5090">
        <v>2</v>
      </c>
      <c r="G5090">
        <v>799</v>
      </c>
      <c r="H5090">
        <v>0</v>
      </c>
      <c r="I5090" t="s">
        <v>32</v>
      </c>
      <c r="J5090" t="s">
        <v>28</v>
      </c>
      <c r="K5090" t="s">
        <v>17</v>
      </c>
      <c r="L5090">
        <f>F5089*G5089*(1-H5089)</f>
        <v>5397.3</v>
      </c>
    </row>
    <row r="5091" spans="1:12">
      <c r="A5091" t="s">
        <v>5928</v>
      </c>
      <c r="B5091" s="1">
        <v>46190</v>
      </c>
      <c r="C5091" t="s">
        <v>4186</v>
      </c>
      <c r="D5091" t="s">
        <v>62</v>
      </c>
      <c r="E5091" t="s">
        <v>27</v>
      </c>
      <c r="F5091">
        <v>1</v>
      </c>
      <c r="G5091">
        <v>1499</v>
      </c>
      <c r="H5091">
        <v>0.1</v>
      </c>
      <c r="I5091" t="s">
        <v>50</v>
      </c>
      <c r="J5091" t="s">
        <v>22</v>
      </c>
      <c r="K5091" t="s">
        <v>17</v>
      </c>
      <c r="L5091">
        <f>F5090*G5090*(1-H5090)</f>
        <v>1598</v>
      </c>
    </row>
    <row r="5092" spans="1:12">
      <c r="A5092" t="s">
        <v>5929</v>
      </c>
      <c r="B5092" s="1">
        <v>46224</v>
      </c>
      <c r="C5092" t="s">
        <v>590</v>
      </c>
      <c r="D5092" t="s">
        <v>43</v>
      </c>
      <c r="E5092" t="s">
        <v>14</v>
      </c>
      <c r="F5092">
        <v>1</v>
      </c>
      <c r="G5092">
        <v>2499</v>
      </c>
      <c r="H5092">
        <v>0.15</v>
      </c>
      <c r="I5092" t="s">
        <v>47</v>
      </c>
      <c r="J5092" t="s">
        <v>51</v>
      </c>
      <c r="K5092" t="s">
        <v>17</v>
      </c>
      <c r="L5092">
        <f>F5091*G5091*(1-H5091)</f>
        <v>1349.1000000000001</v>
      </c>
    </row>
    <row r="5093" spans="1:12">
      <c r="A5093" t="s">
        <v>5930</v>
      </c>
      <c r="B5093" s="1">
        <v>46086</v>
      </c>
      <c r="C5093" t="s">
        <v>2689</v>
      </c>
      <c r="D5093" t="s">
        <v>26</v>
      </c>
      <c r="E5093" t="s">
        <v>27</v>
      </c>
      <c r="F5093">
        <v>4</v>
      </c>
      <c r="G5093">
        <v>599</v>
      </c>
      <c r="H5093">
        <v>0.1</v>
      </c>
      <c r="I5093" t="s">
        <v>44</v>
      </c>
      <c r="J5093" t="s">
        <v>36</v>
      </c>
      <c r="K5093" t="s">
        <v>17</v>
      </c>
      <c r="L5093">
        <f>F5092*G5092*(1-H5092)</f>
        <v>2124.15</v>
      </c>
    </row>
    <row r="5094" spans="1:12">
      <c r="A5094" t="s">
        <v>5931</v>
      </c>
      <c r="B5094" s="1">
        <v>46192</v>
      </c>
      <c r="C5094" t="s">
        <v>545</v>
      </c>
      <c r="D5094" t="s">
        <v>56</v>
      </c>
      <c r="E5094" t="s">
        <v>14</v>
      </c>
      <c r="F5094">
        <v>2</v>
      </c>
      <c r="G5094">
        <v>7999</v>
      </c>
      <c r="H5094">
        <v>0</v>
      </c>
      <c r="I5094" t="s">
        <v>15</v>
      </c>
      <c r="J5094" t="s">
        <v>36</v>
      </c>
      <c r="K5094" t="s">
        <v>17</v>
      </c>
      <c r="L5094">
        <f>F5093*G5093*(1-H5093)</f>
        <v>2156.4</v>
      </c>
    </row>
    <row r="5095" spans="1:12">
      <c r="A5095" t="s">
        <v>5932</v>
      </c>
      <c r="B5095" s="1">
        <v>46050</v>
      </c>
      <c r="C5095" t="s">
        <v>2130</v>
      </c>
      <c r="D5095" t="s">
        <v>59</v>
      </c>
      <c r="E5095" t="s">
        <v>14</v>
      </c>
      <c r="F5095">
        <v>3</v>
      </c>
      <c r="G5095">
        <v>1499</v>
      </c>
      <c r="H5095">
        <v>0.1</v>
      </c>
      <c r="I5095" t="s">
        <v>15</v>
      </c>
      <c r="J5095" t="s">
        <v>22</v>
      </c>
      <c r="K5095" t="s">
        <v>17</v>
      </c>
      <c r="L5095">
        <f>F5094*G5094*(1-H5094)</f>
        <v>15998</v>
      </c>
    </row>
    <row r="5096" spans="1:12">
      <c r="A5096" t="s">
        <v>5933</v>
      </c>
      <c r="B5096" s="1">
        <v>46174</v>
      </c>
      <c r="C5096" t="s">
        <v>541</v>
      </c>
      <c r="D5096" t="s">
        <v>20</v>
      </c>
      <c r="E5096" t="s">
        <v>27</v>
      </c>
      <c r="F5096">
        <v>3</v>
      </c>
      <c r="G5096">
        <v>1299</v>
      </c>
      <c r="H5096">
        <v>0.15</v>
      </c>
      <c r="I5096" t="s">
        <v>44</v>
      </c>
      <c r="J5096" t="s">
        <v>22</v>
      </c>
      <c r="K5096" t="s">
        <v>23</v>
      </c>
      <c r="L5096">
        <f>F5095*G5095*(1-H5095)</f>
        <v>4047.3</v>
      </c>
    </row>
    <row r="5097" spans="1:12">
      <c r="A5097" t="s">
        <v>5934</v>
      </c>
      <c r="B5097" s="1">
        <v>46106</v>
      </c>
      <c r="C5097" t="s">
        <v>2482</v>
      </c>
      <c r="D5097" t="s">
        <v>13</v>
      </c>
      <c r="E5097" t="s">
        <v>14</v>
      </c>
      <c r="F5097">
        <v>2</v>
      </c>
      <c r="G5097">
        <v>799</v>
      </c>
      <c r="H5097">
        <v>0</v>
      </c>
      <c r="I5097" t="s">
        <v>44</v>
      </c>
      <c r="J5097" t="s">
        <v>28</v>
      </c>
      <c r="K5097" t="s">
        <v>17</v>
      </c>
      <c r="L5097">
        <f>F5096*G5096*(1-H5096)</f>
        <v>3312.45</v>
      </c>
    </row>
    <row r="5098" spans="1:12">
      <c r="A5098" t="s">
        <v>5935</v>
      </c>
      <c r="B5098" s="1">
        <v>46203</v>
      </c>
      <c r="C5098" t="s">
        <v>189</v>
      </c>
      <c r="D5098" t="s">
        <v>62</v>
      </c>
      <c r="E5098" t="s">
        <v>35</v>
      </c>
      <c r="F5098">
        <v>4</v>
      </c>
      <c r="G5098">
        <v>7999</v>
      </c>
      <c r="H5098">
        <v>0.1</v>
      </c>
      <c r="I5098" t="s">
        <v>15</v>
      </c>
      <c r="J5098" t="s">
        <v>36</v>
      </c>
      <c r="K5098" t="s">
        <v>37</v>
      </c>
      <c r="L5098">
        <f>F5097*G5097*(1-H5097)</f>
        <v>1598</v>
      </c>
    </row>
    <row r="5099" spans="1:12">
      <c r="A5099" t="s">
        <v>5936</v>
      </c>
      <c r="B5099" s="1">
        <v>46277</v>
      </c>
      <c r="C5099" t="s">
        <v>1218</v>
      </c>
      <c r="D5099" t="s">
        <v>59</v>
      </c>
      <c r="E5099" t="s">
        <v>40</v>
      </c>
      <c r="F5099">
        <v>2</v>
      </c>
      <c r="G5099">
        <v>599</v>
      </c>
      <c r="H5099">
        <v>0.15</v>
      </c>
      <c r="I5099" t="s">
        <v>32</v>
      </c>
      <c r="J5099" t="s">
        <v>22</v>
      </c>
      <c r="K5099" t="s">
        <v>17</v>
      </c>
      <c r="L5099">
        <f>F5098*G5098*(1-H5098)</f>
        <v>28796.400000000001</v>
      </c>
    </row>
    <row r="5100" spans="1:12">
      <c r="A5100" t="s">
        <v>5937</v>
      </c>
      <c r="B5100" s="1">
        <v>46162</v>
      </c>
      <c r="C5100" t="s">
        <v>1154</v>
      </c>
      <c r="D5100" t="s">
        <v>71</v>
      </c>
      <c r="E5100" t="s">
        <v>21</v>
      </c>
      <c r="F5100">
        <v>4</v>
      </c>
      <c r="G5100">
        <v>1999</v>
      </c>
      <c r="H5100">
        <v>0</v>
      </c>
      <c r="I5100" t="s">
        <v>44</v>
      </c>
      <c r="J5100" t="s">
        <v>16</v>
      </c>
      <c r="K5100" t="s">
        <v>37</v>
      </c>
      <c r="L5100">
        <f>F5099*G5099*(1-H5099)</f>
        <v>1018.3</v>
      </c>
    </row>
    <row r="5101" spans="1:12">
      <c r="B5101" s="1"/>
    </row>
    <row r="5102" spans="1:12">
      <c r="B5102" s="1"/>
    </row>
    <row r="5103" spans="1:12">
      <c r="B5103" s="1"/>
    </row>
    <row r="5104" spans="1:12">
      <c r="B5104" s="1"/>
    </row>
    <row r="5105" spans="2:2">
      <c r="B5105" s="1"/>
    </row>
    <row r="5106" spans="2:2">
      <c r="B5106" s="1"/>
    </row>
    <row r="5107" spans="2:2">
      <c r="B5107" s="1"/>
    </row>
    <row r="5108" spans="2:2">
      <c r="B5108" s="1"/>
    </row>
    <row r="5109" spans="2:2">
      <c r="B5109" s="1"/>
    </row>
    <row r="5110" spans="2:2">
      <c r="B5110" s="1"/>
    </row>
    <row r="5111" spans="2:2">
      <c r="B5111" s="1"/>
    </row>
    <row r="5112" spans="2:2">
      <c r="B5112" s="1"/>
    </row>
    <row r="5113" spans="2:2">
      <c r="B5113" s="1"/>
    </row>
    <row r="5114" spans="2:2">
      <c r="B5114" s="1"/>
    </row>
    <row r="5115" spans="2:2">
      <c r="B5115" s="1"/>
    </row>
    <row r="5116" spans="2:2">
      <c r="B5116" s="1"/>
    </row>
    <row r="5117" spans="2:2">
      <c r="B5117" s="1"/>
    </row>
    <row r="5118" spans="2:2">
      <c r="B5118" s="1"/>
    </row>
    <row r="5119" spans="2:2">
      <c r="B5119" s="1"/>
    </row>
    <row r="5120" spans="2:2">
      <c r="B5120" s="1"/>
    </row>
    <row r="5121" spans="2:2">
      <c r="B5121" s="1"/>
    </row>
    <row r="5122" spans="2:2">
      <c r="B5122" s="1"/>
    </row>
    <row r="5123" spans="2:2">
      <c r="B5123" s="1"/>
    </row>
    <row r="5124" spans="2:2">
      <c r="B5124" s="1"/>
    </row>
    <row r="5125" spans="2:2">
      <c r="B5125" s="1"/>
    </row>
    <row r="5126" spans="2:2">
      <c r="B5126" s="1"/>
    </row>
    <row r="5127" spans="2:2">
      <c r="B5127" s="1"/>
    </row>
    <row r="5128" spans="2:2">
      <c r="B5128" s="1"/>
    </row>
    <row r="5129" spans="2:2">
      <c r="B5129" s="1"/>
    </row>
    <row r="5130" spans="2:2">
      <c r="B5130" s="1"/>
    </row>
    <row r="5131" spans="2:2">
      <c r="B5131" s="1"/>
    </row>
    <row r="5132" spans="2:2">
      <c r="B5132" s="1"/>
    </row>
    <row r="5133" spans="2:2">
      <c r="B5133" s="1"/>
    </row>
    <row r="5134" spans="2:2">
      <c r="B5134" s="1"/>
    </row>
    <row r="5135" spans="2:2">
      <c r="B5135" s="1"/>
    </row>
    <row r="5136" spans="2:2">
      <c r="B5136" s="1"/>
    </row>
    <row r="5137" spans="2:2">
      <c r="B5137" s="1"/>
    </row>
    <row r="5138" spans="2:2">
      <c r="B5138" s="1"/>
    </row>
    <row r="5139" spans="2:2">
      <c r="B5139" s="1"/>
    </row>
    <row r="5140" spans="2:2">
      <c r="B5140" s="1"/>
    </row>
    <row r="5141" spans="2:2">
      <c r="B5141" s="1"/>
    </row>
    <row r="5142" spans="2:2">
      <c r="B5142" s="1"/>
    </row>
    <row r="5143" spans="2:2">
      <c r="B5143" s="1"/>
    </row>
    <row r="5144" spans="2:2">
      <c r="B5144" s="1"/>
    </row>
    <row r="5145" spans="2:2">
      <c r="B5145" s="1"/>
    </row>
    <row r="5146" spans="2:2">
      <c r="B5146" s="1"/>
    </row>
    <row r="5147" spans="2:2">
      <c r="B5147" s="1"/>
    </row>
    <row r="5148" spans="2:2">
      <c r="B5148" s="1"/>
    </row>
    <row r="5149" spans="2:2">
      <c r="B5149" s="1"/>
    </row>
    <row r="5150" spans="2:2">
      <c r="B5150" s="1"/>
    </row>
    <row r="5151" spans="2:2">
      <c r="B5151" s="1"/>
    </row>
    <row r="5152" spans="2:2">
      <c r="B5152" s="1"/>
    </row>
    <row r="5153" spans="2:2">
      <c r="B5153" s="1"/>
    </row>
    <row r="5154" spans="2:2">
      <c r="B5154" s="1"/>
    </row>
    <row r="5155" spans="2:2">
      <c r="B5155" s="1"/>
    </row>
    <row r="5156" spans="2:2">
      <c r="B5156" s="1"/>
    </row>
    <row r="5157" spans="2:2">
      <c r="B5157" s="1"/>
    </row>
    <row r="5158" spans="2:2">
      <c r="B5158" s="1"/>
    </row>
    <row r="5159" spans="2:2">
      <c r="B5159" s="1"/>
    </row>
    <row r="5160" spans="2:2">
      <c r="B5160" s="1"/>
    </row>
    <row r="5161" spans="2:2">
      <c r="B5161" s="1"/>
    </row>
    <row r="5162" spans="2:2">
      <c r="B5162" s="1"/>
    </row>
    <row r="5163" spans="2:2">
      <c r="B5163" s="1"/>
    </row>
    <row r="5164" spans="2:2">
      <c r="B5164" s="1"/>
    </row>
    <row r="5165" spans="2:2">
      <c r="B5165" s="1"/>
    </row>
    <row r="5166" spans="2:2">
      <c r="B5166" s="1"/>
    </row>
    <row r="5167" spans="2:2">
      <c r="B5167" s="1"/>
    </row>
    <row r="5168" spans="2:2">
      <c r="B5168" s="1"/>
    </row>
    <row r="5169" spans="2:2">
      <c r="B5169" s="1"/>
    </row>
    <row r="5170" spans="2:2">
      <c r="B5170" s="1"/>
    </row>
    <row r="5171" spans="2:2">
      <c r="B5171" s="1"/>
    </row>
    <row r="5172" spans="2:2">
      <c r="B5172" s="1"/>
    </row>
    <row r="5173" spans="2:2">
      <c r="B5173" s="1"/>
    </row>
    <row r="5174" spans="2:2">
      <c r="B5174" s="1"/>
    </row>
    <row r="5175" spans="2:2">
      <c r="B5175" s="1"/>
    </row>
    <row r="5176" spans="2:2">
      <c r="B5176" s="1"/>
    </row>
    <row r="5177" spans="2:2">
      <c r="B5177" s="1"/>
    </row>
    <row r="5178" spans="2:2">
      <c r="B5178" s="1"/>
    </row>
    <row r="5179" spans="2:2">
      <c r="B5179" s="1"/>
    </row>
    <row r="5180" spans="2:2">
      <c r="B5180" s="1"/>
    </row>
    <row r="5181" spans="2:2">
      <c r="B5181" s="1"/>
    </row>
    <row r="5182" spans="2:2">
      <c r="B5182" s="1"/>
    </row>
    <row r="5183" spans="2:2">
      <c r="B5183" s="1"/>
    </row>
    <row r="5184" spans="2:2">
      <c r="B5184" s="1"/>
    </row>
    <row r="5185" spans="2:2">
      <c r="B5185" s="1"/>
    </row>
    <row r="5186" spans="2:2">
      <c r="B5186" s="1"/>
    </row>
    <row r="5187" spans="2:2">
      <c r="B5187" s="1"/>
    </row>
    <row r="5188" spans="2:2">
      <c r="B5188" s="1"/>
    </row>
    <row r="5189" spans="2:2">
      <c r="B5189" s="1"/>
    </row>
    <row r="5190" spans="2:2">
      <c r="B5190" s="1"/>
    </row>
    <row r="5191" spans="2:2">
      <c r="B5191" s="1"/>
    </row>
    <row r="5192" spans="2:2">
      <c r="B5192" s="1"/>
    </row>
    <row r="5193" spans="2:2">
      <c r="B5193" s="1"/>
    </row>
    <row r="5194" spans="2:2">
      <c r="B5194" s="1"/>
    </row>
    <row r="5195" spans="2:2">
      <c r="B5195" s="1"/>
    </row>
    <row r="5196" spans="2:2">
      <c r="B5196" s="1"/>
    </row>
    <row r="5197" spans="2:2">
      <c r="B5197" s="1"/>
    </row>
    <row r="5198" spans="2:2">
      <c r="B5198" s="1"/>
    </row>
    <row r="5199" spans="2:2">
      <c r="B5199" s="1"/>
    </row>
    <row r="5200" spans="2:2">
      <c r="B5200" s="1"/>
    </row>
    <row r="5201" spans="2:2">
      <c r="B5201" s="1"/>
    </row>
    <row r="5202" spans="2:2">
      <c r="B5202" s="1"/>
    </row>
    <row r="5203" spans="2:2">
      <c r="B5203" s="1"/>
    </row>
    <row r="5204" spans="2:2">
      <c r="B5204" s="1"/>
    </row>
    <row r="5205" spans="2:2">
      <c r="B5205" s="1"/>
    </row>
    <row r="5206" spans="2:2">
      <c r="B5206" s="1"/>
    </row>
    <row r="5207" spans="2:2">
      <c r="B5207" s="1"/>
    </row>
    <row r="5208" spans="2:2">
      <c r="B5208" s="1"/>
    </row>
    <row r="5209" spans="2:2">
      <c r="B5209" s="1"/>
    </row>
    <row r="5210" spans="2:2">
      <c r="B5210" s="1"/>
    </row>
    <row r="5211" spans="2:2">
      <c r="B5211" s="1"/>
    </row>
    <row r="5212" spans="2:2">
      <c r="B5212" s="1"/>
    </row>
    <row r="5213" spans="2:2">
      <c r="B5213" s="1"/>
    </row>
    <row r="5214" spans="2:2">
      <c r="B5214" s="1"/>
    </row>
    <row r="5215" spans="2:2">
      <c r="B5215" s="1"/>
    </row>
    <row r="5216" spans="2:2">
      <c r="B5216" s="1"/>
    </row>
    <row r="5217" spans="2:2">
      <c r="B5217" s="1"/>
    </row>
    <row r="5218" spans="2:2">
      <c r="B5218" s="1"/>
    </row>
    <row r="5219" spans="2:2">
      <c r="B5219" s="1"/>
    </row>
    <row r="5220" spans="2:2">
      <c r="B5220" s="1"/>
    </row>
    <row r="5221" spans="2:2">
      <c r="B5221" s="1"/>
    </row>
    <row r="5222" spans="2:2">
      <c r="B5222" s="1"/>
    </row>
    <row r="5223" spans="2:2">
      <c r="B5223" s="1"/>
    </row>
    <row r="5224" spans="2:2">
      <c r="B5224" s="1"/>
    </row>
    <row r="5225" spans="2:2">
      <c r="B5225" s="1"/>
    </row>
    <row r="5226" spans="2:2">
      <c r="B5226" s="1"/>
    </row>
    <row r="5227" spans="2:2">
      <c r="B5227" s="1"/>
    </row>
    <row r="5228" spans="2:2">
      <c r="B5228" s="1"/>
    </row>
    <row r="5229" spans="2:2">
      <c r="B5229" s="1"/>
    </row>
    <row r="5230" spans="2:2">
      <c r="B5230" s="1"/>
    </row>
    <row r="5231" spans="2:2">
      <c r="B5231" s="1"/>
    </row>
    <row r="5232" spans="2:2">
      <c r="B5232" s="1"/>
    </row>
    <row r="5233" spans="2:2">
      <c r="B5233" s="1"/>
    </row>
    <row r="5234" spans="2:2">
      <c r="B5234" s="1"/>
    </row>
    <row r="5235" spans="2:2">
      <c r="B5235" s="1"/>
    </row>
    <row r="5236" spans="2:2">
      <c r="B5236" s="1"/>
    </row>
    <row r="5237" spans="2:2">
      <c r="B5237" s="1"/>
    </row>
    <row r="5238" spans="2:2">
      <c r="B5238" s="1"/>
    </row>
    <row r="5239" spans="2:2">
      <c r="B5239" s="1"/>
    </row>
    <row r="5240" spans="2:2">
      <c r="B5240" s="1"/>
    </row>
    <row r="5241" spans="2:2">
      <c r="B5241" s="1"/>
    </row>
    <row r="5242" spans="2:2">
      <c r="B5242" s="1"/>
    </row>
    <row r="5243" spans="2:2">
      <c r="B5243" s="1"/>
    </row>
    <row r="5244" spans="2:2">
      <c r="B5244" s="1"/>
    </row>
    <row r="5245" spans="2:2">
      <c r="B5245" s="1"/>
    </row>
    <row r="5246" spans="2:2">
      <c r="B5246" s="1"/>
    </row>
    <row r="5247" spans="2:2">
      <c r="B5247" s="1"/>
    </row>
    <row r="5248" spans="2:2">
      <c r="B5248" s="1"/>
    </row>
    <row r="5249" spans="2:2">
      <c r="B5249" s="1"/>
    </row>
    <row r="5250" spans="2:2">
      <c r="B5250" s="1"/>
    </row>
    <row r="5251" spans="2:2">
      <c r="B5251" s="1"/>
    </row>
    <row r="5252" spans="2:2">
      <c r="B5252" s="1"/>
    </row>
    <row r="5253" spans="2:2">
      <c r="B5253" s="1"/>
    </row>
    <row r="5254" spans="2:2">
      <c r="B5254" s="1"/>
    </row>
    <row r="5255" spans="2:2">
      <c r="B5255" s="1"/>
    </row>
    <row r="5256" spans="2:2">
      <c r="B5256" s="1"/>
    </row>
    <row r="5257" spans="2:2">
      <c r="B5257" s="1"/>
    </row>
    <row r="5258" spans="2:2">
      <c r="B5258" s="1"/>
    </row>
    <row r="5259" spans="2:2">
      <c r="B5259" s="1"/>
    </row>
    <row r="5260" spans="2:2">
      <c r="B5260" s="1"/>
    </row>
    <row r="5261" spans="2:2">
      <c r="B5261" s="1"/>
    </row>
    <row r="5262" spans="2:2">
      <c r="B5262" s="1"/>
    </row>
    <row r="5263" spans="2:2">
      <c r="B5263" s="1"/>
    </row>
    <row r="5264" spans="2:2">
      <c r="B5264" s="1"/>
    </row>
    <row r="5265" spans="2:2">
      <c r="B5265" s="1"/>
    </row>
    <row r="5266" spans="2:2">
      <c r="B5266" s="1"/>
    </row>
    <row r="5267" spans="2:2">
      <c r="B5267" s="1"/>
    </row>
    <row r="5268" spans="2:2">
      <c r="B5268" s="1"/>
    </row>
    <row r="5269" spans="2:2">
      <c r="B5269" s="1"/>
    </row>
    <row r="5270" spans="2:2">
      <c r="B5270" s="1"/>
    </row>
    <row r="5271" spans="2:2">
      <c r="B5271" s="1"/>
    </row>
    <row r="5272" spans="2:2">
      <c r="B5272" s="1"/>
    </row>
    <row r="5273" spans="2:2">
      <c r="B5273" s="1"/>
    </row>
    <row r="5274" spans="2:2">
      <c r="B5274" s="1"/>
    </row>
    <row r="5275" spans="2:2">
      <c r="B5275" s="1"/>
    </row>
    <row r="5276" spans="2:2">
      <c r="B5276" s="1"/>
    </row>
    <row r="5277" spans="2:2">
      <c r="B5277" s="1"/>
    </row>
    <row r="5278" spans="2:2">
      <c r="B5278" s="1"/>
    </row>
    <row r="5279" spans="2:2">
      <c r="B5279" s="1"/>
    </row>
    <row r="5280" spans="2:2">
      <c r="B5280" s="1"/>
    </row>
    <row r="5281" spans="2:2">
      <c r="B5281" s="1"/>
    </row>
    <row r="5282" spans="2:2">
      <c r="B5282" s="1"/>
    </row>
    <row r="5283" spans="2:2">
      <c r="B5283" s="1"/>
    </row>
    <row r="5284" spans="2:2">
      <c r="B5284" s="1"/>
    </row>
    <row r="5285" spans="2:2">
      <c r="B5285" s="1"/>
    </row>
    <row r="5286" spans="2:2">
      <c r="B5286" s="1"/>
    </row>
    <row r="5287" spans="2:2">
      <c r="B5287" s="1"/>
    </row>
    <row r="5288" spans="2:2">
      <c r="B5288" s="1"/>
    </row>
    <row r="5289" spans="2:2">
      <c r="B5289" s="1"/>
    </row>
    <row r="5290" spans="2:2">
      <c r="B5290" s="1"/>
    </row>
    <row r="5291" spans="2:2">
      <c r="B5291" s="1"/>
    </row>
    <row r="5292" spans="2:2">
      <c r="B5292" s="1"/>
    </row>
    <row r="5293" spans="2:2">
      <c r="B5293" s="1"/>
    </row>
    <row r="5294" spans="2:2">
      <c r="B5294" s="1"/>
    </row>
    <row r="5295" spans="2:2">
      <c r="B5295" s="1"/>
    </row>
    <row r="5296" spans="2:2">
      <c r="B5296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AFCD-D02D-4140-AA51-4039B7C3C7F7}">
  <dimension ref="A3:B9"/>
  <sheetViews>
    <sheetView workbookViewId="0">
      <selection activeCell="M9" sqref="M9"/>
    </sheetView>
  </sheetViews>
  <sheetFormatPr defaultRowHeight="14.4"/>
  <cols>
    <col min="1" max="1" width="18.77734375" bestFit="1" customWidth="1"/>
    <col min="2" max="2" width="11.5546875" bestFit="1" customWidth="1"/>
  </cols>
  <sheetData>
    <row r="3" spans="1:2">
      <c r="A3" s="3" t="s">
        <v>5948</v>
      </c>
      <c r="B3" t="s">
        <v>5950</v>
      </c>
    </row>
    <row r="4" spans="1:2">
      <c r="A4" s="4" t="s">
        <v>14</v>
      </c>
      <c r="B4" s="2">
        <v>6290571.8000000054</v>
      </c>
    </row>
    <row r="5" spans="1:2">
      <c r="A5" s="4" t="s">
        <v>27</v>
      </c>
      <c r="B5" s="2">
        <v>6660846.3999999948</v>
      </c>
    </row>
    <row r="6" spans="1:2">
      <c r="A6" s="4" t="s">
        <v>40</v>
      </c>
      <c r="B6" s="2">
        <v>6235379.4000000032</v>
      </c>
    </row>
    <row r="7" spans="1:2">
      <c r="A7" s="4" t="s">
        <v>21</v>
      </c>
      <c r="B7" s="2">
        <v>6564730.450000003</v>
      </c>
    </row>
    <row r="8" spans="1:2">
      <c r="A8" s="4" t="s">
        <v>35</v>
      </c>
      <c r="B8" s="2">
        <v>5914798.0499999989</v>
      </c>
    </row>
    <row r="9" spans="1:2">
      <c r="A9" s="4" t="s">
        <v>5949</v>
      </c>
      <c r="B9" s="2">
        <v>31666326.100000001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4868-991C-468A-A2A3-F6EF136DC283}">
  <dimension ref="A1:H28"/>
  <sheetViews>
    <sheetView tabSelected="1" workbookViewId="0">
      <selection activeCell="A24" sqref="A24:H28"/>
    </sheetView>
  </sheetViews>
  <sheetFormatPr defaultRowHeight="14.4"/>
  <cols>
    <col min="1" max="1" width="14.6640625" bestFit="1" customWidth="1"/>
    <col min="3" max="3" width="9.44140625" bestFit="1" customWidth="1"/>
  </cols>
  <sheetData>
    <row r="1" spans="1:8" ht="22.8">
      <c r="A1" s="7" t="s">
        <v>5951</v>
      </c>
      <c r="B1" s="7"/>
      <c r="C1" s="7"/>
      <c r="D1" s="7"/>
      <c r="E1" s="7"/>
      <c r="F1" s="7"/>
      <c r="G1" s="7"/>
    </row>
    <row r="2" spans="1:8">
      <c r="A2" s="8" t="s">
        <v>5955</v>
      </c>
      <c r="C2" s="10" t="s">
        <v>5956</v>
      </c>
      <c r="E2" s="12" t="s">
        <v>5952</v>
      </c>
      <c r="H2" s="13" t="s">
        <v>5953</v>
      </c>
    </row>
    <row r="3" spans="1:8">
      <c r="A3" s="9">
        <f>SUM(Raw_Data!L2:L5001)</f>
        <v>31666326.100000009</v>
      </c>
      <c r="C3" s="11">
        <f>COUNTA(Raw_Data!A2:A5001)</f>
        <v>5000</v>
      </c>
      <c r="E3" s="5">
        <f>AVERAGE(Raw_Data!L2:L5001)</f>
        <v>6334.5321264252871</v>
      </c>
      <c r="H3" s="14">
        <f>COUNTIF(Raw_Data!K2:K5001,"Cancelled")/COUNTA(Raw_Data!A2:A5001)</f>
        <v>0.1958</v>
      </c>
    </row>
    <row r="23" spans="1:8">
      <c r="A23" s="6" t="s">
        <v>5958</v>
      </c>
    </row>
    <row r="24" spans="1:8" ht="93">
      <c r="A24" s="15" t="s">
        <v>5959</v>
      </c>
      <c r="B24" s="16"/>
      <c r="C24" s="16"/>
      <c r="D24" s="16"/>
      <c r="E24" s="16"/>
      <c r="F24" s="16"/>
      <c r="G24" s="16"/>
      <c r="H24" s="16"/>
    </row>
    <row r="25" spans="1:8" ht="66.599999999999994">
      <c r="A25" s="15" t="s">
        <v>5960</v>
      </c>
      <c r="B25" s="16"/>
      <c r="C25" s="16"/>
      <c r="D25" s="16"/>
      <c r="E25" s="16"/>
      <c r="F25" s="16"/>
      <c r="G25" s="16"/>
      <c r="H25" s="16"/>
    </row>
    <row r="26" spans="1:8" ht="93">
      <c r="A26" s="15" t="s">
        <v>5961</v>
      </c>
      <c r="B26" s="16"/>
      <c r="C26" s="16"/>
      <c r="D26" s="16"/>
      <c r="E26" s="16"/>
      <c r="F26" s="16"/>
      <c r="G26" s="16"/>
      <c r="H26" s="16"/>
    </row>
    <row r="27" spans="1:8" ht="66.599999999999994">
      <c r="A27" s="15" t="s">
        <v>5962</v>
      </c>
      <c r="B27" s="16"/>
      <c r="C27" s="16"/>
      <c r="D27" s="16"/>
      <c r="E27" s="16"/>
      <c r="F27" s="16"/>
      <c r="G27" s="16"/>
      <c r="H27" s="16"/>
    </row>
    <row r="28" spans="1:8" ht="79.8">
      <c r="A28" s="15" t="s">
        <v>5963</v>
      </c>
      <c r="B28" s="16"/>
      <c r="C28" s="16"/>
      <c r="D28" s="16"/>
      <c r="E28" s="16"/>
      <c r="F28" s="16"/>
      <c r="G28" s="16"/>
      <c r="H28" s="16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Sheet8</vt:lpstr>
      <vt:lpstr>Sheet9</vt:lpstr>
      <vt:lpstr>Raw_Data</vt:lpstr>
      <vt:lpstr>Sheet7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purohitn409@gmail.com</dc:creator>
  <cp:lastModifiedBy>purohitn409@gmail.com</cp:lastModifiedBy>
  <dcterms:created xsi:type="dcterms:W3CDTF">2026-09-28T04:42:33Z</dcterms:created>
  <dcterms:modified xsi:type="dcterms:W3CDTF">2026-09-28T08:39:31Z</dcterms:modified>
</cp:coreProperties>
</file>